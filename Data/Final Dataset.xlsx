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82ee045ef63ef7be/Masaüstü/Fall 2025_6900_01_Group 1_Dataset/Fall 2025_6900_01_Group 1_Dataset/Fall 2025_6900_01_Group 1_Final_Dataset/"/>
    </mc:Choice>
  </mc:AlternateContent>
  <xr:revisionPtr revIDLastSave="220" documentId="13_ncr:1_{C582EC4A-DC88-448B-8D41-8661D6EDC13E}" xr6:coauthVersionLast="47" xr6:coauthVersionMax="47" xr10:uidLastSave="{87C4301B-0C26-4B8A-B664-ECE3BD826319}"/>
  <bookViews>
    <workbookView xWindow="-108" yWindow="-108" windowWidth="23256" windowHeight="12456" xr2:uid="{00000000-000D-0000-FFFF-FFFF00000000}"/>
  </bookViews>
  <sheets>
    <sheet name="Fact_Carrier_Weekly" sheetId="3" r:id="rId1"/>
    <sheet name="Reference_2019" sheetId="5" r:id="rId2"/>
    <sheet name="Totals_Terminal" sheetId="4" r:id="rId3"/>
    <sheet name="CarrierID" sheetId="6" r:id="rId4"/>
    <sheet name="Carrier_Category" sheetId="7" r:id="rId5"/>
  </sheets>
  <definedNames>
    <definedName name="_xlnm._FilterDatabase" localSheetId="0" hidden="1">Fact_Carrier_Weekly!$A$1:$K$2522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98" i="3" l="1"/>
  <c r="G2497" i="3"/>
  <c r="G2496" i="3"/>
  <c r="G2495" i="3"/>
  <c r="G2494" i="3"/>
  <c r="G2493" i="3"/>
  <c r="G2492" i="3"/>
  <c r="G2491" i="3"/>
  <c r="G2490" i="3"/>
  <c r="G2489" i="3"/>
  <c r="G2488" i="3"/>
  <c r="G2487" i="3"/>
  <c r="G2486" i="3"/>
  <c r="G2485" i="3"/>
  <c r="G2484" i="3"/>
  <c r="G2483" i="3"/>
  <c r="G2482" i="3"/>
  <c r="G2481" i="3"/>
  <c r="G2480" i="3"/>
  <c r="G2479" i="3"/>
  <c r="G2478" i="3"/>
  <c r="G2477" i="3"/>
  <c r="G2476" i="3"/>
  <c r="G2475" i="3"/>
  <c r="G2474" i="3"/>
  <c r="G2473" i="3"/>
  <c r="G2472" i="3"/>
  <c r="G2471" i="3"/>
  <c r="G2470" i="3"/>
  <c r="G2469" i="3"/>
  <c r="G2468" i="3"/>
  <c r="G2467" i="3"/>
  <c r="G2466" i="3"/>
  <c r="G2465" i="3"/>
  <c r="G2464" i="3"/>
  <c r="G2463" i="3"/>
  <c r="G2462" i="3"/>
  <c r="G2461" i="3"/>
  <c r="G2460" i="3"/>
  <c r="G2459" i="3"/>
  <c r="G2458" i="3"/>
  <c r="G2457" i="3"/>
  <c r="G2456" i="3"/>
  <c r="G2455" i="3"/>
  <c r="G2454" i="3"/>
  <c r="G2453" i="3"/>
  <c r="G2452" i="3"/>
  <c r="G2451" i="3"/>
  <c r="G2450" i="3"/>
  <c r="G2449" i="3"/>
  <c r="G2448" i="3"/>
  <c r="G2447" i="3"/>
  <c r="G2446" i="3"/>
  <c r="G2445" i="3"/>
  <c r="G2444" i="3"/>
  <c r="G2443" i="3"/>
  <c r="G2442" i="3"/>
  <c r="G2441" i="3"/>
  <c r="G2440" i="3"/>
  <c r="G2439" i="3"/>
  <c r="G2438" i="3"/>
  <c r="G2437" i="3"/>
  <c r="G2436" i="3"/>
  <c r="G2435" i="3"/>
  <c r="G2434" i="3"/>
  <c r="G2433" i="3"/>
  <c r="G2432" i="3"/>
  <c r="G2431" i="3"/>
  <c r="G2430" i="3"/>
  <c r="G2429" i="3"/>
  <c r="G2428" i="3"/>
  <c r="G2427" i="3"/>
  <c r="G2426" i="3"/>
  <c r="G2425" i="3"/>
  <c r="G2424" i="3"/>
  <c r="G2423" i="3"/>
  <c r="G2422" i="3"/>
  <c r="G2421" i="3"/>
  <c r="G2420" i="3"/>
  <c r="G2419" i="3"/>
  <c r="G2418" i="3"/>
  <c r="G2417" i="3"/>
  <c r="G2416" i="3"/>
  <c r="G2415" i="3"/>
  <c r="G2414" i="3"/>
  <c r="G2413" i="3"/>
  <c r="G2412" i="3"/>
  <c r="G2411" i="3"/>
  <c r="G2410" i="3"/>
  <c r="G2409" i="3"/>
  <c r="G2408" i="3"/>
  <c r="G2407" i="3"/>
  <c r="G2406" i="3"/>
  <c r="G2405" i="3"/>
  <c r="G2404" i="3"/>
  <c r="G2403" i="3"/>
  <c r="G2402" i="3"/>
  <c r="G2401" i="3"/>
  <c r="G2400" i="3"/>
  <c r="G2399" i="3"/>
  <c r="G2398" i="3"/>
  <c r="G2397" i="3"/>
  <c r="G2396" i="3"/>
  <c r="G2395" i="3"/>
  <c r="G2394" i="3"/>
  <c r="G2393" i="3"/>
  <c r="G2392" i="3"/>
  <c r="G2391" i="3"/>
  <c r="G2390" i="3"/>
  <c r="G2389" i="3"/>
  <c r="G2388" i="3"/>
  <c r="G2387" i="3"/>
  <c r="G2386" i="3"/>
  <c r="G2385" i="3"/>
  <c r="G2384" i="3"/>
  <c r="G2383" i="3"/>
  <c r="G2382" i="3"/>
  <c r="G2381" i="3"/>
  <c r="G2380" i="3"/>
  <c r="G2379" i="3"/>
  <c r="G2378" i="3"/>
  <c r="G2377" i="3"/>
  <c r="G2376" i="3"/>
  <c r="G2375" i="3"/>
  <c r="G2374" i="3"/>
  <c r="G2373" i="3"/>
  <c r="G2372" i="3"/>
  <c r="G2371" i="3"/>
  <c r="G2370" i="3"/>
  <c r="G2369" i="3"/>
  <c r="G2368" i="3"/>
  <c r="G2367" i="3"/>
  <c r="G2366" i="3"/>
  <c r="G2365" i="3"/>
  <c r="G2364" i="3"/>
  <c r="G2363" i="3"/>
  <c r="G2362" i="3"/>
  <c r="G2361" i="3"/>
  <c r="G2360" i="3"/>
  <c r="G2359" i="3"/>
  <c r="G2358" i="3"/>
  <c r="G2357" i="3"/>
  <c r="G2356" i="3"/>
  <c r="G2355" i="3"/>
  <c r="G2354" i="3"/>
  <c r="G2353" i="3"/>
  <c r="G2352" i="3"/>
  <c r="G2351" i="3"/>
  <c r="G2350" i="3"/>
  <c r="G2349" i="3"/>
  <c r="G2348" i="3"/>
  <c r="G2347" i="3"/>
  <c r="G2346" i="3"/>
  <c r="G2345" i="3"/>
  <c r="G2344" i="3"/>
  <c r="G2343" i="3"/>
  <c r="G2342" i="3"/>
  <c r="G2341" i="3"/>
  <c r="G2340" i="3"/>
  <c r="G2339" i="3"/>
  <c r="G2338" i="3"/>
  <c r="G2337" i="3"/>
  <c r="G2336" i="3"/>
  <c r="G2335" i="3"/>
  <c r="G2334" i="3"/>
  <c r="G2333" i="3"/>
  <c r="G2332" i="3"/>
  <c r="G2331" i="3"/>
  <c r="G2330" i="3"/>
  <c r="G2329" i="3"/>
  <c r="G2328" i="3"/>
  <c r="G2327" i="3"/>
  <c r="G2326" i="3"/>
  <c r="G2325" i="3"/>
  <c r="G2324" i="3"/>
  <c r="G2323" i="3"/>
  <c r="G2322" i="3"/>
  <c r="G2321" i="3"/>
  <c r="G2320" i="3"/>
  <c r="G2319" i="3"/>
  <c r="G2318" i="3"/>
  <c r="G2317" i="3"/>
  <c r="G2316" i="3"/>
  <c r="G2315" i="3"/>
  <c r="G2314" i="3"/>
  <c r="G2313" i="3"/>
  <c r="G2312" i="3"/>
  <c r="G2311" i="3"/>
  <c r="G2310" i="3"/>
  <c r="G2309" i="3"/>
  <c r="G2308" i="3"/>
  <c r="G2307" i="3"/>
  <c r="G2306" i="3"/>
  <c r="G2305" i="3"/>
  <c r="G2304" i="3"/>
  <c r="G2303" i="3"/>
  <c r="G2302" i="3"/>
  <c r="G2301" i="3"/>
  <c r="G2300" i="3"/>
  <c r="G2299" i="3"/>
  <c r="G2298" i="3"/>
  <c r="G2297" i="3"/>
  <c r="G2296" i="3"/>
  <c r="G2295" i="3"/>
  <c r="G2294" i="3"/>
  <c r="G2293" i="3"/>
  <c r="G2292" i="3"/>
  <c r="G2291" i="3"/>
  <c r="G2290" i="3"/>
  <c r="G2289" i="3"/>
  <c r="G2288" i="3"/>
  <c r="G2287" i="3"/>
  <c r="G2286" i="3"/>
  <c r="G2285" i="3"/>
  <c r="G2284" i="3"/>
  <c r="G2283" i="3"/>
  <c r="G2282" i="3"/>
  <c r="G2281" i="3"/>
  <c r="G2280" i="3"/>
  <c r="G2279" i="3"/>
  <c r="G2278" i="3"/>
  <c r="G2277" i="3"/>
  <c r="G2276" i="3"/>
  <c r="G2275" i="3"/>
  <c r="G2274" i="3"/>
  <c r="G2273" i="3"/>
  <c r="G2272" i="3"/>
  <c r="G2271" i="3"/>
  <c r="G2270" i="3"/>
  <c r="G2269" i="3"/>
  <c r="G2268" i="3"/>
  <c r="G2267" i="3"/>
  <c r="G2266" i="3"/>
  <c r="G2265" i="3"/>
  <c r="G2264" i="3"/>
  <c r="G2263" i="3"/>
  <c r="G2262" i="3"/>
  <c r="G2261" i="3"/>
  <c r="G2260" i="3"/>
  <c r="G2259" i="3"/>
  <c r="G2258" i="3"/>
  <c r="G2257" i="3"/>
  <c r="G2256" i="3"/>
  <c r="G2255" i="3"/>
  <c r="G2254" i="3"/>
  <c r="G2253" i="3"/>
  <c r="G2252" i="3"/>
  <c r="G2251" i="3"/>
  <c r="G2250" i="3"/>
  <c r="G2249" i="3"/>
  <c r="G2248" i="3"/>
  <c r="G2247" i="3"/>
  <c r="G2246" i="3"/>
  <c r="G2245" i="3"/>
  <c r="G2244" i="3"/>
  <c r="G2243" i="3"/>
  <c r="G2242" i="3"/>
  <c r="G2241" i="3"/>
  <c r="G2240" i="3"/>
  <c r="G2239" i="3"/>
  <c r="G2238" i="3"/>
  <c r="G2237" i="3"/>
  <c r="G2236" i="3"/>
  <c r="G2235" i="3"/>
  <c r="G2234" i="3"/>
  <c r="G2233" i="3"/>
  <c r="G2232" i="3"/>
  <c r="G2231" i="3"/>
  <c r="G2230" i="3"/>
  <c r="G2229" i="3"/>
  <c r="G2228" i="3"/>
  <c r="G2227" i="3"/>
  <c r="G2226" i="3"/>
  <c r="G2225" i="3"/>
  <c r="G2224" i="3"/>
  <c r="G2223" i="3"/>
  <c r="G2222" i="3"/>
  <c r="G2221" i="3"/>
  <c r="G2220" i="3"/>
  <c r="G2219" i="3"/>
  <c r="G2218" i="3"/>
  <c r="G2217" i="3"/>
  <c r="G2216" i="3"/>
  <c r="G2215" i="3"/>
  <c r="G2214" i="3"/>
  <c r="G2213" i="3"/>
  <c r="G2212" i="3"/>
  <c r="G2211" i="3"/>
  <c r="G2210" i="3"/>
  <c r="G2209" i="3"/>
  <c r="G2208" i="3"/>
  <c r="G2207" i="3"/>
  <c r="G2206" i="3"/>
  <c r="G2205" i="3"/>
  <c r="G2204" i="3"/>
  <c r="G2203" i="3"/>
  <c r="G2202" i="3"/>
  <c r="G2201" i="3"/>
  <c r="G2200" i="3"/>
  <c r="G2199" i="3"/>
  <c r="G2198" i="3"/>
  <c r="G2197" i="3"/>
  <c r="G2196" i="3"/>
  <c r="G2195" i="3"/>
  <c r="G2194" i="3"/>
  <c r="G2193" i="3"/>
  <c r="G2192" i="3"/>
  <c r="G2191" i="3"/>
  <c r="G2190" i="3"/>
  <c r="G2189" i="3"/>
  <c r="G2188" i="3"/>
  <c r="G2187" i="3"/>
  <c r="G2186" i="3"/>
  <c r="G2185" i="3"/>
  <c r="G2184" i="3"/>
  <c r="G2183" i="3"/>
  <c r="G2182" i="3"/>
  <c r="G2181" i="3"/>
  <c r="G2180" i="3"/>
  <c r="G2179" i="3"/>
  <c r="G2178" i="3"/>
  <c r="G2177" i="3"/>
  <c r="G2176" i="3"/>
  <c r="G2175" i="3"/>
  <c r="G2174" i="3"/>
  <c r="G2173" i="3"/>
  <c r="G2172" i="3"/>
  <c r="G2171" i="3"/>
  <c r="G2170" i="3"/>
  <c r="G2169" i="3"/>
  <c r="G2168" i="3"/>
  <c r="G2167" i="3"/>
  <c r="G2166" i="3"/>
  <c r="G2165" i="3"/>
  <c r="G2164" i="3"/>
  <c r="G2163" i="3"/>
  <c r="G2162" i="3"/>
  <c r="G2161" i="3"/>
  <c r="G2160" i="3"/>
  <c r="G2159" i="3"/>
  <c r="G2158" i="3"/>
  <c r="G2157" i="3"/>
  <c r="G2156" i="3"/>
  <c r="G2155" i="3"/>
  <c r="G2154" i="3"/>
  <c r="G2153" i="3"/>
  <c r="G2152" i="3"/>
  <c r="G2151" i="3"/>
  <c r="G2150" i="3"/>
  <c r="G2149" i="3"/>
  <c r="G2148" i="3"/>
  <c r="G2147" i="3"/>
  <c r="G2146" i="3"/>
  <c r="G2145" i="3"/>
  <c r="G2144" i="3"/>
  <c r="G2143" i="3"/>
  <c r="G2142" i="3"/>
  <c r="G2141" i="3"/>
  <c r="G2140" i="3"/>
  <c r="G2139" i="3"/>
  <c r="G2138" i="3"/>
  <c r="G2137" i="3"/>
  <c r="G2136" i="3"/>
  <c r="G2135" i="3"/>
  <c r="G2134" i="3"/>
  <c r="G2133" i="3"/>
  <c r="G2132" i="3"/>
  <c r="G2131" i="3"/>
  <c r="G2130" i="3"/>
  <c r="G2129" i="3"/>
  <c r="G2128" i="3"/>
  <c r="G2127" i="3"/>
  <c r="G2126" i="3"/>
  <c r="G2125" i="3"/>
  <c r="G2124" i="3"/>
  <c r="G2123" i="3"/>
  <c r="G2122" i="3"/>
  <c r="G2121" i="3"/>
  <c r="G2120" i="3"/>
  <c r="G2119" i="3"/>
  <c r="G2118" i="3"/>
  <c r="G2117" i="3"/>
  <c r="G2116" i="3"/>
  <c r="G2115" i="3"/>
  <c r="G2114" i="3"/>
  <c r="G2113" i="3"/>
  <c r="G2112" i="3"/>
  <c r="G2111" i="3"/>
  <c r="G2110" i="3"/>
  <c r="G2109" i="3"/>
  <c r="G2108" i="3"/>
  <c r="G2107" i="3"/>
  <c r="G2106" i="3"/>
  <c r="G2105" i="3"/>
  <c r="G2104" i="3"/>
  <c r="G2103" i="3"/>
  <c r="G2102" i="3"/>
  <c r="G2101" i="3"/>
  <c r="G2100" i="3"/>
  <c r="G2099" i="3"/>
  <c r="G2098" i="3"/>
  <c r="G2097" i="3"/>
  <c r="G2096" i="3"/>
  <c r="G2095" i="3"/>
  <c r="G2094" i="3"/>
  <c r="G2093" i="3"/>
  <c r="G2092" i="3"/>
  <c r="G2091" i="3"/>
  <c r="G2090" i="3"/>
  <c r="G2089" i="3"/>
  <c r="G2088" i="3"/>
  <c r="G2087" i="3"/>
  <c r="G2086" i="3"/>
  <c r="G2085" i="3"/>
  <c r="G2084" i="3"/>
  <c r="G2083" i="3"/>
  <c r="G2082" i="3"/>
  <c r="G2081" i="3"/>
  <c r="G2080" i="3"/>
  <c r="G2079" i="3"/>
  <c r="G2078" i="3"/>
  <c r="G2077" i="3"/>
  <c r="G2076" i="3"/>
  <c r="G2075" i="3"/>
  <c r="G2074" i="3"/>
  <c r="G2073" i="3"/>
  <c r="G2072" i="3"/>
  <c r="G2071" i="3"/>
  <c r="G2070" i="3"/>
  <c r="G2069" i="3"/>
  <c r="G2068" i="3"/>
  <c r="G2067" i="3"/>
  <c r="G2066" i="3"/>
  <c r="G2065" i="3"/>
  <c r="G2064" i="3"/>
  <c r="G2063" i="3"/>
  <c r="G2062" i="3"/>
  <c r="G2061" i="3"/>
  <c r="G2060" i="3"/>
  <c r="G2059" i="3"/>
  <c r="G2058" i="3"/>
  <c r="G2057" i="3"/>
  <c r="G2056" i="3"/>
  <c r="G2055" i="3"/>
  <c r="G2054" i="3"/>
  <c r="G2053" i="3"/>
  <c r="G2052" i="3"/>
  <c r="G2051" i="3"/>
  <c r="G2050" i="3"/>
  <c r="G2049" i="3"/>
  <c r="G2048" i="3"/>
  <c r="G2047" i="3"/>
  <c r="G2046" i="3"/>
  <c r="G2045" i="3"/>
  <c r="G2044" i="3"/>
  <c r="G2043" i="3"/>
  <c r="G2042" i="3"/>
  <c r="G2041" i="3"/>
  <c r="G2040" i="3"/>
  <c r="G2039" i="3"/>
  <c r="G2038" i="3"/>
  <c r="G2037" i="3"/>
  <c r="G2036" i="3"/>
  <c r="G2035" i="3"/>
  <c r="G2034" i="3"/>
  <c r="G2033" i="3"/>
  <c r="G2032" i="3"/>
  <c r="G2031" i="3"/>
  <c r="G2030" i="3"/>
  <c r="G2029" i="3"/>
  <c r="G2028" i="3"/>
  <c r="G2027" i="3"/>
  <c r="G2026" i="3"/>
  <c r="G2025" i="3"/>
  <c r="G2024" i="3"/>
  <c r="G2023" i="3"/>
  <c r="G2022" i="3"/>
  <c r="G2021" i="3"/>
  <c r="G2020" i="3"/>
  <c r="G2019" i="3"/>
  <c r="G2018" i="3"/>
  <c r="G2017" i="3"/>
  <c r="G2016" i="3"/>
  <c r="G2015" i="3"/>
  <c r="G2014" i="3"/>
  <c r="G2013" i="3"/>
  <c r="G2012" i="3"/>
  <c r="G2011" i="3"/>
  <c r="G2010" i="3"/>
  <c r="G2009" i="3"/>
  <c r="G2008" i="3"/>
  <c r="G2007" i="3"/>
  <c r="G2006" i="3"/>
  <c r="G2005" i="3"/>
  <c r="G2004" i="3"/>
  <c r="G2003" i="3"/>
  <c r="G2002" i="3"/>
  <c r="G2001" i="3"/>
  <c r="G2000" i="3"/>
  <c r="G1999" i="3"/>
  <c r="G1998" i="3"/>
  <c r="G1997" i="3"/>
  <c r="G1996" i="3"/>
  <c r="G1995" i="3"/>
  <c r="G1994" i="3"/>
  <c r="G1993" i="3"/>
  <c r="G1992" i="3"/>
  <c r="G1991" i="3"/>
  <c r="G1990" i="3"/>
  <c r="G1989" i="3"/>
  <c r="G1988" i="3"/>
  <c r="G1987" i="3"/>
  <c r="G1986" i="3"/>
  <c r="G1985" i="3"/>
  <c r="G1984" i="3"/>
  <c r="G1983" i="3"/>
  <c r="G1982" i="3"/>
  <c r="G1981" i="3"/>
  <c r="G1980" i="3"/>
  <c r="G1979" i="3"/>
  <c r="G1978" i="3"/>
  <c r="G1977" i="3"/>
  <c r="G1976" i="3"/>
  <c r="G1975" i="3"/>
  <c r="G1974" i="3"/>
  <c r="G1973" i="3"/>
  <c r="G1972" i="3"/>
  <c r="G1971" i="3"/>
  <c r="G1970" i="3"/>
  <c r="G1969" i="3"/>
  <c r="G1968" i="3"/>
  <c r="G1967" i="3"/>
  <c r="G1966" i="3"/>
  <c r="G1965" i="3"/>
  <c r="G1964" i="3"/>
  <c r="G1963" i="3"/>
  <c r="G1962" i="3"/>
  <c r="G1961" i="3"/>
  <c r="G1960" i="3"/>
  <c r="G1959" i="3"/>
  <c r="G1958" i="3"/>
  <c r="G1957" i="3"/>
  <c r="G1956" i="3"/>
  <c r="G1955" i="3"/>
  <c r="G1954" i="3"/>
  <c r="G1953" i="3"/>
  <c r="G1952" i="3"/>
  <c r="G1951" i="3"/>
  <c r="G1950" i="3"/>
  <c r="G1949" i="3"/>
  <c r="G1948" i="3"/>
  <c r="G1947" i="3"/>
  <c r="G1946" i="3"/>
  <c r="G1945" i="3"/>
  <c r="G1944" i="3"/>
  <c r="G1943" i="3"/>
  <c r="G1942" i="3"/>
  <c r="G1941" i="3"/>
  <c r="G1940" i="3"/>
  <c r="G1939" i="3"/>
  <c r="G1938" i="3"/>
  <c r="G1937" i="3"/>
  <c r="G1936" i="3"/>
  <c r="G1935" i="3"/>
  <c r="G1934" i="3"/>
  <c r="G1933" i="3"/>
  <c r="G1932" i="3"/>
  <c r="G1931" i="3"/>
  <c r="G1930" i="3"/>
  <c r="G1929" i="3"/>
  <c r="G1928" i="3"/>
  <c r="G1927" i="3"/>
  <c r="G1926" i="3"/>
  <c r="G1925" i="3"/>
  <c r="G1924" i="3"/>
  <c r="G1923" i="3"/>
  <c r="G1922" i="3"/>
  <c r="G1921" i="3"/>
  <c r="G1920" i="3"/>
  <c r="G1919" i="3"/>
  <c r="G1918" i="3"/>
  <c r="G1917" i="3"/>
  <c r="G1916" i="3"/>
  <c r="G1915" i="3"/>
  <c r="G1914" i="3"/>
  <c r="G1913" i="3"/>
  <c r="G1912" i="3"/>
  <c r="G1911" i="3"/>
  <c r="G1910" i="3"/>
  <c r="G1909" i="3"/>
  <c r="G1908" i="3"/>
  <c r="G1907" i="3"/>
  <c r="G1906" i="3"/>
  <c r="G1905" i="3"/>
  <c r="G1904" i="3"/>
  <c r="G1903" i="3"/>
  <c r="G1902" i="3"/>
  <c r="G1901" i="3"/>
  <c r="G1900" i="3"/>
  <c r="G1899" i="3"/>
  <c r="G1898" i="3"/>
  <c r="G1897" i="3"/>
  <c r="G1896" i="3"/>
  <c r="G1895" i="3"/>
  <c r="G1894" i="3"/>
  <c r="G1893" i="3"/>
  <c r="G1892" i="3"/>
  <c r="G1891" i="3"/>
  <c r="G1890" i="3"/>
  <c r="G1889" i="3"/>
  <c r="G1888" i="3"/>
  <c r="G1887" i="3"/>
  <c r="G1886" i="3"/>
  <c r="G1885" i="3"/>
  <c r="G1884" i="3"/>
  <c r="G1883" i="3"/>
  <c r="G1882" i="3"/>
  <c r="G1881" i="3"/>
  <c r="G1880" i="3"/>
  <c r="G1879" i="3"/>
  <c r="G1878" i="3"/>
  <c r="G1877" i="3"/>
  <c r="G1876" i="3"/>
  <c r="G1875" i="3"/>
  <c r="G1874" i="3"/>
  <c r="G1873" i="3"/>
  <c r="G1872" i="3"/>
  <c r="G1871" i="3"/>
  <c r="G1870" i="3"/>
  <c r="G1869" i="3"/>
  <c r="G1868" i="3"/>
  <c r="G1867" i="3"/>
  <c r="G1866" i="3"/>
  <c r="G1865" i="3"/>
  <c r="G1864" i="3"/>
  <c r="G1863" i="3"/>
  <c r="G1862" i="3"/>
  <c r="G1861" i="3"/>
  <c r="G1860" i="3"/>
  <c r="G1859" i="3"/>
  <c r="G1858" i="3"/>
  <c r="G1857" i="3"/>
  <c r="G1856" i="3"/>
  <c r="G1855" i="3"/>
  <c r="G1854" i="3"/>
  <c r="G1853" i="3"/>
  <c r="G1852" i="3"/>
  <c r="G1851" i="3"/>
  <c r="G1850" i="3"/>
  <c r="G1849" i="3"/>
  <c r="G1848" i="3"/>
  <c r="G1847" i="3"/>
  <c r="G1846" i="3"/>
  <c r="G1845" i="3"/>
  <c r="G1844" i="3"/>
  <c r="G1843" i="3"/>
  <c r="G1842" i="3"/>
  <c r="G1841" i="3"/>
  <c r="G1840" i="3"/>
  <c r="G1839" i="3"/>
  <c r="G1838" i="3"/>
  <c r="G1837" i="3"/>
  <c r="G1836" i="3"/>
  <c r="G1835" i="3"/>
  <c r="G1834" i="3"/>
  <c r="G1833" i="3"/>
  <c r="G1832" i="3"/>
  <c r="G1831" i="3"/>
  <c r="G1830" i="3"/>
  <c r="G1829" i="3"/>
  <c r="G1828" i="3"/>
  <c r="G1827" i="3"/>
  <c r="G1826" i="3"/>
  <c r="G1825" i="3"/>
  <c r="G1824" i="3"/>
  <c r="G1823" i="3"/>
  <c r="G1822" i="3"/>
  <c r="G1821" i="3"/>
  <c r="G1820" i="3"/>
  <c r="G1819" i="3"/>
  <c r="G1818" i="3"/>
  <c r="G1817" i="3"/>
  <c r="G1816" i="3"/>
  <c r="G1815" i="3"/>
  <c r="G1814" i="3"/>
  <c r="G1813" i="3"/>
  <c r="G1812" i="3"/>
  <c r="G1811" i="3"/>
  <c r="G1810" i="3"/>
  <c r="G1809" i="3"/>
  <c r="G1808" i="3"/>
  <c r="G1807" i="3"/>
  <c r="G1806" i="3"/>
  <c r="G1805" i="3"/>
  <c r="G1804" i="3"/>
  <c r="G1803" i="3"/>
  <c r="G1802" i="3"/>
  <c r="G1801" i="3"/>
  <c r="G1800" i="3"/>
  <c r="G1799" i="3"/>
  <c r="G1798" i="3"/>
  <c r="G1797" i="3"/>
  <c r="G1796" i="3"/>
  <c r="G1795" i="3"/>
  <c r="G1794" i="3"/>
  <c r="G1793" i="3"/>
  <c r="G1792" i="3"/>
  <c r="G1791" i="3"/>
  <c r="G1790" i="3"/>
  <c r="G1789" i="3"/>
  <c r="G1788" i="3"/>
  <c r="G1787" i="3"/>
  <c r="G1786" i="3"/>
  <c r="G1785" i="3"/>
  <c r="G1784" i="3"/>
  <c r="G1783" i="3"/>
  <c r="G1782" i="3"/>
  <c r="G1781" i="3"/>
  <c r="G1780" i="3"/>
  <c r="G1779" i="3"/>
  <c r="G1778" i="3"/>
  <c r="G1777" i="3"/>
  <c r="G1776" i="3"/>
  <c r="G1775" i="3"/>
  <c r="G1774" i="3"/>
  <c r="G1773" i="3"/>
  <c r="G1772" i="3"/>
  <c r="G1771" i="3"/>
  <c r="G1770" i="3"/>
  <c r="G1769" i="3"/>
  <c r="G1768" i="3"/>
  <c r="G1767" i="3"/>
  <c r="G1766" i="3"/>
  <c r="G1765" i="3"/>
  <c r="G1764" i="3"/>
  <c r="G1763" i="3"/>
  <c r="G1762" i="3"/>
  <c r="G1761" i="3"/>
  <c r="G1760" i="3"/>
  <c r="G1759" i="3"/>
  <c r="G1758" i="3"/>
  <c r="G1757" i="3"/>
  <c r="G1756" i="3"/>
  <c r="G1755" i="3"/>
  <c r="G1754" i="3"/>
  <c r="G1753" i="3"/>
  <c r="G1752" i="3"/>
  <c r="G1751" i="3"/>
  <c r="G1750" i="3"/>
  <c r="G1749" i="3"/>
  <c r="G1748" i="3"/>
  <c r="G1747" i="3"/>
  <c r="G1746" i="3"/>
  <c r="G1745" i="3"/>
  <c r="G1744" i="3"/>
  <c r="G1743" i="3"/>
  <c r="G1742" i="3"/>
  <c r="G1741" i="3"/>
  <c r="G1740" i="3"/>
  <c r="G1739" i="3"/>
  <c r="G1738" i="3"/>
  <c r="G1737" i="3"/>
  <c r="G1736" i="3"/>
  <c r="G1735" i="3"/>
  <c r="G1734" i="3"/>
  <c r="G1733" i="3"/>
  <c r="G1732" i="3"/>
  <c r="G1731" i="3"/>
  <c r="G1730" i="3"/>
  <c r="G1729" i="3"/>
  <c r="G1728" i="3"/>
  <c r="G1727" i="3"/>
  <c r="G1726" i="3"/>
  <c r="G1725" i="3"/>
  <c r="G1724" i="3"/>
  <c r="G1723" i="3"/>
  <c r="G1722" i="3"/>
  <c r="G1721" i="3"/>
  <c r="G1720" i="3"/>
  <c r="G1719" i="3"/>
  <c r="G1718" i="3"/>
  <c r="G1717" i="3"/>
  <c r="G1716" i="3"/>
  <c r="G1715" i="3"/>
  <c r="G1714" i="3"/>
  <c r="G1713" i="3"/>
  <c r="G1712" i="3"/>
  <c r="G1711" i="3"/>
  <c r="G1710" i="3"/>
  <c r="G1709" i="3"/>
  <c r="G1708" i="3"/>
  <c r="G1707" i="3"/>
  <c r="G1706" i="3"/>
  <c r="G1705" i="3"/>
  <c r="G1704" i="3"/>
  <c r="G1703" i="3"/>
  <c r="G1702" i="3"/>
  <c r="G1701" i="3"/>
  <c r="G1700" i="3"/>
  <c r="G1699" i="3"/>
  <c r="G1698" i="3"/>
  <c r="G1697" i="3"/>
  <c r="G1696" i="3"/>
  <c r="G1695" i="3"/>
  <c r="G1694" i="3"/>
  <c r="G1693" i="3"/>
  <c r="G1692" i="3"/>
  <c r="G1691" i="3"/>
  <c r="G1690" i="3"/>
  <c r="G1689" i="3"/>
  <c r="G1688" i="3"/>
  <c r="G1687" i="3"/>
  <c r="G1686" i="3"/>
  <c r="G1685" i="3"/>
  <c r="G1684" i="3"/>
  <c r="G1683" i="3"/>
  <c r="G1682" i="3"/>
  <c r="G1681" i="3"/>
  <c r="G1680" i="3"/>
  <c r="G1679" i="3"/>
  <c r="G1678" i="3"/>
  <c r="G1677" i="3"/>
  <c r="G1676" i="3"/>
  <c r="G1675" i="3"/>
  <c r="G1674" i="3"/>
  <c r="G1673" i="3"/>
  <c r="G1672" i="3"/>
  <c r="G1671" i="3"/>
  <c r="G1670" i="3"/>
  <c r="G1669" i="3"/>
  <c r="G1668" i="3"/>
  <c r="G1667" i="3"/>
  <c r="G1666" i="3"/>
  <c r="G1665" i="3"/>
  <c r="G1664" i="3"/>
  <c r="G1663" i="3"/>
  <c r="G1662" i="3"/>
  <c r="G1661" i="3"/>
  <c r="G1660" i="3"/>
  <c r="G1659" i="3"/>
  <c r="G1658" i="3"/>
  <c r="G1657" i="3"/>
  <c r="G1656" i="3"/>
  <c r="G1655" i="3"/>
  <c r="G1654" i="3"/>
  <c r="G1653" i="3"/>
  <c r="G1652" i="3"/>
  <c r="G1651" i="3"/>
  <c r="G1650" i="3"/>
  <c r="G1649" i="3"/>
  <c r="G1648" i="3"/>
  <c r="G1647" i="3"/>
  <c r="G1646" i="3"/>
  <c r="G1645" i="3"/>
  <c r="G1644" i="3"/>
  <c r="G1643" i="3"/>
  <c r="G1642" i="3"/>
  <c r="G1641" i="3"/>
  <c r="G1640" i="3"/>
  <c r="G1639" i="3"/>
  <c r="G1638" i="3"/>
  <c r="G1637" i="3"/>
  <c r="G1636" i="3"/>
  <c r="G1635" i="3"/>
  <c r="G1634" i="3"/>
  <c r="G1633" i="3"/>
  <c r="G1632" i="3"/>
  <c r="G1631" i="3"/>
  <c r="G1630" i="3"/>
  <c r="G1629" i="3"/>
  <c r="G1628" i="3"/>
  <c r="G1627" i="3"/>
  <c r="G1626" i="3"/>
  <c r="G1625" i="3"/>
  <c r="G1624" i="3"/>
  <c r="G1623" i="3"/>
  <c r="G1622" i="3"/>
  <c r="G1621" i="3"/>
  <c r="G1620" i="3"/>
  <c r="G1619" i="3"/>
  <c r="G1618" i="3"/>
  <c r="G1617" i="3"/>
  <c r="G1616" i="3"/>
  <c r="G1615" i="3"/>
  <c r="G1614" i="3"/>
  <c r="G1613" i="3"/>
  <c r="G1612" i="3"/>
  <c r="G1611" i="3"/>
  <c r="G1610" i="3"/>
  <c r="G1609" i="3"/>
  <c r="G1608" i="3"/>
  <c r="G1607" i="3"/>
  <c r="G1606" i="3"/>
  <c r="G1605" i="3"/>
  <c r="G1604" i="3"/>
  <c r="G1603" i="3"/>
  <c r="G1602" i="3"/>
  <c r="G1601" i="3"/>
  <c r="G1600" i="3"/>
  <c r="G1599" i="3"/>
  <c r="G1598" i="3"/>
  <c r="G1597" i="3"/>
  <c r="G1596" i="3"/>
  <c r="G1595" i="3"/>
  <c r="G1594" i="3"/>
  <c r="G1593" i="3"/>
  <c r="G1592" i="3"/>
  <c r="G1591" i="3"/>
  <c r="G1590" i="3"/>
  <c r="G1589" i="3"/>
  <c r="G1588" i="3"/>
  <c r="G1587" i="3"/>
  <c r="G1586" i="3"/>
  <c r="G1585" i="3"/>
  <c r="G1584" i="3"/>
  <c r="G1583" i="3"/>
  <c r="G1582" i="3"/>
  <c r="G1581" i="3"/>
  <c r="G1580" i="3"/>
  <c r="G1579" i="3"/>
  <c r="G1578" i="3"/>
  <c r="G1577" i="3"/>
  <c r="G1576" i="3"/>
  <c r="G1575" i="3"/>
  <c r="G1574" i="3"/>
  <c r="G1573" i="3"/>
  <c r="G1572" i="3"/>
  <c r="G1571" i="3"/>
  <c r="G1570" i="3"/>
  <c r="G1569" i="3"/>
  <c r="G1568" i="3"/>
  <c r="G1567" i="3"/>
  <c r="G1566" i="3"/>
  <c r="G1565" i="3"/>
  <c r="G1564" i="3"/>
  <c r="G1563" i="3"/>
  <c r="G1562" i="3"/>
  <c r="G1561" i="3"/>
  <c r="G1560" i="3"/>
  <c r="G1559" i="3"/>
  <c r="G1558" i="3"/>
  <c r="G1557" i="3"/>
  <c r="G1556" i="3"/>
  <c r="G1555" i="3"/>
  <c r="G1554" i="3"/>
  <c r="G1553" i="3"/>
  <c r="G1552" i="3"/>
  <c r="G1551" i="3"/>
  <c r="G1550" i="3"/>
  <c r="G1549" i="3"/>
  <c r="G1548" i="3"/>
  <c r="G1547" i="3"/>
  <c r="G1546" i="3"/>
  <c r="G1545" i="3"/>
  <c r="G1544" i="3"/>
  <c r="G1543" i="3"/>
  <c r="G1542" i="3"/>
  <c r="G1541" i="3"/>
  <c r="G1540" i="3"/>
  <c r="G1539" i="3"/>
  <c r="G1538" i="3"/>
  <c r="G1537" i="3"/>
  <c r="G1536" i="3"/>
  <c r="G1535" i="3"/>
  <c r="G1534" i="3"/>
  <c r="G1533" i="3"/>
  <c r="G1532" i="3"/>
  <c r="G1531" i="3"/>
  <c r="G1530" i="3"/>
  <c r="G1529" i="3"/>
  <c r="G1528" i="3"/>
  <c r="G1527" i="3"/>
  <c r="G1526" i="3"/>
  <c r="G1525" i="3"/>
  <c r="G1524" i="3"/>
  <c r="G1523" i="3"/>
  <c r="G1522" i="3"/>
  <c r="G1521" i="3"/>
  <c r="G1520" i="3"/>
  <c r="G1519" i="3"/>
  <c r="G1518" i="3"/>
  <c r="G1517" i="3"/>
  <c r="G1516" i="3"/>
  <c r="G1515" i="3"/>
  <c r="G1514" i="3"/>
  <c r="G1513" i="3"/>
  <c r="G1512" i="3"/>
  <c r="G1511" i="3"/>
  <c r="G1510" i="3"/>
  <c r="G1509" i="3"/>
  <c r="G1508" i="3"/>
  <c r="G1507" i="3"/>
  <c r="G1506" i="3"/>
  <c r="G1505" i="3"/>
  <c r="G1504" i="3"/>
  <c r="G1503" i="3"/>
  <c r="G1502" i="3"/>
  <c r="G1501" i="3"/>
  <c r="G1500" i="3"/>
  <c r="G1499" i="3"/>
  <c r="G1498" i="3"/>
  <c r="G1497" i="3"/>
  <c r="G1496" i="3"/>
  <c r="G1495" i="3"/>
  <c r="G1494" i="3"/>
  <c r="G1493" i="3"/>
  <c r="G1492" i="3"/>
  <c r="G1491" i="3"/>
  <c r="G1490" i="3"/>
  <c r="G1489" i="3"/>
  <c r="G1488" i="3"/>
  <c r="G1487" i="3"/>
  <c r="G1486" i="3"/>
  <c r="G1485" i="3"/>
  <c r="G1484" i="3"/>
  <c r="G1483" i="3"/>
  <c r="G1482" i="3"/>
  <c r="G1481" i="3"/>
  <c r="G1480" i="3"/>
  <c r="G1479" i="3"/>
  <c r="G1478" i="3"/>
  <c r="G1477" i="3"/>
  <c r="G1476" i="3"/>
  <c r="G1475" i="3"/>
  <c r="G1474" i="3"/>
  <c r="G1473" i="3"/>
  <c r="G1472" i="3"/>
  <c r="G1471" i="3"/>
  <c r="G1470" i="3"/>
  <c r="G1469" i="3"/>
  <c r="G1468" i="3"/>
  <c r="G1467" i="3"/>
  <c r="G1466" i="3"/>
  <c r="G1465" i="3"/>
  <c r="G1464" i="3"/>
  <c r="G1463" i="3"/>
  <c r="G1462" i="3"/>
  <c r="G1461" i="3"/>
  <c r="G1460" i="3"/>
  <c r="G1459" i="3"/>
  <c r="G1458" i="3"/>
  <c r="G1457" i="3"/>
  <c r="G1456" i="3"/>
  <c r="G1455" i="3"/>
  <c r="G1454" i="3"/>
  <c r="G1453" i="3"/>
  <c r="G1452" i="3"/>
  <c r="G1451" i="3"/>
  <c r="G1450" i="3"/>
  <c r="G1449" i="3"/>
  <c r="G1448" i="3"/>
  <c r="G1447" i="3"/>
  <c r="G1446" i="3"/>
  <c r="G1445" i="3"/>
  <c r="G1444" i="3"/>
  <c r="G1443" i="3"/>
  <c r="G1442" i="3"/>
  <c r="G1441" i="3"/>
  <c r="G1440" i="3"/>
  <c r="G1439" i="3"/>
  <c r="G1438" i="3"/>
  <c r="G1437" i="3"/>
  <c r="G1436" i="3"/>
  <c r="G1435" i="3"/>
  <c r="G1434" i="3"/>
  <c r="G1433" i="3"/>
  <c r="G1432" i="3"/>
  <c r="G1431" i="3"/>
  <c r="G1430" i="3"/>
  <c r="G1429" i="3"/>
  <c r="G1428" i="3"/>
  <c r="G1427" i="3"/>
  <c r="G1426" i="3"/>
  <c r="G1425" i="3"/>
  <c r="G1424" i="3"/>
  <c r="G1423" i="3"/>
  <c r="G1422" i="3"/>
  <c r="G1421" i="3"/>
  <c r="G1420" i="3"/>
  <c r="G1419" i="3"/>
  <c r="G1418" i="3"/>
  <c r="G1417" i="3"/>
  <c r="G1416" i="3"/>
  <c r="G1415" i="3"/>
  <c r="G1414" i="3"/>
  <c r="G1413" i="3"/>
  <c r="G1412" i="3"/>
  <c r="G1411" i="3"/>
  <c r="G1410" i="3"/>
  <c r="G1409" i="3"/>
  <c r="G1408" i="3"/>
  <c r="G1407" i="3"/>
  <c r="G1406" i="3"/>
  <c r="G1405" i="3"/>
  <c r="G1404" i="3"/>
  <c r="G1403" i="3"/>
  <c r="G1402" i="3"/>
  <c r="G1401" i="3"/>
  <c r="G1400" i="3"/>
  <c r="G1399" i="3"/>
  <c r="G1398" i="3"/>
  <c r="G1397" i="3"/>
  <c r="G1396" i="3"/>
  <c r="G1395" i="3"/>
  <c r="G1394" i="3"/>
  <c r="G1393" i="3"/>
  <c r="G1392" i="3"/>
  <c r="G1391" i="3"/>
  <c r="G1390" i="3"/>
  <c r="G1389" i="3"/>
  <c r="G1388" i="3"/>
  <c r="G1387" i="3"/>
  <c r="G1386" i="3"/>
  <c r="G1385" i="3"/>
  <c r="G1384" i="3"/>
  <c r="G1383" i="3"/>
  <c r="G1382" i="3"/>
  <c r="G1381" i="3"/>
  <c r="G1380" i="3"/>
  <c r="G1379" i="3"/>
  <c r="G1378" i="3"/>
  <c r="G1377" i="3"/>
  <c r="G1376" i="3"/>
  <c r="G1375" i="3"/>
  <c r="G1374" i="3"/>
  <c r="G1373" i="3"/>
  <c r="G1372" i="3"/>
  <c r="G1371" i="3"/>
  <c r="G1370" i="3"/>
  <c r="G1369" i="3"/>
  <c r="G1368" i="3"/>
  <c r="G1367" i="3"/>
  <c r="G1366" i="3"/>
  <c r="G1365" i="3"/>
  <c r="G1364" i="3"/>
  <c r="G1363" i="3"/>
  <c r="G1362" i="3"/>
  <c r="G1361" i="3"/>
  <c r="G1360" i="3"/>
  <c r="G1359" i="3"/>
  <c r="G1358" i="3"/>
  <c r="G1357" i="3"/>
  <c r="G1356" i="3"/>
  <c r="G1355" i="3"/>
  <c r="G1354" i="3"/>
  <c r="G1353" i="3"/>
  <c r="G1352" i="3"/>
  <c r="G1351" i="3"/>
  <c r="G1350" i="3"/>
  <c r="G1349" i="3"/>
  <c r="G1348" i="3"/>
  <c r="G1347" i="3"/>
  <c r="G1346" i="3"/>
  <c r="G1345" i="3"/>
  <c r="G1344" i="3"/>
  <c r="G1343" i="3"/>
  <c r="G1342" i="3"/>
  <c r="G1341" i="3"/>
  <c r="G1340" i="3"/>
  <c r="G1339" i="3"/>
  <c r="G1338" i="3"/>
  <c r="G1337" i="3"/>
  <c r="G1336" i="3"/>
  <c r="G1335" i="3"/>
  <c r="G1334" i="3"/>
  <c r="G1333" i="3"/>
  <c r="G1332" i="3"/>
  <c r="G1331" i="3"/>
  <c r="G1330" i="3"/>
  <c r="G1329" i="3"/>
  <c r="G1328" i="3"/>
  <c r="G1327" i="3"/>
  <c r="G1326" i="3"/>
  <c r="G1325" i="3"/>
  <c r="G1324" i="3"/>
  <c r="G1323" i="3"/>
  <c r="G1322" i="3"/>
  <c r="G1321" i="3"/>
  <c r="G1320" i="3"/>
  <c r="G1319" i="3"/>
  <c r="G1318" i="3"/>
  <c r="G1317" i="3"/>
  <c r="G1316" i="3"/>
  <c r="G1315" i="3"/>
  <c r="G1314" i="3"/>
  <c r="G1313" i="3"/>
  <c r="G1312" i="3"/>
  <c r="G1311" i="3"/>
  <c r="G1310" i="3"/>
  <c r="G1309" i="3"/>
  <c r="G1308" i="3"/>
  <c r="G1307" i="3"/>
  <c r="G1306" i="3"/>
  <c r="G1305" i="3"/>
  <c r="G1304" i="3"/>
  <c r="G1303" i="3"/>
  <c r="G1302" i="3"/>
  <c r="G1301" i="3"/>
  <c r="G1300" i="3"/>
  <c r="G1299" i="3"/>
  <c r="G1298" i="3"/>
  <c r="G1297" i="3"/>
  <c r="G1296" i="3"/>
  <c r="G1295" i="3"/>
  <c r="G1294" i="3"/>
  <c r="G1293" i="3"/>
  <c r="G1292" i="3"/>
  <c r="G1291" i="3"/>
  <c r="G1290" i="3"/>
  <c r="G1289" i="3"/>
  <c r="G1288" i="3"/>
  <c r="G1287" i="3"/>
  <c r="G1286" i="3"/>
  <c r="G1285" i="3"/>
  <c r="G1284" i="3"/>
  <c r="G1283" i="3"/>
  <c r="G1282" i="3"/>
  <c r="G1281" i="3"/>
  <c r="G1280" i="3"/>
  <c r="G1279" i="3"/>
  <c r="G1278" i="3"/>
  <c r="G1277" i="3"/>
  <c r="G1276" i="3"/>
  <c r="G1275" i="3"/>
  <c r="G1274" i="3"/>
  <c r="G1273" i="3"/>
  <c r="G1272" i="3"/>
  <c r="G1271" i="3"/>
  <c r="G1270" i="3"/>
  <c r="G1269" i="3"/>
  <c r="G1268" i="3"/>
  <c r="G1267" i="3"/>
  <c r="G1266" i="3"/>
  <c r="G1265" i="3"/>
  <c r="G1264" i="3"/>
  <c r="G1263" i="3"/>
  <c r="G1262" i="3"/>
  <c r="G1261" i="3"/>
  <c r="G1260" i="3"/>
  <c r="G1259" i="3"/>
  <c r="G1258" i="3"/>
  <c r="G1257" i="3"/>
  <c r="G1256" i="3"/>
  <c r="G1255" i="3"/>
  <c r="G1254" i="3"/>
  <c r="G1253" i="3"/>
  <c r="G1252" i="3"/>
  <c r="G1251" i="3"/>
  <c r="G1250" i="3"/>
  <c r="G1249" i="3"/>
  <c r="G1248" i="3"/>
  <c r="G1247" i="3"/>
  <c r="G1246" i="3"/>
  <c r="G1245" i="3"/>
  <c r="G1244" i="3"/>
  <c r="G1243" i="3"/>
  <c r="G1242" i="3"/>
  <c r="G1241" i="3"/>
  <c r="G1240" i="3"/>
  <c r="G1239" i="3"/>
  <c r="G1238" i="3"/>
  <c r="G1237" i="3"/>
  <c r="G1236" i="3"/>
  <c r="G1235" i="3"/>
  <c r="G1234" i="3"/>
  <c r="G1233" i="3"/>
  <c r="G1232" i="3"/>
  <c r="G1231" i="3"/>
  <c r="G1230" i="3"/>
  <c r="G1229" i="3"/>
  <c r="G1228" i="3"/>
  <c r="G1227" i="3"/>
  <c r="G1226" i="3"/>
  <c r="G1225" i="3"/>
  <c r="G1224" i="3"/>
  <c r="G1223" i="3"/>
  <c r="G1222" i="3"/>
  <c r="G1221" i="3"/>
  <c r="G1220" i="3"/>
  <c r="G1219" i="3"/>
  <c r="G1218" i="3"/>
  <c r="G1217" i="3"/>
  <c r="G1216" i="3"/>
  <c r="G1215" i="3"/>
  <c r="G1214" i="3"/>
  <c r="G1213" i="3"/>
  <c r="G1212" i="3"/>
  <c r="G1211" i="3"/>
  <c r="G1210" i="3"/>
  <c r="G1209" i="3"/>
  <c r="G1208" i="3"/>
  <c r="G1207" i="3"/>
  <c r="G1206" i="3"/>
  <c r="G1205" i="3"/>
  <c r="G1204" i="3"/>
  <c r="G1203" i="3"/>
  <c r="G1202" i="3"/>
  <c r="G1201" i="3"/>
  <c r="G1200" i="3"/>
  <c r="G1199" i="3"/>
  <c r="G1198" i="3"/>
  <c r="G1197" i="3"/>
  <c r="G1196" i="3"/>
  <c r="G1195" i="3"/>
  <c r="G1194" i="3"/>
  <c r="G1193" i="3"/>
  <c r="G1192" i="3"/>
  <c r="G1191" i="3"/>
  <c r="G1190" i="3"/>
  <c r="G1189" i="3"/>
  <c r="G1188" i="3"/>
  <c r="G1187" i="3"/>
  <c r="G1186" i="3"/>
  <c r="G1185" i="3"/>
  <c r="G1184" i="3"/>
  <c r="G1183" i="3"/>
  <c r="G1182" i="3"/>
  <c r="G1181" i="3"/>
  <c r="G1180" i="3"/>
  <c r="G1179" i="3"/>
  <c r="G1178" i="3"/>
  <c r="G1177" i="3"/>
  <c r="G1176" i="3"/>
  <c r="G1175" i="3"/>
  <c r="G1174" i="3"/>
  <c r="G1173" i="3"/>
  <c r="G1172" i="3"/>
  <c r="G1171" i="3"/>
  <c r="G1170" i="3"/>
  <c r="G1169" i="3"/>
  <c r="G1168" i="3"/>
  <c r="G1167" i="3"/>
  <c r="G1166" i="3"/>
  <c r="G1165" i="3"/>
  <c r="G1164" i="3"/>
  <c r="G1163" i="3"/>
  <c r="G1162" i="3"/>
  <c r="G1161" i="3"/>
  <c r="G1160" i="3"/>
  <c r="G1159" i="3"/>
  <c r="G1158" i="3"/>
  <c r="G1157" i="3"/>
  <c r="G1156" i="3"/>
  <c r="G1155" i="3"/>
  <c r="G1154" i="3"/>
  <c r="G1153" i="3"/>
  <c r="G1152" i="3"/>
  <c r="G1151" i="3"/>
  <c r="G1150" i="3"/>
  <c r="G1149" i="3"/>
  <c r="G1148" i="3"/>
  <c r="G1147" i="3"/>
  <c r="G1146" i="3"/>
  <c r="G1145" i="3"/>
  <c r="G1144" i="3"/>
  <c r="G1143" i="3"/>
  <c r="G1142" i="3"/>
  <c r="G1141" i="3"/>
  <c r="G1140" i="3"/>
  <c r="G1139" i="3"/>
  <c r="G1138" i="3"/>
  <c r="G1137" i="3"/>
  <c r="G1136" i="3"/>
  <c r="G1135" i="3"/>
  <c r="G1134" i="3"/>
  <c r="G1133" i="3"/>
  <c r="G1132" i="3"/>
  <c r="G1131" i="3"/>
  <c r="G1130" i="3"/>
  <c r="G1129" i="3"/>
  <c r="G1128" i="3"/>
  <c r="G1127" i="3"/>
  <c r="G1126" i="3"/>
  <c r="G1125" i="3"/>
  <c r="G1124" i="3"/>
  <c r="G1123" i="3"/>
  <c r="G1122" i="3"/>
  <c r="G1121" i="3"/>
  <c r="G1120" i="3"/>
  <c r="G1119" i="3"/>
  <c r="G1118" i="3"/>
  <c r="G1117" i="3"/>
  <c r="G1116" i="3"/>
  <c r="G1115" i="3"/>
  <c r="G1114" i="3"/>
  <c r="G1113" i="3"/>
  <c r="G1112" i="3"/>
  <c r="G1111" i="3"/>
  <c r="G1110" i="3"/>
  <c r="G1109" i="3"/>
  <c r="G1108" i="3"/>
  <c r="G1107" i="3"/>
  <c r="G1106" i="3"/>
  <c r="G1105" i="3"/>
  <c r="G1104" i="3"/>
  <c r="G1103" i="3"/>
  <c r="G1102" i="3"/>
  <c r="G1101" i="3"/>
  <c r="G1100" i="3"/>
  <c r="G1099" i="3"/>
  <c r="G1098" i="3"/>
  <c r="G1097" i="3"/>
  <c r="G1096" i="3"/>
  <c r="G1095" i="3"/>
  <c r="G1094" i="3"/>
  <c r="G1093" i="3"/>
  <c r="G1092" i="3"/>
  <c r="G1091" i="3"/>
  <c r="G1090" i="3"/>
  <c r="G1089" i="3"/>
  <c r="G1088" i="3"/>
  <c r="G1087" i="3"/>
  <c r="G1086" i="3"/>
  <c r="G1085" i="3"/>
  <c r="G1084" i="3"/>
  <c r="G1083" i="3"/>
  <c r="G1082" i="3"/>
  <c r="G1081" i="3"/>
  <c r="G1080" i="3"/>
  <c r="G1079" i="3"/>
  <c r="G1078" i="3"/>
  <c r="G1077" i="3"/>
  <c r="G1076" i="3"/>
  <c r="G1075" i="3"/>
  <c r="G1074" i="3"/>
  <c r="G1073" i="3"/>
  <c r="G1072" i="3"/>
  <c r="G1071" i="3"/>
  <c r="G1070" i="3"/>
  <c r="G1069" i="3"/>
  <c r="G1068" i="3"/>
  <c r="G1067" i="3"/>
  <c r="G1066" i="3"/>
  <c r="G1065" i="3"/>
  <c r="G1064" i="3"/>
  <c r="G1063" i="3"/>
  <c r="G1062" i="3"/>
  <c r="G1061" i="3"/>
  <c r="G1060" i="3"/>
  <c r="G1059" i="3"/>
  <c r="G1058" i="3"/>
  <c r="G1057" i="3"/>
  <c r="G1056" i="3"/>
  <c r="G1055" i="3"/>
  <c r="G1054" i="3"/>
  <c r="G1053" i="3"/>
  <c r="G1052" i="3"/>
  <c r="G1051" i="3"/>
  <c r="G1050" i="3"/>
  <c r="G1049" i="3"/>
  <c r="G1048" i="3"/>
  <c r="G1047" i="3"/>
  <c r="G1046" i="3"/>
  <c r="G1045" i="3"/>
  <c r="G1044" i="3"/>
  <c r="G1043" i="3"/>
  <c r="G1042" i="3"/>
  <c r="G1041" i="3"/>
  <c r="G1040" i="3"/>
  <c r="G1039" i="3"/>
  <c r="G1038" i="3"/>
  <c r="G1037" i="3"/>
  <c r="G1036" i="3"/>
  <c r="G1035" i="3"/>
  <c r="G1034" i="3"/>
  <c r="G1033" i="3"/>
  <c r="G1032" i="3"/>
  <c r="G1031" i="3"/>
  <c r="G1030" i="3"/>
  <c r="G1029" i="3"/>
  <c r="G1028" i="3"/>
  <c r="G1027" i="3"/>
  <c r="G1026" i="3"/>
  <c r="G1025" i="3"/>
  <c r="G1024" i="3"/>
  <c r="G1023" i="3"/>
  <c r="G1022" i="3"/>
  <c r="G1021" i="3"/>
  <c r="G1020" i="3"/>
  <c r="G1019" i="3"/>
  <c r="G1018" i="3"/>
  <c r="G1017" i="3"/>
  <c r="G1016" i="3"/>
  <c r="G1015" i="3"/>
  <c r="G1014" i="3"/>
  <c r="G1013" i="3"/>
  <c r="G1012" i="3"/>
  <c r="G1011" i="3"/>
  <c r="G1010" i="3"/>
  <c r="G1009" i="3"/>
  <c r="G1008" i="3"/>
  <c r="G1007" i="3"/>
  <c r="G1006" i="3"/>
  <c r="G1005" i="3"/>
  <c r="G1004" i="3"/>
  <c r="G1003" i="3"/>
  <c r="G1002" i="3"/>
  <c r="G1001" i="3"/>
  <c r="G1000" i="3"/>
  <c r="G999" i="3"/>
  <c r="G998" i="3"/>
  <c r="G997" i="3"/>
  <c r="G996" i="3"/>
  <c r="G995" i="3"/>
  <c r="G994" i="3"/>
  <c r="G993" i="3"/>
  <c r="G992" i="3"/>
  <c r="G991" i="3"/>
  <c r="G990" i="3"/>
  <c r="G989" i="3"/>
  <c r="G988" i="3"/>
  <c r="G987" i="3"/>
  <c r="G986" i="3"/>
  <c r="G985" i="3"/>
  <c r="G984" i="3"/>
  <c r="G983" i="3"/>
  <c r="G982" i="3"/>
  <c r="G981" i="3"/>
  <c r="G980" i="3"/>
  <c r="G979" i="3"/>
  <c r="G978" i="3"/>
  <c r="G977" i="3"/>
  <c r="G976" i="3"/>
  <c r="G975" i="3"/>
  <c r="G974" i="3"/>
  <c r="G973" i="3"/>
  <c r="G972" i="3"/>
  <c r="G971" i="3"/>
  <c r="G970" i="3"/>
  <c r="G969" i="3"/>
  <c r="G968" i="3"/>
  <c r="G967" i="3"/>
  <c r="G966" i="3"/>
  <c r="G965" i="3"/>
  <c r="G964" i="3"/>
  <c r="G963" i="3"/>
  <c r="G962" i="3"/>
  <c r="G961" i="3"/>
  <c r="G960" i="3"/>
  <c r="G959" i="3"/>
  <c r="G958" i="3"/>
  <c r="G957" i="3"/>
  <c r="G956" i="3"/>
  <c r="G955" i="3"/>
  <c r="G954" i="3"/>
  <c r="G953" i="3"/>
  <c r="G952" i="3"/>
  <c r="G951" i="3"/>
  <c r="G950" i="3"/>
  <c r="G949" i="3"/>
  <c r="G948" i="3"/>
  <c r="G947" i="3"/>
  <c r="G946" i="3"/>
  <c r="G945" i="3"/>
  <c r="G944" i="3"/>
  <c r="G943" i="3"/>
  <c r="G942" i="3"/>
  <c r="G941" i="3"/>
  <c r="G940" i="3"/>
  <c r="G939" i="3"/>
  <c r="G938" i="3"/>
  <c r="G937" i="3"/>
  <c r="G936" i="3"/>
  <c r="G935" i="3"/>
  <c r="G934" i="3"/>
  <c r="G933" i="3"/>
  <c r="G932" i="3"/>
  <c r="G931" i="3"/>
  <c r="G930" i="3"/>
  <c r="G929" i="3"/>
  <c r="G928" i="3"/>
  <c r="G927" i="3"/>
  <c r="G926" i="3"/>
  <c r="G925" i="3"/>
  <c r="G924" i="3"/>
  <c r="G923" i="3"/>
  <c r="G922" i="3"/>
  <c r="G921" i="3"/>
  <c r="G920" i="3"/>
  <c r="G919" i="3"/>
  <c r="G918" i="3"/>
  <c r="G917" i="3"/>
  <c r="G916" i="3"/>
  <c r="G915" i="3"/>
  <c r="G914" i="3"/>
  <c r="G913" i="3"/>
  <c r="G912" i="3"/>
  <c r="G911" i="3"/>
  <c r="G910" i="3"/>
  <c r="G909" i="3"/>
  <c r="G908" i="3"/>
  <c r="G907" i="3"/>
  <c r="G906" i="3"/>
  <c r="G905" i="3"/>
  <c r="G904" i="3"/>
  <c r="G903" i="3"/>
  <c r="G902" i="3"/>
  <c r="G901" i="3"/>
  <c r="G900" i="3"/>
  <c r="G899" i="3"/>
  <c r="G898" i="3"/>
  <c r="G897" i="3"/>
  <c r="G896" i="3"/>
  <c r="G895" i="3"/>
  <c r="G894" i="3"/>
  <c r="G893" i="3"/>
  <c r="G892" i="3"/>
  <c r="G891" i="3"/>
  <c r="G890" i="3"/>
  <c r="G889" i="3"/>
  <c r="G888" i="3"/>
  <c r="G887" i="3"/>
  <c r="G886" i="3"/>
  <c r="G885" i="3"/>
  <c r="G884" i="3"/>
  <c r="G883" i="3"/>
  <c r="G882" i="3"/>
  <c r="G881" i="3"/>
  <c r="G880" i="3"/>
  <c r="G879" i="3"/>
  <c r="G878" i="3"/>
  <c r="G877" i="3"/>
  <c r="G876" i="3"/>
  <c r="G875" i="3"/>
  <c r="G874" i="3"/>
  <c r="G873" i="3"/>
  <c r="G872" i="3"/>
  <c r="G871" i="3"/>
  <c r="G870" i="3"/>
  <c r="G869" i="3"/>
  <c r="G868" i="3"/>
  <c r="G867" i="3"/>
  <c r="G866" i="3"/>
  <c r="G865" i="3"/>
  <c r="G864" i="3"/>
  <c r="G863" i="3"/>
  <c r="G862" i="3"/>
  <c r="G861" i="3"/>
  <c r="G860" i="3"/>
  <c r="G859" i="3"/>
  <c r="G858" i="3"/>
  <c r="G857" i="3"/>
  <c r="G856" i="3"/>
  <c r="G855" i="3"/>
  <c r="G854" i="3"/>
  <c r="G853" i="3"/>
  <c r="G852" i="3"/>
  <c r="G851" i="3"/>
  <c r="G850" i="3"/>
  <c r="G849" i="3"/>
  <c r="G848" i="3"/>
  <c r="G847" i="3"/>
  <c r="G846" i="3"/>
  <c r="G845" i="3"/>
  <c r="G844" i="3"/>
  <c r="G843" i="3"/>
  <c r="G842" i="3"/>
  <c r="G841" i="3"/>
  <c r="G840" i="3"/>
  <c r="G839" i="3"/>
  <c r="G838" i="3"/>
  <c r="G837" i="3"/>
  <c r="G836" i="3"/>
  <c r="G835" i="3"/>
  <c r="G834" i="3"/>
  <c r="G833" i="3"/>
  <c r="G832" i="3"/>
  <c r="G831" i="3"/>
  <c r="G830" i="3"/>
  <c r="G829" i="3"/>
  <c r="G828" i="3"/>
  <c r="G827" i="3"/>
  <c r="G826" i="3"/>
  <c r="G825" i="3"/>
  <c r="G824" i="3"/>
  <c r="G823" i="3"/>
  <c r="G822" i="3"/>
  <c r="G821" i="3"/>
  <c r="G820" i="3"/>
  <c r="G819" i="3"/>
  <c r="G818" i="3"/>
  <c r="G817" i="3"/>
  <c r="G816" i="3"/>
  <c r="G815" i="3"/>
  <c r="G814" i="3"/>
  <c r="G813" i="3"/>
  <c r="G812" i="3"/>
  <c r="G811" i="3"/>
  <c r="G810" i="3"/>
  <c r="G809" i="3"/>
  <c r="G808" i="3"/>
  <c r="G807" i="3"/>
  <c r="G806" i="3"/>
  <c r="G805" i="3"/>
  <c r="G804" i="3"/>
  <c r="G803" i="3"/>
  <c r="G802" i="3"/>
  <c r="G801" i="3"/>
  <c r="G800" i="3"/>
  <c r="G799" i="3"/>
  <c r="G798" i="3"/>
  <c r="G797" i="3"/>
  <c r="G796" i="3"/>
  <c r="G795" i="3"/>
  <c r="G794" i="3"/>
  <c r="G793" i="3"/>
  <c r="G792" i="3"/>
  <c r="G791" i="3"/>
  <c r="G790" i="3"/>
  <c r="G789" i="3"/>
  <c r="G788" i="3"/>
  <c r="G787" i="3"/>
  <c r="G786" i="3"/>
  <c r="G785" i="3"/>
  <c r="G784" i="3"/>
  <c r="G783" i="3"/>
  <c r="G782" i="3"/>
  <c r="G781" i="3"/>
  <c r="G780" i="3"/>
  <c r="G779" i="3"/>
  <c r="G778" i="3"/>
  <c r="G777" i="3"/>
  <c r="G776" i="3"/>
  <c r="G775" i="3"/>
  <c r="G774" i="3"/>
  <c r="G773" i="3"/>
  <c r="G772" i="3"/>
  <c r="G771" i="3"/>
  <c r="G770" i="3"/>
  <c r="G769" i="3"/>
  <c r="G768" i="3"/>
  <c r="G767" i="3"/>
  <c r="G766" i="3"/>
  <c r="G765" i="3"/>
  <c r="G764" i="3"/>
  <c r="G763" i="3"/>
  <c r="G762" i="3"/>
  <c r="G761" i="3"/>
  <c r="G760" i="3"/>
  <c r="G759" i="3"/>
  <c r="G758" i="3"/>
  <c r="G757" i="3"/>
  <c r="G756" i="3"/>
  <c r="G755" i="3"/>
  <c r="G754" i="3"/>
  <c r="G753" i="3"/>
  <c r="G752" i="3"/>
  <c r="G751" i="3"/>
  <c r="G750" i="3"/>
  <c r="G749" i="3"/>
  <c r="G748" i="3"/>
  <c r="G747" i="3"/>
  <c r="G746" i="3"/>
  <c r="G745" i="3"/>
  <c r="G744" i="3"/>
  <c r="G743" i="3"/>
  <c r="G742" i="3"/>
  <c r="G741" i="3"/>
  <c r="G740" i="3"/>
  <c r="G739" i="3"/>
  <c r="G738" i="3"/>
  <c r="G737" i="3"/>
  <c r="G736" i="3"/>
  <c r="G735" i="3"/>
  <c r="G734" i="3"/>
  <c r="G733" i="3"/>
  <c r="G732" i="3"/>
  <c r="G731" i="3"/>
  <c r="G730" i="3"/>
  <c r="G729" i="3"/>
  <c r="G728" i="3"/>
  <c r="G727" i="3"/>
  <c r="G726" i="3"/>
  <c r="G725" i="3"/>
  <c r="G724" i="3"/>
  <c r="G723" i="3"/>
  <c r="G722" i="3"/>
  <c r="G721" i="3"/>
  <c r="G720" i="3"/>
  <c r="G719" i="3"/>
  <c r="G718" i="3"/>
  <c r="G717" i="3"/>
  <c r="G716" i="3"/>
  <c r="G715" i="3"/>
  <c r="G714" i="3"/>
  <c r="G713" i="3"/>
  <c r="G712" i="3"/>
  <c r="G711" i="3"/>
  <c r="G710" i="3"/>
  <c r="G709" i="3"/>
  <c r="G708" i="3"/>
  <c r="G707" i="3"/>
  <c r="G706" i="3"/>
  <c r="G705" i="3"/>
  <c r="G704" i="3"/>
  <c r="G703" i="3"/>
  <c r="G702" i="3"/>
  <c r="G701" i="3"/>
  <c r="G700" i="3"/>
  <c r="G699" i="3"/>
  <c r="G698" i="3"/>
  <c r="G697" i="3"/>
  <c r="G696" i="3"/>
  <c r="G695" i="3"/>
  <c r="G694" i="3"/>
  <c r="G693" i="3"/>
  <c r="G692" i="3"/>
  <c r="G691" i="3"/>
  <c r="G690" i="3"/>
  <c r="G689" i="3"/>
  <c r="G688" i="3"/>
  <c r="G687" i="3"/>
  <c r="G686" i="3"/>
  <c r="G685" i="3"/>
  <c r="G684" i="3"/>
  <c r="G683" i="3"/>
  <c r="G682" i="3"/>
  <c r="G681" i="3"/>
  <c r="G680" i="3"/>
  <c r="G679" i="3"/>
  <c r="G678" i="3"/>
  <c r="G677" i="3"/>
  <c r="G676" i="3"/>
  <c r="G675" i="3"/>
  <c r="G674" i="3"/>
  <c r="G673" i="3"/>
  <c r="G672" i="3"/>
  <c r="G671" i="3"/>
  <c r="G670" i="3"/>
  <c r="G669" i="3"/>
  <c r="G668" i="3"/>
  <c r="G667" i="3"/>
  <c r="G666" i="3"/>
  <c r="G665" i="3"/>
  <c r="G664" i="3"/>
  <c r="G663" i="3"/>
  <c r="G662" i="3"/>
  <c r="G661" i="3"/>
  <c r="G660" i="3"/>
  <c r="G659" i="3"/>
  <c r="G658" i="3"/>
  <c r="G657" i="3"/>
  <c r="G656" i="3"/>
  <c r="G655" i="3"/>
  <c r="G654" i="3"/>
  <c r="G653" i="3"/>
  <c r="G652" i="3"/>
  <c r="G651" i="3"/>
  <c r="G650" i="3"/>
  <c r="G649" i="3"/>
  <c r="G648" i="3"/>
  <c r="G647" i="3"/>
  <c r="G646" i="3"/>
  <c r="G645" i="3"/>
  <c r="G644" i="3"/>
  <c r="G643" i="3"/>
  <c r="G642" i="3"/>
  <c r="G641" i="3"/>
  <c r="G640" i="3"/>
  <c r="G639" i="3"/>
  <c r="G638" i="3"/>
  <c r="G637" i="3"/>
  <c r="G636" i="3"/>
  <c r="G635" i="3"/>
  <c r="G634" i="3"/>
  <c r="G633" i="3"/>
  <c r="G632" i="3"/>
  <c r="G631" i="3"/>
  <c r="G630" i="3"/>
  <c r="G629" i="3"/>
  <c r="G628" i="3"/>
  <c r="G627" i="3"/>
  <c r="G626" i="3"/>
  <c r="G625" i="3"/>
  <c r="G624" i="3"/>
  <c r="G623" i="3"/>
  <c r="G622" i="3"/>
  <c r="G621" i="3"/>
  <c r="G620" i="3"/>
  <c r="G619" i="3"/>
  <c r="G618" i="3"/>
  <c r="G617" i="3"/>
  <c r="G616" i="3"/>
  <c r="G615" i="3"/>
  <c r="G614" i="3"/>
  <c r="G613" i="3"/>
  <c r="G612" i="3"/>
  <c r="G611" i="3"/>
  <c r="G610" i="3"/>
  <c r="G609" i="3"/>
  <c r="G608" i="3"/>
  <c r="G607" i="3"/>
  <c r="G606" i="3"/>
  <c r="G605" i="3"/>
  <c r="G604" i="3"/>
  <c r="G603" i="3"/>
  <c r="G602" i="3"/>
  <c r="G601" i="3"/>
  <c r="G600" i="3"/>
  <c r="G599" i="3"/>
  <c r="G598" i="3"/>
  <c r="G597" i="3"/>
  <c r="G596" i="3"/>
  <c r="G595" i="3"/>
  <c r="G594" i="3"/>
  <c r="G593" i="3"/>
  <c r="G592" i="3"/>
  <c r="G591" i="3"/>
  <c r="G590" i="3"/>
  <c r="G589" i="3"/>
  <c r="G588" i="3"/>
  <c r="G587" i="3"/>
  <c r="G586" i="3"/>
  <c r="G585" i="3"/>
  <c r="G584" i="3"/>
  <c r="G583" i="3"/>
  <c r="G582" i="3"/>
  <c r="G581" i="3"/>
  <c r="G580" i="3"/>
  <c r="G579" i="3"/>
  <c r="G578" i="3"/>
  <c r="G577" i="3"/>
  <c r="G576" i="3"/>
  <c r="G575" i="3"/>
  <c r="G574" i="3"/>
  <c r="G573" i="3"/>
  <c r="G572" i="3"/>
  <c r="G571" i="3"/>
  <c r="G570" i="3"/>
  <c r="G569" i="3"/>
  <c r="G568" i="3"/>
  <c r="G567" i="3"/>
  <c r="G566" i="3"/>
  <c r="G565" i="3"/>
  <c r="G564" i="3"/>
  <c r="G563" i="3"/>
  <c r="G562" i="3"/>
  <c r="G561" i="3"/>
  <c r="G560" i="3"/>
  <c r="G559" i="3"/>
  <c r="G558" i="3"/>
  <c r="G557" i="3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B2498" i="3" l="1"/>
  <c r="B2497" i="3"/>
  <c r="B2496" i="3"/>
  <c r="B2495" i="3"/>
  <c r="B2494" i="3"/>
  <c r="B2493" i="3"/>
  <c r="B2492" i="3"/>
  <c r="B2491" i="3"/>
  <c r="B2490" i="3"/>
  <c r="B2489" i="3"/>
  <c r="B2488" i="3"/>
  <c r="B2487" i="3"/>
  <c r="B2486" i="3"/>
  <c r="B2485" i="3"/>
  <c r="B2484" i="3"/>
  <c r="B2483" i="3"/>
  <c r="B2482" i="3"/>
  <c r="B2481" i="3"/>
  <c r="B2480" i="3"/>
  <c r="B2479" i="3"/>
  <c r="B2478" i="3"/>
  <c r="B2477" i="3"/>
  <c r="B2476" i="3"/>
  <c r="B2475" i="3"/>
  <c r="B2474" i="3"/>
  <c r="B2473" i="3"/>
  <c r="B2472" i="3"/>
  <c r="B2471" i="3"/>
  <c r="B2470" i="3"/>
  <c r="B2469" i="3"/>
  <c r="B2468" i="3"/>
  <c r="B2467" i="3"/>
  <c r="B2466" i="3"/>
  <c r="B2465" i="3"/>
  <c r="B2464" i="3"/>
  <c r="B2463" i="3"/>
  <c r="B2462" i="3"/>
  <c r="B2461" i="3"/>
  <c r="B2460" i="3"/>
  <c r="B2459" i="3"/>
  <c r="B2458" i="3"/>
  <c r="B2457" i="3"/>
  <c r="B2456" i="3"/>
  <c r="B2455" i="3"/>
  <c r="B2454" i="3"/>
  <c r="B2453" i="3"/>
  <c r="B2452" i="3"/>
  <c r="B2451" i="3"/>
  <c r="B2450" i="3"/>
  <c r="B2449" i="3"/>
  <c r="B2448" i="3"/>
  <c r="B2447" i="3"/>
  <c r="B2446" i="3"/>
  <c r="B2445" i="3"/>
  <c r="B2444" i="3"/>
  <c r="B2443" i="3"/>
  <c r="B2442" i="3"/>
  <c r="B2441" i="3"/>
  <c r="B2440" i="3"/>
  <c r="B2439" i="3"/>
  <c r="B2438" i="3"/>
  <c r="B2437" i="3"/>
  <c r="B2436" i="3"/>
  <c r="B2435" i="3"/>
  <c r="B2434" i="3"/>
  <c r="B2433" i="3"/>
  <c r="B2432" i="3"/>
  <c r="B2431" i="3"/>
  <c r="B2430" i="3"/>
  <c r="B2429" i="3"/>
  <c r="B2428" i="3"/>
  <c r="B2427" i="3"/>
  <c r="B2426" i="3"/>
  <c r="B2425" i="3"/>
  <c r="B2424" i="3"/>
  <c r="B2423" i="3"/>
  <c r="B2422" i="3"/>
  <c r="B2421" i="3"/>
  <c r="B2420" i="3"/>
  <c r="B2419" i="3"/>
  <c r="B2418" i="3"/>
  <c r="B2417" i="3"/>
  <c r="B2416" i="3"/>
  <c r="B2415" i="3"/>
  <c r="B2414" i="3"/>
  <c r="B2413" i="3"/>
  <c r="B2412" i="3"/>
  <c r="B2411" i="3"/>
  <c r="B2410" i="3"/>
  <c r="B2409" i="3"/>
  <c r="B2408" i="3"/>
  <c r="B2407" i="3"/>
  <c r="B2406" i="3"/>
  <c r="B2405" i="3"/>
  <c r="B2404" i="3"/>
  <c r="B2403" i="3"/>
  <c r="B2402" i="3"/>
  <c r="B2401" i="3"/>
  <c r="B2400" i="3"/>
  <c r="B2399" i="3"/>
  <c r="B2398" i="3"/>
  <c r="B2397" i="3"/>
  <c r="B2396" i="3"/>
  <c r="B2395" i="3"/>
  <c r="B2394" i="3"/>
  <c r="B2393" i="3"/>
  <c r="B2392" i="3"/>
  <c r="B2391" i="3"/>
  <c r="B2390" i="3"/>
  <c r="B2389" i="3"/>
  <c r="B2388" i="3"/>
  <c r="B2387" i="3"/>
  <c r="B2386" i="3"/>
  <c r="B2385" i="3"/>
  <c r="B2384" i="3"/>
  <c r="B2383" i="3"/>
  <c r="B2382" i="3"/>
  <c r="B2381" i="3"/>
  <c r="B2380" i="3"/>
  <c r="B2379" i="3"/>
  <c r="B2378" i="3"/>
  <c r="B2377" i="3"/>
  <c r="B2376" i="3"/>
  <c r="B2375" i="3"/>
  <c r="B2374" i="3"/>
  <c r="B2373" i="3"/>
  <c r="B2372" i="3"/>
  <c r="B2371" i="3"/>
  <c r="B2370" i="3"/>
  <c r="B2369" i="3"/>
  <c r="B2368" i="3"/>
  <c r="B2367" i="3"/>
  <c r="B2366" i="3"/>
  <c r="B2365" i="3"/>
  <c r="B2364" i="3"/>
  <c r="B2363" i="3"/>
  <c r="B2362" i="3"/>
  <c r="B2361" i="3"/>
  <c r="B2360" i="3"/>
  <c r="B2359" i="3"/>
  <c r="B2358" i="3"/>
  <c r="B2357" i="3"/>
  <c r="B2356" i="3"/>
  <c r="B2355" i="3"/>
  <c r="B2354" i="3"/>
  <c r="B2353" i="3"/>
  <c r="B2352" i="3"/>
  <c r="B2351" i="3"/>
  <c r="B2350" i="3"/>
  <c r="B2349" i="3"/>
  <c r="B2348" i="3"/>
  <c r="B2347" i="3"/>
  <c r="B2346" i="3"/>
  <c r="B2345" i="3"/>
  <c r="B2344" i="3"/>
  <c r="B2343" i="3"/>
  <c r="B2342" i="3"/>
  <c r="B2341" i="3"/>
  <c r="B2340" i="3"/>
  <c r="B2339" i="3"/>
  <c r="B2338" i="3"/>
  <c r="B2337" i="3"/>
  <c r="B2336" i="3"/>
  <c r="B2335" i="3"/>
  <c r="B2334" i="3"/>
  <c r="B2333" i="3"/>
  <c r="B2332" i="3"/>
  <c r="B2331" i="3"/>
  <c r="B2330" i="3"/>
  <c r="B2329" i="3"/>
  <c r="B2328" i="3"/>
  <c r="B2327" i="3"/>
  <c r="B2326" i="3"/>
  <c r="B2325" i="3"/>
  <c r="B2324" i="3"/>
  <c r="B2323" i="3"/>
  <c r="B2322" i="3"/>
  <c r="B2321" i="3"/>
  <c r="B2320" i="3"/>
  <c r="B2319" i="3"/>
  <c r="B2318" i="3"/>
  <c r="B2317" i="3"/>
  <c r="B2316" i="3"/>
  <c r="B2315" i="3"/>
  <c r="B2314" i="3"/>
  <c r="B2313" i="3"/>
  <c r="B2312" i="3"/>
  <c r="B2311" i="3"/>
  <c r="B2310" i="3"/>
  <c r="B2309" i="3"/>
  <c r="B2308" i="3"/>
  <c r="B2307" i="3"/>
  <c r="B2306" i="3"/>
  <c r="B2305" i="3"/>
  <c r="B2304" i="3"/>
  <c r="B2303" i="3"/>
  <c r="B2302" i="3"/>
  <c r="B2301" i="3"/>
  <c r="B2300" i="3"/>
  <c r="B2299" i="3"/>
  <c r="B2298" i="3"/>
  <c r="B2297" i="3"/>
  <c r="B2296" i="3"/>
  <c r="B2295" i="3"/>
  <c r="B2294" i="3"/>
  <c r="B2293" i="3"/>
  <c r="B2292" i="3"/>
  <c r="B2291" i="3"/>
  <c r="B2290" i="3"/>
  <c r="B2289" i="3"/>
  <c r="B2288" i="3"/>
  <c r="B2287" i="3"/>
  <c r="B2286" i="3"/>
  <c r="B2285" i="3"/>
  <c r="B2284" i="3"/>
  <c r="B2283" i="3"/>
  <c r="B2282" i="3"/>
  <c r="B2281" i="3"/>
  <c r="B2280" i="3"/>
  <c r="B2279" i="3"/>
  <c r="B2278" i="3"/>
  <c r="B2277" i="3"/>
  <c r="B2276" i="3"/>
  <c r="B2275" i="3"/>
  <c r="B2274" i="3"/>
  <c r="B2273" i="3"/>
  <c r="B2272" i="3"/>
  <c r="B2271" i="3"/>
  <c r="B2270" i="3"/>
  <c r="B2269" i="3"/>
  <c r="B2268" i="3"/>
  <c r="B2267" i="3"/>
  <c r="B2266" i="3"/>
  <c r="B2265" i="3"/>
  <c r="B2264" i="3"/>
  <c r="B2263" i="3"/>
  <c r="B2262" i="3"/>
  <c r="B2261" i="3"/>
  <c r="B2260" i="3"/>
  <c r="B2259" i="3"/>
  <c r="B2258" i="3"/>
  <c r="B2257" i="3"/>
  <c r="B2256" i="3"/>
  <c r="B2255" i="3"/>
  <c r="B2254" i="3"/>
  <c r="B2253" i="3"/>
  <c r="B2252" i="3"/>
  <c r="B2251" i="3"/>
  <c r="B2250" i="3"/>
  <c r="B2249" i="3"/>
  <c r="B2248" i="3"/>
  <c r="B2247" i="3"/>
  <c r="B2246" i="3"/>
  <c r="B2245" i="3"/>
  <c r="B2244" i="3"/>
  <c r="B2243" i="3"/>
  <c r="B2242" i="3"/>
  <c r="B2241" i="3"/>
  <c r="B2240" i="3"/>
  <c r="B2239" i="3"/>
  <c r="B2238" i="3"/>
  <c r="B2237" i="3"/>
  <c r="B2236" i="3"/>
  <c r="B2235" i="3"/>
  <c r="B2234" i="3"/>
  <c r="B2233" i="3"/>
  <c r="B2232" i="3"/>
  <c r="B2231" i="3"/>
  <c r="B2230" i="3"/>
  <c r="B2229" i="3"/>
  <c r="B2228" i="3"/>
  <c r="B2227" i="3"/>
  <c r="B2226" i="3"/>
  <c r="B2225" i="3"/>
  <c r="B2224" i="3"/>
  <c r="B2223" i="3"/>
  <c r="B2222" i="3"/>
  <c r="B2221" i="3"/>
  <c r="B2220" i="3"/>
  <c r="B2219" i="3"/>
  <c r="B2218" i="3"/>
  <c r="B2217" i="3"/>
  <c r="B2216" i="3"/>
  <c r="B2215" i="3"/>
  <c r="B2214" i="3"/>
  <c r="B2213" i="3"/>
  <c r="B2212" i="3"/>
  <c r="B2211" i="3"/>
  <c r="B2210" i="3"/>
  <c r="B2209" i="3"/>
  <c r="B2208" i="3"/>
  <c r="B2207" i="3"/>
  <c r="B2206" i="3"/>
  <c r="B2205" i="3"/>
  <c r="B2204" i="3"/>
  <c r="B2203" i="3"/>
  <c r="B2202" i="3"/>
  <c r="B2201" i="3"/>
  <c r="B2200" i="3"/>
  <c r="B2199" i="3"/>
  <c r="B2198" i="3"/>
  <c r="B2197" i="3"/>
  <c r="B2196" i="3"/>
  <c r="B2195" i="3"/>
  <c r="B2194" i="3"/>
  <c r="B2193" i="3"/>
  <c r="B2192" i="3"/>
  <c r="B2191" i="3"/>
  <c r="B2190" i="3"/>
  <c r="B2189" i="3"/>
  <c r="B2188" i="3"/>
  <c r="B2187" i="3"/>
  <c r="B2186" i="3"/>
  <c r="B2185" i="3"/>
  <c r="B2184" i="3"/>
  <c r="B2183" i="3"/>
  <c r="B2182" i="3"/>
  <c r="B2181" i="3"/>
  <c r="B2180" i="3"/>
  <c r="B2179" i="3"/>
  <c r="B2178" i="3"/>
  <c r="B2177" i="3"/>
  <c r="B2176" i="3"/>
  <c r="B2175" i="3"/>
  <c r="B2174" i="3"/>
  <c r="B2173" i="3"/>
  <c r="B2172" i="3"/>
  <c r="B2171" i="3"/>
  <c r="B2170" i="3"/>
  <c r="B2169" i="3"/>
  <c r="B2168" i="3"/>
  <c r="B2167" i="3"/>
  <c r="B2166" i="3"/>
  <c r="B2165" i="3"/>
  <c r="B2164" i="3"/>
  <c r="B2163" i="3"/>
  <c r="B2162" i="3"/>
  <c r="B2161" i="3"/>
  <c r="B2160" i="3"/>
  <c r="B2159" i="3"/>
  <c r="B2158" i="3"/>
  <c r="B2157" i="3"/>
  <c r="B2156" i="3"/>
  <c r="B2155" i="3"/>
  <c r="B2154" i="3"/>
  <c r="B2153" i="3"/>
  <c r="B2152" i="3"/>
  <c r="B2151" i="3"/>
  <c r="B2150" i="3"/>
  <c r="B2149" i="3"/>
  <c r="B2148" i="3"/>
  <c r="B2147" i="3"/>
  <c r="B2146" i="3"/>
  <c r="B2145" i="3"/>
  <c r="B2144" i="3"/>
  <c r="B2143" i="3"/>
  <c r="B2142" i="3"/>
  <c r="B2141" i="3"/>
  <c r="B2140" i="3"/>
  <c r="B2139" i="3"/>
  <c r="B2138" i="3"/>
  <c r="B2137" i="3"/>
  <c r="B2136" i="3"/>
  <c r="B2135" i="3"/>
  <c r="B2134" i="3"/>
  <c r="B2133" i="3"/>
  <c r="B2132" i="3"/>
  <c r="B2131" i="3"/>
  <c r="B2130" i="3"/>
  <c r="B2129" i="3"/>
  <c r="B2128" i="3"/>
  <c r="B2127" i="3"/>
  <c r="B2126" i="3"/>
  <c r="B2125" i="3"/>
  <c r="B2124" i="3"/>
  <c r="B2123" i="3"/>
  <c r="B2122" i="3"/>
  <c r="B2121" i="3"/>
  <c r="B2120" i="3"/>
  <c r="B2119" i="3"/>
  <c r="B2118" i="3"/>
  <c r="B2117" i="3"/>
  <c r="B2116" i="3"/>
  <c r="B2115" i="3"/>
  <c r="B2114" i="3"/>
  <c r="B2113" i="3"/>
  <c r="B2112" i="3"/>
  <c r="B2111" i="3"/>
  <c r="B2110" i="3"/>
  <c r="B2109" i="3"/>
  <c r="B2108" i="3"/>
  <c r="B2107" i="3"/>
  <c r="B2106" i="3"/>
  <c r="B2105" i="3"/>
  <c r="B2104" i="3"/>
  <c r="B2103" i="3"/>
  <c r="B2102" i="3"/>
  <c r="B2101" i="3"/>
  <c r="B2100" i="3"/>
  <c r="B2099" i="3"/>
  <c r="B2098" i="3"/>
  <c r="B2097" i="3"/>
  <c r="B2096" i="3"/>
  <c r="B2095" i="3"/>
  <c r="B2094" i="3"/>
  <c r="B2093" i="3"/>
  <c r="B2092" i="3"/>
  <c r="B2091" i="3"/>
  <c r="B2090" i="3"/>
  <c r="B2089" i="3"/>
  <c r="B2088" i="3"/>
  <c r="B2087" i="3"/>
  <c r="B2086" i="3"/>
  <c r="B2085" i="3"/>
  <c r="B2084" i="3"/>
  <c r="B2083" i="3"/>
  <c r="B2082" i="3"/>
  <c r="B2081" i="3"/>
  <c r="B2080" i="3"/>
  <c r="B2079" i="3"/>
  <c r="B2078" i="3"/>
  <c r="B2077" i="3"/>
  <c r="B2076" i="3"/>
  <c r="B2075" i="3"/>
  <c r="B2074" i="3"/>
  <c r="B2073" i="3"/>
  <c r="B2072" i="3"/>
  <c r="B2071" i="3"/>
  <c r="B2070" i="3"/>
  <c r="B2069" i="3"/>
  <c r="B2068" i="3"/>
  <c r="B2067" i="3"/>
  <c r="B2066" i="3"/>
  <c r="B2065" i="3"/>
  <c r="B2064" i="3"/>
  <c r="B2063" i="3"/>
  <c r="B2062" i="3"/>
  <c r="B2061" i="3"/>
  <c r="B2060" i="3"/>
  <c r="B2059" i="3"/>
  <c r="B2058" i="3"/>
  <c r="B2057" i="3"/>
  <c r="B2056" i="3"/>
  <c r="B2055" i="3"/>
  <c r="B2054" i="3"/>
  <c r="B2053" i="3"/>
  <c r="B2052" i="3"/>
  <c r="B2051" i="3"/>
  <c r="B2050" i="3"/>
  <c r="B2049" i="3"/>
  <c r="B2048" i="3"/>
  <c r="B2047" i="3"/>
  <c r="B2046" i="3"/>
  <c r="B2045" i="3"/>
  <c r="B2044" i="3"/>
  <c r="B2043" i="3"/>
  <c r="B2042" i="3"/>
  <c r="B2041" i="3"/>
  <c r="B2040" i="3"/>
  <c r="B2039" i="3"/>
  <c r="B2038" i="3"/>
  <c r="B2037" i="3"/>
  <c r="B2036" i="3"/>
  <c r="B2035" i="3"/>
  <c r="B2034" i="3"/>
  <c r="B2033" i="3"/>
  <c r="B2032" i="3"/>
  <c r="B2031" i="3"/>
  <c r="B2030" i="3"/>
  <c r="B2029" i="3"/>
  <c r="B2028" i="3"/>
  <c r="B2027" i="3"/>
  <c r="B2026" i="3"/>
  <c r="B2025" i="3"/>
  <c r="B2024" i="3"/>
  <c r="B2023" i="3"/>
  <c r="B2022" i="3"/>
  <c r="B2021" i="3"/>
  <c r="B2020" i="3"/>
  <c r="B2019" i="3"/>
  <c r="B2018" i="3"/>
  <c r="B2017" i="3"/>
  <c r="B2016" i="3"/>
  <c r="B2015" i="3"/>
  <c r="B2014" i="3"/>
  <c r="B2013" i="3"/>
  <c r="B2012" i="3"/>
  <c r="B2011" i="3"/>
  <c r="B2010" i="3"/>
  <c r="B2009" i="3"/>
  <c r="B2008" i="3"/>
  <c r="B2007" i="3"/>
  <c r="B2006" i="3"/>
  <c r="B2005" i="3"/>
  <c r="B2004" i="3"/>
  <c r="B2003" i="3"/>
  <c r="B2002" i="3"/>
  <c r="B2001" i="3"/>
  <c r="B2000" i="3"/>
  <c r="B1999" i="3"/>
  <c r="B1998" i="3"/>
  <c r="B1997" i="3"/>
  <c r="B1996" i="3"/>
  <c r="B1995" i="3"/>
  <c r="B1994" i="3"/>
  <c r="B1993" i="3"/>
  <c r="B1992" i="3"/>
  <c r="B1991" i="3"/>
  <c r="B1990" i="3"/>
  <c r="B1989" i="3"/>
  <c r="B1988" i="3"/>
  <c r="B1987" i="3"/>
  <c r="B1986" i="3"/>
  <c r="B1985" i="3"/>
  <c r="B1984" i="3"/>
  <c r="B1983" i="3"/>
  <c r="B1982" i="3"/>
  <c r="B1981" i="3"/>
  <c r="B1980" i="3"/>
  <c r="B1979" i="3"/>
  <c r="B1978" i="3"/>
  <c r="B1977" i="3"/>
  <c r="B1976" i="3"/>
  <c r="B1975" i="3"/>
  <c r="B1974" i="3"/>
  <c r="B1973" i="3"/>
  <c r="B1972" i="3"/>
  <c r="B1971" i="3"/>
  <c r="B1970" i="3"/>
  <c r="B1969" i="3"/>
  <c r="B1968" i="3"/>
  <c r="B1967" i="3"/>
  <c r="B1966" i="3"/>
  <c r="B1965" i="3"/>
  <c r="B1964" i="3"/>
  <c r="B1963" i="3"/>
  <c r="B1962" i="3"/>
  <c r="B1961" i="3"/>
  <c r="B1960" i="3"/>
  <c r="B1959" i="3"/>
  <c r="B1958" i="3"/>
  <c r="B1957" i="3"/>
  <c r="B1956" i="3"/>
  <c r="B1955" i="3"/>
  <c r="B1954" i="3"/>
  <c r="B1953" i="3"/>
  <c r="B1952" i="3"/>
  <c r="B1951" i="3"/>
  <c r="B1950" i="3"/>
  <c r="B1949" i="3"/>
  <c r="B1948" i="3"/>
  <c r="B1947" i="3"/>
  <c r="B1946" i="3"/>
  <c r="B1945" i="3"/>
  <c r="B1944" i="3"/>
  <c r="B1943" i="3"/>
  <c r="B1942" i="3"/>
  <c r="B1941" i="3"/>
  <c r="B1940" i="3"/>
  <c r="B1939" i="3"/>
  <c r="B1938" i="3"/>
  <c r="B1937" i="3"/>
  <c r="B1936" i="3"/>
  <c r="B1935" i="3"/>
  <c r="B1934" i="3"/>
  <c r="B1933" i="3"/>
  <c r="B1932" i="3"/>
  <c r="B1931" i="3"/>
  <c r="B1930" i="3"/>
  <c r="B1929" i="3"/>
  <c r="B1928" i="3"/>
  <c r="B1927" i="3"/>
  <c r="B1926" i="3"/>
  <c r="B1925" i="3"/>
  <c r="B1924" i="3"/>
  <c r="B1923" i="3"/>
  <c r="B1922" i="3"/>
  <c r="B1921" i="3"/>
  <c r="B1920" i="3"/>
  <c r="B1919" i="3"/>
  <c r="B1918" i="3"/>
  <c r="B1917" i="3"/>
  <c r="B1916" i="3"/>
  <c r="B1915" i="3"/>
  <c r="B1914" i="3"/>
  <c r="B1913" i="3"/>
  <c r="B1912" i="3"/>
  <c r="B1911" i="3"/>
  <c r="B1910" i="3"/>
  <c r="B1909" i="3"/>
  <c r="B1908" i="3"/>
  <c r="B1907" i="3"/>
  <c r="B1906" i="3"/>
  <c r="B1905" i="3"/>
  <c r="B1904" i="3"/>
  <c r="B1903" i="3"/>
  <c r="B1902" i="3"/>
  <c r="B1901" i="3"/>
  <c r="B1900" i="3"/>
  <c r="B1899" i="3"/>
  <c r="B1898" i="3"/>
  <c r="B1897" i="3"/>
  <c r="B1896" i="3"/>
  <c r="B1895" i="3"/>
  <c r="B1894" i="3"/>
  <c r="B1893" i="3"/>
  <c r="B1892" i="3"/>
  <c r="B1891" i="3"/>
  <c r="B1890" i="3"/>
  <c r="B1889" i="3"/>
  <c r="B1888" i="3"/>
  <c r="B1887" i="3"/>
  <c r="B1886" i="3"/>
  <c r="B1885" i="3"/>
  <c r="B1884" i="3"/>
  <c r="B1883" i="3"/>
  <c r="B1882" i="3"/>
  <c r="B1881" i="3"/>
  <c r="B1880" i="3"/>
  <c r="B1879" i="3"/>
  <c r="B1878" i="3"/>
  <c r="B1877" i="3"/>
  <c r="B1876" i="3"/>
  <c r="B1875" i="3"/>
  <c r="B1874" i="3"/>
  <c r="B1873" i="3"/>
  <c r="B1872" i="3"/>
  <c r="B1871" i="3"/>
  <c r="B1870" i="3"/>
  <c r="B1869" i="3"/>
  <c r="B1868" i="3"/>
  <c r="B1867" i="3"/>
  <c r="B1866" i="3"/>
  <c r="B1865" i="3"/>
  <c r="B1864" i="3"/>
  <c r="B1863" i="3"/>
  <c r="B1862" i="3"/>
  <c r="B1861" i="3"/>
  <c r="B1860" i="3"/>
  <c r="B1859" i="3"/>
  <c r="B1858" i="3"/>
  <c r="B1857" i="3"/>
  <c r="B1856" i="3"/>
  <c r="B1855" i="3"/>
  <c r="B1854" i="3"/>
  <c r="B1853" i="3"/>
  <c r="B1852" i="3"/>
  <c r="B1851" i="3"/>
  <c r="B1850" i="3"/>
  <c r="B1849" i="3"/>
  <c r="B1848" i="3"/>
  <c r="B1847" i="3"/>
  <c r="B1846" i="3"/>
  <c r="B1845" i="3"/>
  <c r="B1844" i="3"/>
  <c r="B1843" i="3"/>
  <c r="B1842" i="3"/>
  <c r="B1841" i="3"/>
  <c r="B1840" i="3"/>
  <c r="B1839" i="3"/>
  <c r="B1838" i="3"/>
  <c r="B1837" i="3"/>
  <c r="B1836" i="3"/>
  <c r="B1835" i="3"/>
  <c r="B1834" i="3"/>
  <c r="B1833" i="3"/>
  <c r="B1832" i="3"/>
  <c r="B1831" i="3"/>
  <c r="B1830" i="3"/>
  <c r="B1829" i="3"/>
  <c r="B1828" i="3"/>
  <c r="B1827" i="3"/>
  <c r="B1826" i="3"/>
  <c r="B1825" i="3"/>
  <c r="B1824" i="3"/>
  <c r="B1823" i="3"/>
  <c r="B1822" i="3"/>
  <c r="B1821" i="3"/>
  <c r="B1820" i="3"/>
  <c r="B1819" i="3"/>
  <c r="B1818" i="3"/>
  <c r="B1817" i="3"/>
  <c r="B1816" i="3"/>
  <c r="B1815" i="3"/>
  <c r="B1814" i="3"/>
  <c r="B1813" i="3"/>
  <c r="B1812" i="3"/>
  <c r="B1811" i="3"/>
  <c r="B1810" i="3"/>
  <c r="B1809" i="3"/>
  <c r="B1808" i="3"/>
  <c r="B1807" i="3"/>
  <c r="B1806" i="3"/>
  <c r="B1805" i="3"/>
  <c r="B1804" i="3"/>
  <c r="B1803" i="3"/>
  <c r="B1802" i="3"/>
  <c r="B1801" i="3"/>
  <c r="B1800" i="3"/>
  <c r="B1799" i="3"/>
  <c r="B1798" i="3"/>
  <c r="B1797" i="3"/>
  <c r="B1796" i="3"/>
  <c r="B1795" i="3"/>
  <c r="B1794" i="3"/>
  <c r="B1793" i="3"/>
  <c r="B1792" i="3"/>
  <c r="B1791" i="3"/>
  <c r="B1790" i="3"/>
  <c r="B1789" i="3"/>
  <c r="B1788" i="3"/>
  <c r="B1787" i="3"/>
  <c r="B1786" i="3"/>
  <c r="B1785" i="3"/>
  <c r="B1784" i="3"/>
  <c r="B1783" i="3"/>
  <c r="B1782" i="3"/>
  <c r="B1781" i="3"/>
  <c r="B1780" i="3"/>
  <c r="B1779" i="3"/>
  <c r="B1778" i="3"/>
  <c r="B1777" i="3"/>
  <c r="B1776" i="3"/>
  <c r="B1775" i="3"/>
  <c r="B1774" i="3"/>
  <c r="B1773" i="3"/>
  <c r="B1772" i="3"/>
  <c r="B1771" i="3"/>
  <c r="B1770" i="3"/>
  <c r="B1769" i="3"/>
  <c r="B1768" i="3"/>
  <c r="B1767" i="3"/>
  <c r="B1766" i="3"/>
  <c r="B1765" i="3"/>
  <c r="B1764" i="3"/>
  <c r="B1763" i="3"/>
  <c r="B1762" i="3"/>
  <c r="B1761" i="3"/>
  <c r="B1760" i="3"/>
  <c r="B1759" i="3"/>
  <c r="B1758" i="3"/>
  <c r="B1757" i="3"/>
  <c r="B1756" i="3"/>
  <c r="B1755" i="3"/>
  <c r="B1754" i="3"/>
  <c r="B1753" i="3"/>
  <c r="B1752" i="3"/>
  <c r="B1751" i="3"/>
  <c r="B1750" i="3"/>
  <c r="B1749" i="3"/>
  <c r="B1748" i="3"/>
  <c r="B1747" i="3"/>
  <c r="B1746" i="3"/>
  <c r="B1745" i="3"/>
  <c r="B1744" i="3"/>
  <c r="B1743" i="3"/>
  <c r="B1742" i="3"/>
  <c r="B1741" i="3"/>
  <c r="B1740" i="3"/>
  <c r="B1739" i="3"/>
  <c r="B1738" i="3"/>
  <c r="B1737" i="3"/>
  <c r="B1736" i="3"/>
  <c r="B1735" i="3"/>
  <c r="B1734" i="3"/>
  <c r="B1733" i="3"/>
  <c r="B1732" i="3"/>
  <c r="B1731" i="3"/>
  <c r="B1730" i="3"/>
  <c r="B1729" i="3"/>
  <c r="B1728" i="3"/>
  <c r="B1727" i="3"/>
  <c r="B1726" i="3"/>
  <c r="B1725" i="3"/>
  <c r="B1724" i="3"/>
  <c r="B1723" i="3"/>
  <c r="B1722" i="3"/>
  <c r="B1721" i="3"/>
  <c r="B1720" i="3"/>
  <c r="B1719" i="3"/>
  <c r="B1718" i="3"/>
  <c r="B1717" i="3"/>
  <c r="B1716" i="3"/>
  <c r="B1715" i="3"/>
  <c r="B1714" i="3"/>
  <c r="B1713" i="3"/>
  <c r="B1712" i="3"/>
  <c r="B1711" i="3"/>
  <c r="B1710" i="3"/>
  <c r="B1709" i="3"/>
  <c r="B1708" i="3"/>
  <c r="B1707" i="3"/>
  <c r="B1706" i="3"/>
  <c r="B1705" i="3"/>
  <c r="B1704" i="3"/>
  <c r="B1703" i="3"/>
  <c r="B1702" i="3"/>
  <c r="B1701" i="3"/>
  <c r="B1700" i="3"/>
  <c r="B1699" i="3"/>
  <c r="B1698" i="3"/>
  <c r="B1697" i="3"/>
  <c r="B1696" i="3"/>
  <c r="B1695" i="3"/>
  <c r="B1694" i="3"/>
  <c r="B1693" i="3"/>
  <c r="B1692" i="3"/>
  <c r="B1691" i="3"/>
  <c r="B1690" i="3"/>
  <c r="B1689" i="3"/>
  <c r="B1688" i="3"/>
  <c r="B1687" i="3"/>
  <c r="B1686" i="3"/>
  <c r="B1685" i="3"/>
  <c r="B1684" i="3"/>
  <c r="B1683" i="3"/>
  <c r="B1682" i="3"/>
  <c r="B1681" i="3"/>
  <c r="B1680" i="3"/>
  <c r="B1679" i="3"/>
  <c r="B1678" i="3"/>
  <c r="B1677" i="3"/>
  <c r="B1676" i="3"/>
  <c r="B1675" i="3"/>
  <c r="B1674" i="3"/>
  <c r="B1673" i="3"/>
  <c r="B1672" i="3"/>
  <c r="B1671" i="3"/>
  <c r="B1670" i="3"/>
  <c r="B1669" i="3"/>
  <c r="B1668" i="3"/>
  <c r="B1667" i="3"/>
  <c r="B1666" i="3"/>
  <c r="B1665" i="3"/>
  <c r="B1664" i="3"/>
  <c r="B1663" i="3"/>
  <c r="B1662" i="3"/>
  <c r="B1661" i="3"/>
  <c r="B1660" i="3"/>
  <c r="B1659" i="3"/>
  <c r="B1658" i="3"/>
  <c r="B1657" i="3"/>
  <c r="B1656" i="3"/>
  <c r="B1655" i="3"/>
  <c r="B1654" i="3"/>
  <c r="B1653" i="3"/>
  <c r="B1652" i="3"/>
  <c r="B1651" i="3"/>
  <c r="B1650" i="3"/>
  <c r="B1649" i="3"/>
  <c r="B1648" i="3"/>
  <c r="B1647" i="3"/>
  <c r="B1646" i="3"/>
  <c r="B1645" i="3"/>
  <c r="B1644" i="3"/>
  <c r="B1643" i="3"/>
  <c r="B1642" i="3"/>
  <c r="B1641" i="3"/>
  <c r="B1640" i="3"/>
  <c r="B1639" i="3"/>
  <c r="B1638" i="3"/>
  <c r="B1637" i="3"/>
  <c r="B1636" i="3"/>
  <c r="B1635" i="3"/>
  <c r="B1634" i="3"/>
  <c r="B1633" i="3"/>
  <c r="B1632" i="3"/>
  <c r="B1631" i="3"/>
  <c r="B1630" i="3"/>
  <c r="B1629" i="3"/>
  <c r="B1628" i="3"/>
  <c r="B1627" i="3"/>
  <c r="B1626" i="3"/>
  <c r="B1625" i="3"/>
  <c r="B1624" i="3"/>
  <c r="B1623" i="3"/>
  <c r="B1622" i="3"/>
  <c r="B1621" i="3"/>
  <c r="B1620" i="3"/>
  <c r="B1619" i="3"/>
  <c r="B1618" i="3"/>
  <c r="B1617" i="3"/>
  <c r="B1616" i="3"/>
  <c r="B1615" i="3"/>
  <c r="B1614" i="3"/>
  <c r="B1613" i="3"/>
  <c r="B1612" i="3"/>
  <c r="B1611" i="3"/>
  <c r="B1610" i="3"/>
  <c r="B1609" i="3"/>
  <c r="B1608" i="3"/>
  <c r="B1607" i="3"/>
  <c r="B1606" i="3"/>
  <c r="B1605" i="3"/>
  <c r="B1604" i="3"/>
  <c r="B1603" i="3"/>
  <c r="B1602" i="3"/>
  <c r="B1601" i="3"/>
  <c r="B1600" i="3"/>
  <c r="B1599" i="3"/>
  <c r="B1598" i="3"/>
  <c r="B1597" i="3"/>
  <c r="B1596" i="3"/>
  <c r="B1595" i="3"/>
  <c r="B1594" i="3"/>
  <c r="B1593" i="3"/>
  <c r="B1592" i="3"/>
  <c r="B1591" i="3"/>
  <c r="B1590" i="3"/>
  <c r="B1589" i="3"/>
  <c r="B1588" i="3"/>
  <c r="B1587" i="3"/>
  <c r="B1586" i="3"/>
  <c r="B1585" i="3"/>
  <c r="B1584" i="3"/>
  <c r="B1583" i="3"/>
  <c r="B1582" i="3"/>
  <c r="B1581" i="3"/>
  <c r="B1580" i="3"/>
  <c r="B1579" i="3"/>
  <c r="B1578" i="3"/>
  <c r="B1577" i="3"/>
  <c r="B1576" i="3"/>
  <c r="B1575" i="3"/>
  <c r="B1574" i="3"/>
  <c r="B1573" i="3"/>
  <c r="B1572" i="3"/>
  <c r="B1571" i="3"/>
  <c r="B1570" i="3"/>
  <c r="B1569" i="3"/>
  <c r="B1568" i="3"/>
  <c r="B1567" i="3"/>
  <c r="B1566" i="3"/>
  <c r="B1565" i="3"/>
  <c r="B1564" i="3"/>
  <c r="B1563" i="3"/>
  <c r="B1562" i="3"/>
  <c r="B1561" i="3"/>
  <c r="B1560" i="3"/>
  <c r="B1559" i="3"/>
  <c r="B1558" i="3"/>
  <c r="B1557" i="3"/>
  <c r="B1556" i="3"/>
  <c r="B1555" i="3"/>
  <c r="B1554" i="3"/>
  <c r="B1553" i="3"/>
  <c r="B1552" i="3"/>
  <c r="B1551" i="3"/>
  <c r="B1550" i="3"/>
  <c r="B1549" i="3"/>
  <c r="B1548" i="3"/>
  <c r="B1547" i="3"/>
  <c r="B1546" i="3"/>
  <c r="B1545" i="3"/>
  <c r="B1544" i="3"/>
  <c r="B1543" i="3"/>
  <c r="B1542" i="3"/>
  <c r="B1541" i="3"/>
  <c r="B1540" i="3"/>
  <c r="B1539" i="3"/>
  <c r="B1538" i="3"/>
  <c r="B1537" i="3"/>
  <c r="B1536" i="3"/>
  <c r="B1535" i="3"/>
  <c r="B1534" i="3"/>
  <c r="B1533" i="3"/>
  <c r="B1532" i="3"/>
  <c r="B1531" i="3"/>
  <c r="B1530" i="3"/>
  <c r="B1529" i="3"/>
  <c r="B1528" i="3"/>
  <c r="B1527" i="3"/>
  <c r="B1526" i="3"/>
  <c r="B1525" i="3"/>
  <c r="B1524" i="3"/>
  <c r="B1523" i="3"/>
  <c r="B1522" i="3"/>
  <c r="B1521" i="3"/>
  <c r="B1520" i="3"/>
  <c r="B1519" i="3"/>
  <c r="B1518" i="3"/>
  <c r="B1517" i="3"/>
  <c r="B1516" i="3"/>
  <c r="B1515" i="3"/>
  <c r="B1514" i="3"/>
  <c r="B1513" i="3"/>
  <c r="B1512" i="3"/>
  <c r="B1511" i="3"/>
  <c r="B1510" i="3"/>
  <c r="B1509" i="3"/>
  <c r="B1508" i="3"/>
  <c r="B1507" i="3"/>
  <c r="B1506" i="3"/>
  <c r="B1505" i="3"/>
  <c r="B1504" i="3"/>
  <c r="B1503" i="3"/>
  <c r="B1502" i="3"/>
  <c r="B1501" i="3"/>
  <c r="B1500" i="3"/>
  <c r="B1499" i="3"/>
  <c r="B1498" i="3"/>
  <c r="B1497" i="3"/>
  <c r="B1496" i="3"/>
  <c r="B1495" i="3"/>
  <c r="B1494" i="3"/>
  <c r="B1493" i="3"/>
  <c r="B1492" i="3"/>
  <c r="B1491" i="3"/>
  <c r="B1490" i="3"/>
  <c r="B1489" i="3"/>
  <c r="B1488" i="3"/>
  <c r="B1487" i="3"/>
  <c r="B1486" i="3"/>
  <c r="B1485" i="3"/>
  <c r="B1484" i="3"/>
  <c r="B1483" i="3"/>
  <c r="B1482" i="3"/>
  <c r="B1481" i="3"/>
  <c r="B1480" i="3"/>
  <c r="B1479" i="3"/>
  <c r="B1478" i="3"/>
  <c r="B1477" i="3"/>
  <c r="B1476" i="3"/>
  <c r="B1475" i="3"/>
  <c r="B1474" i="3"/>
  <c r="B1473" i="3"/>
  <c r="B1472" i="3"/>
  <c r="B1471" i="3"/>
  <c r="B1470" i="3"/>
  <c r="B1469" i="3"/>
  <c r="B1468" i="3"/>
  <c r="B1467" i="3"/>
  <c r="B1466" i="3"/>
  <c r="B1465" i="3"/>
  <c r="B1464" i="3"/>
  <c r="B1463" i="3"/>
  <c r="B1462" i="3"/>
  <c r="B1461" i="3"/>
  <c r="B1460" i="3"/>
  <c r="B1459" i="3"/>
  <c r="B1458" i="3"/>
  <c r="B1457" i="3"/>
  <c r="B1456" i="3"/>
  <c r="B1455" i="3"/>
  <c r="B1454" i="3"/>
  <c r="B1453" i="3"/>
  <c r="B1452" i="3"/>
  <c r="B1451" i="3"/>
  <c r="B1450" i="3"/>
  <c r="B1449" i="3"/>
  <c r="B1448" i="3"/>
  <c r="B1447" i="3"/>
  <c r="B1446" i="3"/>
  <c r="B1445" i="3"/>
  <c r="B1444" i="3"/>
  <c r="B1443" i="3"/>
  <c r="B1442" i="3"/>
  <c r="B1441" i="3"/>
  <c r="B1440" i="3"/>
  <c r="B1439" i="3"/>
  <c r="B1438" i="3"/>
  <c r="B1437" i="3"/>
  <c r="B1436" i="3"/>
  <c r="B1435" i="3"/>
  <c r="B1434" i="3"/>
  <c r="B1433" i="3"/>
  <c r="B1432" i="3"/>
  <c r="B1431" i="3"/>
  <c r="B1430" i="3"/>
  <c r="B1429" i="3"/>
  <c r="B1428" i="3"/>
  <c r="B1427" i="3"/>
  <c r="B1426" i="3"/>
  <c r="B1425" i="3"/>
  <c r="B1424" i="3"/>
  <c r="B1423" i="3"/>
  <c r="B1422" i="3"/>
  <c r="B1421" i="3"/>
  <c r="B1420" i="3"/>
  <c r="B1419" i="3"/>
  <c r="B1418" i="3"/>
  <c r="B1417" i="3"/>
  <c r="B1416" i="3"/>
  <c r="B1415" i="3"/>
  <c r="B1414" i="3"/>
  <c r="B1413" i="3"/>
  <c r="B1412" i="3"/>
  <c r="B1411" i="3"/>
  <c r="B1410" i="3"/>
  <c r="B1409" i="3"/>
  <c r="B1408" i="3"/>
  <c r="B1407" i="3"/>
  <c r="B1406" i="3"/>
  <c r="B1405" i="3"/>
  <c r="B1404" i="3"/>
  <c r="B1403" i="3"/>
  <c r="B1402" i="3"/>
  <c r="B1401" i="3"/>
  <c r="B1400" i="3"/>
  <c r="B1399" i="3"/>
  <c r="B1398" i="3"/>
  <c r="B1397" i="3"/>
  <c r="B1396" i="3"/>
  <c r="B1395" i="3"/>
  <c r="B1394" i="3"/>
  <c r="B1393" i="3"/>
  <c r="B1392" i="3"/>
  <c r="B1391" i="3"/>
  <c r="B1390" i="3"/>
  <c r="B1389" i="3"/>
  <c r="B1388" i="3"/>
  <c r="B1387" i="3"/>
  <c r="B1386" i="3"/>
  <c r="B1385" i="3"/>
  <c r="B1384" i="3"/>
  <c r="B1383" i="3"/>
  <c r="B1382" i="3"/>
  <c r="B1381" i="3"/>
  <c r="B1380" i="3"/>
  <c r="B1379" i="3"/>
  <c r="B1378" i="3"/>
  <c r="B1377" i="3"/>
  <c r="B1376" i="3"/>
  <c r="B1375" i="3"/>
  <c r="B1374" i="3"/>
  <c r="B1373" i="3"/>
  <c r="B1372" i="3"/>
  <c r="B1371" i="3"/>
  <c r="B1370" i="3"/>
  <c r="B1369" i="3"/>
  <c r="B1368" i="3"/>
  <c r="B1367" i="3"/>
  <c r="B1366" i="3"/>
  <c r="B1365" i="3"/>
  <c r="B1364" i="3"/>
  <c r="B1363" i="3"/>
  <c r="B1362" i="3"/>
  <c r="B1361" i="3"/>
  <c r="B1360" i="3"/>
  <c r="B1359" i="3"/>
  <c r="B1358" i="3"/>
  <c r="B1357" i="3"/>
  <c r="B1356" i="3"/>
  <c r="B1355" i="3"/>
  <c r="B1354" i="3"/>
  <c r="B1353" i="3"/>
  <c r="B1352" i="3"/>
  <c r="B1351" i="3"/>
  <c r="B1350" i="3"/>
  <c r="B1349" i="3"/>
  <c r="B1348" i="3"/>
  <c r="B1347" i="3"/>
  <c r="B1346" i="3"/>
  <c r="B1345" i="3"/>
  <c r="B1344" i="3"/>
  <c r="B1343" i="3"/>
  <c r="B1342" i="3"/>
  <c r="B1341" i="3"/>
  <c r="B1340" i="3"/>
  <c r="B1339" i="3"/>
  <c r="B1338" i="3"/>
  <c r="B1337" i="3"/>
  <c r="B1336" i="3"/>
  <c r="B1335" i="3"/>
  <c r="B1334" i="3"/>
  <c r="B1333" i="3"/>
  <c r="B1332" i="3"/>
  <c r="B1331" i="3"/>
  <c r="B1330" i="3"/>
  <c r="B1329" i="3"/>
  <c r="B1328" i="3"/>
  <c r="B1327" i="3"/>
  <c r="B1326" i="3"/>
  <c r="B1325" i="3"/>
  <c r="B1324" i="3"/>
  <c r="B1323" i="3"/>
  <c r="B1322" i="3"/>
  <c r="B1321" i="3"/>
  <c r="B1320" i="3"/>
  <c r="B1319" i="3"/>
  <c r="B1318" i="3"/>
  <c r="B1317" i="3"/>
  <c r="B1316" i="3"/>
  <c r="B1315" i="3"/>
  <c r="B1314" i="3"/>
  <c r="B1313" i="3"/>
  <c r="B1312" i="3"/>
  <c r="B1311" i="3"/>
  <c r="B1310" i="3"/>
  <c r="B1309" i="3"/>
  <c r="B1308" i="3"/>
  <c r="B1307" i="3"/>
  <c r="B1306" i="3"/>
  <c r="B1305" i="3"/>
  <c r="B1304" i="3"/>
  <c r="B1303" i="3"/>
  <c r="B1302" i="3"/>
  <c r="B1301" i="3"/>
  <c r="B1300" i="3"/>
  <c r="B1299" i="3"/>
  <c r="B1298" i="3"/>
  <c r="B1297" i="3"/>
  <c r="B1296" i="3"/>
  <c r="B1295" i="3"/>
  <c r="B1294" i="3"/>
  <c r="B1293" i="3"/>
  <c r="B1292" i="3"/>
  <c r="B1291" i="3"/>
  <c r="B1290" i="3"/>
  <c r="B1289" i="3"/>
  <c r="B1288" i="3"/>
  <c r="B1287" i="3"/>
  <c r="B1286" i="3"/>
  <c r="B1285" i="3"/>
  <c r="B1284" i="3"/>
  <c r="B1283" i="3"/>
  <c r="B1282" i="3"/>
  <c r="B1281" i="3"/>
  <c r="B1280" i="3"/>
  <c r="B1279" i="3"/>
  <c r="B1278" i="3"/>
  <c r="B1277" i="3"/>
  <c r="B1276" i="3"/>
  <c r="B1275" i="3"/>
  <c r="B1274" i="3"/>
  <c r="B1273" i="3"/>
  <c r="B1272" i="3"/>
  <c r="B1271" i="3"/>
  <c r="B1270" i="3"/>
  <c r="B1269" i="3"/>
  <c r="B1268" i="3"/>
  <c r="B1267" i="3"/>
  <c r="B1266" i="3"/>
  <c r="B1265" i="3"/>
  <c r="B1264" i="3"/>
  <c r="B1263" i="3"/>
  <c r="B1262" i="3"/>
  <c r="B1261" i="3"/>
  <c r="B1260" i="3"/>
  <c r="B1259" i="3"/>
  <c r="B1258" i="3"/>
  <c r="B1257" i="3"/>
  <c r="B1256" i="3"/>
  <c r="B1255" i="3"/>
  <c r="B1254" i="3"/>
  <c r="B1253" i="3"/>
  <c r="B1252" i="3"/>
  <c r="B1251" i="3"/>
  <c r="B1250" i="3"/>
  <c r="B1249" i="3"/>
  <c r="B1248" i="3"/>
  <c r="B1247" i="3"/>
  <c r="B1246" i="3"/>
  <c r="B1245" i="3"/>
  <c r="B1244" i="3"/>
  <c r="B1243" i="3"/>
  <c r="B1242" i="3"/>
  <c r="B1241" i="3"/>
  <c r="B1240" i="3"/>
  <c r="B1239" i="3"/>
  <c r="B1238" i="3"/>
  <c r="B1237" i="3"/>
  <c r="B1236" i="3"/>
  <c r="B1235" i="3"/>
  <c r="B1234" i="3"/>
  <c r="B1233" i="3"/>
  <c r="B1232" i="3"/>
  <c r="B1231" i="3"/>
  <c r="B1230" i="3"/>
  <c r="B1229" i="3"/>
  <c r="B1228" i="3"/>
  <c r="B1227" i="3"/>
  <c r="B1226" i="3"/>
  <c r="B1225" i="3"/>
  <c r="B1224" i="3"/>
  <c r="B1223" i="3"/>
  <c r="B1222" i="3"/>
  <c r="B1221" i="3"/>
  <c r="B1220" i="3"/>
  <c r="B1219" i="3"/>
  <c r="B1218" i="3"/>
  <c r="B1217" i="3"/>
  <c r="B1216" i="3"/>
  <c r="B1215" i="3"/>
  <c r="B1214" i="3"/>
  <c r="B1213" i="3"/>
  <c r="B1212" i="3"/>
  <c r="B1211" i="3"/>
  <c r="B1210" i="3"/>
  <c r="B1209" i="3"/>
  <c r="B1208" i="3"/>
  <c r="B1207" i="3"/>
  <c r="B1206" i="3"/>
  <c r="B1205" i="3"/>
  <c r="B1204" i="3"/>
  <c r="B1203" i="3"/>
  <c r="B1202" i="3"/>
  <c r="B1201" i="3"/>
  <c r="B1200" i="3"/>
  <c r="B1199" i="3"/>
  <c r="B1198" i="3"/>
  <c r="B1197" i="3"/>
  <c r="B1196" i="3"/>
  <c r="B1195" i="3"/>
  <c r="B1194" i="3"/>
  <c r="B1193" i="3"/>
  <c r="B1192" i="3"/>
  <c r="B1191" i="3"/>
  <c r="B1190" i="3"/>
  <c r="B1189" i="3"/>
  <c r="B1188" i="3"/>
  <c r="B1187" i="3"/>
  <c r="B1186" i="3"/>
  <c r="B1185" i="3"/>
  <c r="B1184" i="3"/>
  <c r="B1183" i="3"/>
  <c r="B1182" i="3"/>
  <c r="B1181" i="3"/>
  <c r="B1180" i="3"/>
  <c r="B1179" i="3"/>
  <c r="B1178" i="3"/>
  <c r="B1177" i="3"/>
  <c r="B1176" i="3"/>
  <c r="B1175" i="3"/>
  <c r="B1174" i="3"/>
  <c r="B1173" i="3"/>
  <c r="B1172" i="3"/>
  <c r="B1171" i="3"/>
  <c r="B1170" i="3"/>
  <c r="B1169" i="3"/>
  <c r="B1168" i="3"/>
  <c r="B1167" i="3"/>
  <c r="B1166" i="3"/>
  <c r="B1165" i="3"/>
  <c r="B1164" i="3"/>
  <c r="B1163" i="3"/>
  <c r="B1162" i="3"/>
  <c r="B1161" i="3"/>
  <c r="B1160" i="3"/>
  <c r="B1159" i="3"/>
  <c r="B1158" i="3"/>
  <c r="B1157" i="3"/>
  <c r="B1156" i="3"/>
  <c r="B1155" i="3"/>
  <c r="B1154" i="3"/>
  <c r="B1153" i="3"/>
  <c r="B1152" i="3"/>
  <c r="B1151" i="3"/>
  <c r="B1150" i="3"/>
  <c r="B1149" i="3"/>
  <c r="B1148" i="3"/>
  <c r="B1147" i="3"/>
  <c r="B1146" i="3"/>
  <c r="B1145" i="3"/>
  <c r="B1144" i="3"/>
  <c r="B1143" i="3"/>
  <c r="B1142" i="3"/>
  <c r="B1141" i="3"/>
  <c r="B1140" i="3"/>
  <c r="B1139" i="3"/>
  <c r="B1138" i="3"/>
  <c r="B1137" i="3"/>
  <c r="B1136" i="3"/>
  <c r="B1135" i="3"/>
  <c r="B1134" i="3"/>
  <c r="B1133" i="3"/>
  <c r="B1132" i="3"/>
  <c r="B1131" i="3"/>
  <c r="B1130" i="3"/>
  <c r="B1129" i="3"/>
  <c r="B1128" i="3"/>
  <c r="B1127" i="3"/>
  <c r="B1126" i="3"/>
  <c r="B1125" i="3"/>
  <c r="B1124" i="3"/>
  <c r="B1123" i="3"/>
  <c r="B1122" i="3"/>
  <c r="B1121" i="3"/>
  <c r="B1120" i="3"/>
  <c r="B1119" i="3"/>
  <c r="B1118" i="3"/>
  <c r="B1117" i="3"/>
  <c r="B1116" i="3"/>
  <c r="B1115" i="3"/>
  <c r="B1114" i="3"/>
  <c r="B1113" i="3"/>
  <c r="B1112" i="3"/>
  <c r="B1111" i="3"/>
  <c r="B1110" i="3"/>
  <c r="B1109" i="3"/>
  <c r="B1108" i="3"/>
  <c r="B1107" i="3"/>
  <c r="B1106" i="3"/>
  <c r="B1105" i="3"/>
  <c r="B1104" i="3"/>
  <c r="B1103" i="3"/>
  <c r="B1102" i="3"/>
  <c r="B1101" i="3"/>
  <c r="B1100" i="3"/>
  <c r="B1099" i="3"/>
  <c r="B1098" i="3"/>
  <c r="B1097" i="3"/>
  <c r="B1096" i="3"/>
  <c r="B1095" i="3"/>
  <c r="B1094" i="3"/>
  <c r="B1093" i="3"/>
  <c r="B1092" i="3"/>
  <c r="B1091" i="3"/>
  <c r="B1090" i="3"/>
  <c r="B1089" i="3"/>
  <c r="B1088" i="3"/>
  <c r="B1087" i="3"/>
  <c r="B1086" i="3"/>
  <c r="B1085" i="3"/>
  <c r="B1084" i="3"/>
  <c r="B1083" i="3"/>
  <c r="B1082" i="3"/>
  <c r="B1081" i="3"/>
  <c r="B1080" i="3"/>
  <c r="B1079" i="3"/>
  <c r="B1078" i="3"/>
  <c r="B1077" i="3"/>
  <c r="B1076" i="3"/>
  <c r="B1075" i="3"/>
  <c r="B1074" i="3"/>
  <c r="B1073" i="3"/>
  <c r="B1072" i="3"/>
  <c r="B1071" i="3"/>
  <c r="B1070" i="3"/>
  <c r="B1069" i="3"/>
  <c r="B1068" i="3"/>
  <c r="B1067" i="3"/>
  <c r="B1066" i="3"/>
  <c r="B1065" i="3"/>
  <c r="B1064" i="3"/>
  <c r="B1063" i="3"/>
  <c r="B1062" i="3"/>
  <c r="B1061" i="3"/>
  <c r="B1060" i="3"/>
  <c r="B1059" i="3"/>
  <c r="B1058" i="3"/>
  <c r="B1057" i="3"/>
  <c r="B1056" i="3"/>
  <c r="B1055" i="3"/>
  <c r="B1054" i="3"/>
  <c r="B1053" i="3"/>
  <c r="B1052" i="3"/>
  <c r="B1051" i="3"/>
  <c r="B1050" i="3"/>
  <c r="B1049" i="3"/>
  <c r="B1048" i="3"/>
  <c r="B1047" i="3"/>
  <c r="B1046" i="3"/>
  <c r="B1045" i="3"/>
  <c r="B1044" i="3"/>
  <c r="B1043" i="3"/>
  <c r="B1042" i="3"/>
  <c r="B1041" i="3"/>
  <c r="B1040" i="3"/>
  <c r="B1039" i="3"/>
  <c r="B1038" i="3"/>
  <c r="B1037" i="3"/>
  <c r="B1036" i="3"/>
  <c r="B1035" i="3"/>
  <c r="B1034" i="3"/>
  <c r="B1033" i="3"/>
  <c r="B1032" i="3"/>
  <c r="B1031" i="3"/>
  <c r="B1030" i="3"/>
  <c r="B1029" i="3"/>
  <c r="B1028" i="3"/>
  <c r="B1027" i="3"/>
  <c r="B1026" i="3"/>
  <c r="B1025" i="3"/>
  <c r="B1024" i="3"/>
  <c r="B1023" i="3"/>
  <c r="B1022" i="3"/>
  <c r="B1021" i="3"/>
  <c r="B1020" i="3"/>
  <c r="B1019" i="3"/>
  <c r="B1018" i="3"/>
  <c r="B1017" i="3"/>
  <c r="B1016" i="3"/>
  <c r="B1015" i="3"/>
  <c r="B1014" i="3"/>
  <c r="B1013" i="3"/>
  <c r="B1012" i="3"/>
  <c r="B1011" i="3"/>
  <c r="B1010" i="3"/>
  <c r="B1009" i="3"/>
  <c r="B1008" i="3"/>
  <c r="B1007" i="3"/>
  <c r="B1006" i="3"/>
  <c r="B1005" i="3"/>
  <c r="B1004" i="3"/>
  <c r="B1003" i="3"/>
  <c r="B1002" i="3"/>
  <c r="B1001" i="3"/>
  <c r="B1000" i="3"/>
  <c r="B999" i="3"/>
  <c r="B998" i="3"/>
  <c r="B997" i="3"/>
  <c r="B996" i="3"/>
  <c r="B995" i="3"/>
  <c r="B994" i="3"/>
  <c r="B993" i="3"/>
  <c r="B992" i="3"/>
  <c r="B991" i="3"/>
  <c r="B990" i="3"/>
  <c r="B989" i="3"/>
  <c r="B988" i="3"/>
  <c r="B987" i="3"/>
  <c r="B986" i="3"/>
  <c r="B985" i="3"/>
  <c r="B984" i="3"/>
  <c r="B983" i="3"/>
  <c r="B982" i="3"/>
  <c r="B981" i="3"/>
  <c r="B980" i="3"/>
  <c r="B979" i="3"/>
  <c r="B978" i="3"/>
  <c r="B977" i="3"/>
  <c r="B976" i="3"/>
  <c r="B975" i="3"/>
  <c r="B974" i="3"/>
  <c r="B973" i="3"/>
  <c r="B972" i="3"/>
  <c r="B971" i="3"/>
  <c r="B970" i="3"/>
  <c r="B969" i="3"/>
  <c r="B968" i="3"/>
  <c r="B967" i="3"/>
  <c r="B966" i="3"/>
  <c r="B965" i="3"/>
  <c r="B964" i="3"/>
  <c r="B963" i="3"/>
  <c r="B962" i="3"/>
  <c r="B961" i="3"/>
  <c r="B960" i="3"/>
  <c r="B959" i="3"/>
  <c r="B958" i="3"/>
  <c r="B957" i="3"/>
  <c r="B956" i="3"/>
  <c r="B955" i="3"/>
  <c r="B954" i="3"/>
  <c r="B953" i="3"/>
  <c r="B952" i="3"/>
  <c r="B951" i="3"/>
  <c r="B950" i="3"/>
  <c r="B949" i="3"/>
  <c r="B948" i="3"/>
  <c r="B947" i="3"/>
  <c r="B946" i="3"/>
  <c r="B945" i="3"/>
  <c r="B944" i="3"/>
  <c r="B943" i="3"/>
  <c r="B942" i="3"/>
  <c r="B941" i="3"/>
  <c r="B940" i="3"/>
  <c r="B939" i="3"/>
  <c r="B938" i="3"/>
  <c r="B937" i="3"/>
  <c r="B936" i="3"/>
  <c r="B935" i="3"/>
  <c r="B934" i="3"/>
  <c r="B933" i="3"/>
  <c r="B932" i="3"/>
  <c r="B931" i="3"/>
  <c r="B930" i="3"/>
  <c r="B929" i="3"/>
  <c r="B928" i="3"/>
  <c r="B927" i="3"/>
  <c r="B926" i="3"/>
  <c r="B925" i="3"/>
  <c r="B924" i="3"/>
  <c r="B923" i="3"/>
  <c r="B922" i="3"/>
  <c r="B921" i="3"/>
  <c r="B920" i="3"/>
  <c r="B919" i="3"/>
  <c r="B918" i="3"/>
  <c r="B917" i="3"/>
  <c r="B916" i="3"/>
  <c r="B915" i="3"/>
  <c r="B914" i="3"/>
  <c r="B913" i="3"/>
  <c r="B912" i="3"/>
  <c r="B911" i="3"/>
  <c r="B910" i="3"/>
  <c r="B909" i="3"/>
  <c r="B908" i="3"/>
  <c r="B907" i="3"/>
  <c r="B906" i="3"/>
  <c r="B905" i="3"/>
  <c r="B904" i="3"/>
  <c r="B903" i="3"/>
  <c r="B902" i="3"/>
  <c r="B901" i="3"/>
  <c r="B900" i="3"/>
  <c r="B899" i="3"/>
  <c r="B898" i="3"/>
  <c r="B897" i="3"/>
  <c r="B896" i="3"/>
  <c r="B895" i="3"/>
  <c r="B894" i="3"/>
  <c r="B893" i="3"/>
  <c r="B892" i="3"/>
  <c r="B891" i="3"/>
  <c r="B890" i="3"/>
  <c r="B889" i="3"/>
  <c r="B888" i="3"/>
  <c r="B887" i="3"/>
  <c r="B886" i="3"/>
  <c r="B885" i="3"/>
  <c r="B884" i="3"/>
  <c r="B883" i="3"/>
  <c r="B882" i="3"/>
  <c r="B881" i="3"/>
  <c r="B880" i="3"/>
  <c r="B879" i="3"/>
  <c r="B878" i="3"/>
  <c r="B877" i="3"/>
  <c r="B876" i="3"/>
  <c r="B875" i="3"/>
  <c r="B874" i="3"/>
  <c r="B873" i="3"/>
  <c r="B872" i="3"/>
  <c r="B871" i="3"/>
  <c r="B870" i="3"/>
  <c r="B869" i="3"/>
  <c r="B868" i="3"/>
  <c r="B867" i="3"/>
  <c r="B866" i="3"/>
  <c r="B865" i="3"/>
  <c r="B864" i="3"/>
  <c r="B863" i="3"/>
  <c r="B862" i="3"/>
  <c r="B861" i="3"/>
  <c r="B860" i="3"/>
  <c r="B859" i="3"/>
  <c r="B858" i="3"/>
  <c r="B857" i="3"/>
  <c r="B856" i="3"/>
  <c r="B855" i="3"/>
  <c r="B854" i="3"/>
  <c r="B853" i="3"/>
  <c r="B852" i="3"/>
  <c r="B851" i="3"/>
  <c r="B850" i="3"/>
  <c r="B849" i="3"/>
  <c r="B848" i="3"/>
  <c r="B847" i="3"/>
  <c r="B846" i="3"/>
  <c r="B845" i="3"/>
  <c r="B844" i="3"/>
  <c r="B843" i="3"/>
  <c r="B842" i="3"/>
  <c r="B841" i="3"/>
  <c r="B840" i="3"/>
  <c r="B839" i="3"/>
  <c r="B838" i="3"/>
  <c r="B837" i="3"/>
  <c r="B836" i="3"/>
  <c r="B835" i="3"/>
  <c r="B834" i="3"/>
  <c r="B833" i="3"/>
  <c r="B832" i="3"/>
  <c r="B831" i="3"/>
  <c r="B830" i="3"/>
  <c r="B829" i="3"/>
  <c r="B828" i="3"/>
  <c r="B827" i="3"/>
  <c r="B826" i="3"/>
  <c r="B825" i="3"/>
  <c r="B824" i="3"/>
  <c r="B823" i="3"/>
  <c r="B822" i="3"/>
  <c r="B821" i="3"/>
  <c r="B820" i="3"/>
  <c r="B819" i="3"/>
  <c r="B818" i="3"/>
  <c r="B817" i="3"/>
  <c r="B816" i="3"/>
  <c r="B815" i="3"/>
  <c r="B814" i="3"/>
  <c r="B813" i="3"/>
  <c r="B812" i="3"/>
  <c r="B811" i="3"/>
  <c r="B810" i="3"/>
  <c r="B809" i="3"/>
  <c r="B808" i="3"/>
  <c r="B807" i="3"/>
  <c r="B806" i="3"/>
  <c r="B805" i="3"/>
  <c r="B804" i="3"/>
  <c r="B803" i="3"/>
  <c r="B802" i="3"/>
  <c r="B801" i="3"/>
  <c r="B800" i="3"/>
  <c r="B799" i="3"/>
  <c r="B798" i="3"/>
  <c r="B797" i="3"/>
  <c r="B796" i="3"/>
  <c r="B795" i="3"/>
  <c r="B794" i="3"/>
  <c r="B793" i="3"/>
  <c r="B792" i="3"/>
  <c r="B791" i="3"/>
  <c r="B790" i="3"/>
  <c r="B789" i="3"/>
  <c r="B788" i="3"/>
  <c r="B787" i="3"/>
  <c r="B786" i="3"/>
  <c r="B785" i="3"/>
  <c r="B784" i="3"/>
  <c r="B783" i="3"/>
  <c r="B782" i="3"/>
  <c r="B781" i="3"/>
  <c r="B780" i="3"/>
  <c r="B779" i="3"/>
  <c r="B778" i="3"/>
  <c r="B777" i="3"/>
  <c r="B776" i="3"/>
  <c r="B775" i="3"/>
  <c r="B774" i="3"/>
  <c r="B773" i="3"/>
  <c r="B772" i="3"/>
  <c r="B771" i="3"/>
  <c r="B770" i="3"/>
  <c r="B769" i="3"/>
  <c r="B768" i="3"/>
  <c r="B767" i="3"/>
  <c r="B766" i="3"/>
  <c r="B765" i="3"/>
  <c r="B764" i="3"/>
  <c r="B763" i="3"/>
  <c r="B762" i="3"/>
  <c r="B761" i="3"/>
  <c r="B760" i="3"/>
  <c r="B759" i="3"/>
  <c r="B758" i="3"/>
  <c r="B757" i="3"/>
  <c r="B756" i="3"/>
  <c r="B755" i="3"/>
  <c r="B754" i="3"/>
  <c r="B753" i="3"/>
  <c r="B752" i="3"/>
  <c r="B751" i="3"/>
  <c r="B750" i="3"/>
  <c r="B749" i="3"/>
  <c r="B748" i="3"/>
  <c r="B747" i="3"/>
  <c r="B746" i="3"/>
  <c r="B745" i="3"/>
  <c r="B744" i="3"/>
  <c r="B743" i="3"/>
  <c r="B742" i="3"/>
  <c r="B741" i="3"/>
  <c r="B740" i="3"/>
  <c r="B739" i="3"/>
  <c r="B738" i="3"/>
  <c r="B737" i="3"/>
  <c r="B736" i="3"/>
  <c r="B735" i="3"/>
  <c r="B734" i="3"/>
  <c r="B733" i="3"/>
  <c r="B732" i="3"/>
  <c r="B731" i="3"/>
  <c r="B730" i="3"/>
  <c r="B729" i="3"/>
  <c r="B728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B712" i="3"/>
  <c r="B711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C13" i="5"/>
  <c r="B13" i="5"/>
  <c r="A240" i="4" l="1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E2498" i="3"/>
  <c r="E2497" i="3"/>
  <c r="E2496" i="3"/>
  <c r="E2495" i="3"/>
  <c r="E2494" i="3"/>
  <c r="E2493" i="3"/>
  <c r="E2492" i="3"/>
  <c r="E2491" i="3"/>
  <c r="E2490" i="3"/>
  <c r="E2489" i="3"/>
  <c r="E2488" i="3"/>
  <c r="E2487" i="3"/>
  <c r="E2486" i="3"/>
  <c r="E2485" i="3"/>
  <c r="E2484" i="3"/>
  <c r="E2483" i="3"/>
  <c r="E2482" i="3"/>
  <c r="E2481" i="3"/>
  <c r="E2480" i="3"/>
  <c r="E2479" i="3"/>
  <c r="E2478" i="3"/>
  <c r="E2477" i="3"/>
  <c r="E2476" i="3"/>
  <c r="E2475" i="3"/>
  <c r="E2474" i="3"/>
  <c r="E2473" i="3"/>
  <c r="E2472" i="3"/>
  <c r="E2471" i="3"/>
  <c r="E2470" i="3"/>
  <c r="E2469" i="3"/>
  <c r="E2468" i="3"/>
  <c r="E2467" i="3"/>
  <c r="E2466" i="3"/>
  <c r="E2465" i="3"/>
  <c r="E2464" i="3"/>
  <c r="E2463" i="3"/>
  <c r="E2462" i="3"/>
  <c r="E2461" i="3"/>
  <c r="E2460" i="3"/>
  <c r="E2459" i="3"/>
  <c r="E2458" i="3"/>
  <c r="E2457" i="3"/>
  <c r="E2456" i="3"/>
  <c r="E2455" i="3"/>
  <c r="E2454" i="3"/>
  <c r="E2453" i="3"/>
  <c r="E2452" i="3"/>
  <c r="E2451" i="3"/>
  <c r="E2450" i="3"/>
  <c r="E2449" i="3"/>
  <c r="E2448" i="3"/>
  <c r="E2447" i="3"/>
  <c r="E2446" i="3"/>
  <c r="E2445" i="3"/>
  <c r="E2444" i="3"/>
  <c r="E2443" i="3"/>
  <c r="E2442" i="3"/>
  <c r="E2441" i="3"/>
  <c r="E2440" i="3"/>
  <c r="E2439" i="3"/>
  <c r="E2438" i="3"/>
  <c r="E2437" i="3"/>
  <c r="E2436" i="3"/>
  <c r="E2435" i="3"/>
  <c r="E2434" i="3"/>
  <c r="E2433" i="3"/>
  <c r="E2432" i="3"/>
  <c r="E2431" i="3"/>
  <c r="E2430" i="3"/>
  <c r="E2429" i="3"/>
  <c r="E2428" i="3"/>
  <c r="E2427" i="3"/>
  <c r="E2426" i="3"/>
  <c r="E2425" i="3"/>
  <c r="E2424" i="3"/>
  <c r="E2423" i="3"/>
  <c r="E2422" i="3"/>
  <c r="E2421" i="3"/>
  <c r="E2420" i="3"/>
  <c r="E2419" i="3"/>
  <c r="E2418" i="3"/>
  <c r="E2417" i="3"/>
  <c r="E2416" i="3"/>
  <c r="E2415" i="3"/>
  <c r="E2414" i="3"/>
  <c r="E2413" i="3"/>
  <c r="E2412" i="3"/>
  <c r="E2411" i="3"/>
  <c r="E2410" i="3"/>
  <c r="E2409" i="3"/>
  <c r="E2408" i="3"/>
  <c r="E2407" i="3"/>
  <c r="E2406" i="3"/>
  <c r="E2405" i="3"/>
  <c r="E2404" i="3"/>
  <c r="E2403" i="3"/>
  <c r="E2402" i="3"/>
  <c r="E2401" i="3"/>
  <c r="E2400" i="3"/>
  <c r="E2399" i="3"/>
  <c r="E2398" i="3"/>
  <c r="E2397" i="3"/>
  <c r="E2396" i="3"/>
  <c r="E2395" i="3"/>
  <c r="E2394" i="3"/>
  <c r="E2393" i="3"/>
  <c r="E2392" i="3"/>
  <c r="E2391" i="3"/>
  <c r="E2390" i="3"/>
  <c r="E2389" i="3"/>
  <c r="E2388" i="3"/>
  <c r="E2387" i="3"/>
  <c r="E2386" i="3"/>
  <c r="E2385" i="3"/>
  <c r="E2384" i="3"/>
  <c r="E2383" i="3"/>
  <c r="E2382" i="3"/>
  <c r="E2381" i="3"/>
  <c r="E2380" i="3"/>
  <c r="E2379" i="3"/>
  <c r="E2378" i="3"/>
  <c r="E2377" i="3"/>
  <c r="E2376" i="3"/>
  <c r="E2375" i="3"/>
  <c r="E2374" i="3"/>
  <c r="E2373" i="3"/>
  <c r="E2372" i="3"/>
  <c r="E2371" i="3"/>
  <c r="E2370" i="3"/>
  <c r="E2369" i="3"/>
  <c r="E2368" i="3"/>
  <c r="E2367" i="3"/>
  <c r="E2366" i="3"/>
  <c r="E2365" i="3"/>
  <c r="E2364" i="3"/>
  <c r="E2363" i="3"/>
  <c r="E2362" i="3"/>
  <c r="E2361" i="3"/>
  <c r="E2360" i="3"/>
  <c r="E2359" i="3"/>
  <c r="E2358" i="3"/>
  <c r="E2357" i="3"/>
  <c r="E2356" i="3"/>
  <c r="E2355" i="3"/>
  <c r="E2354" i="3"/>
  <c r="E2353" i="3"/>
  <c r="E2352" i="3"/>
  <c r="E2351" i="3"/>
  <c r="E2350" i="3"/>
  <c r="E2349" i="3"/>
  <c r="E2348" i="3"/>
  <c r="E2347" i="3"/>
  <c r="E2346" i="3"/>
  <c r="E2345" i="3"/>
  <c r="E2344" i="3"/>
  <c r="E2343" i="3"/>
  <c r="E2342" i="3"/>
  <c r="E2341" i="3"/>
  <c r="E2340" i="3"/>
  <c r="E2339" i="3"/>
  <c r="E2338" i="3"/>
  <c r="E2337" i="3"/>
  <c r="E2336" i="3"/>
  <c r="E2335" i="3"/>
  <c r="E2334" i="3"/>
  <c r="E2333" i="3"/>
  <c r="E2332" i="3"/>
  <c r="E2331" i="3"/>
  <c r="E2330" i="3"/>
  <c r="E2329" i="3"/>
  <c r="E2328" i="3"/>
  <c r="E2327" i="3"/>
  <c r="E2326" i="3"/>
  <c r="E2325" i="3"/>
  <c r="E2324" i="3"/>
  <c r="E2323" i="3"/>
  <c r="E2322" i="3"/>
  <c r="E2321" i="3"/>
  <c r="E2320" i="3"/>
  <c r="E2319" i="3"/>
  <c r="E2318" i="3"/>
  <c r="E2317" i="3"/>
  <c r="E2316" i="3"/>
  <c r="E2315" i="3"/>
  <c r="E2314" i="3"/>
  <c r="E2313" i="3"/>
  <c r="E2312" i="3"/>
  <c r="E2311" i="3"/>
  <c r="E2310" i="3"/>
  <c r="E2309" i="3"/>
  <c r="E2308" i="3"/>
  <c r="E2307" i="3"/>
  <c r="E2306" i="3"/>
  <c r="E2305" i="3"/>
  <c r="E2304" i="3"/>
  <c r="E2303" i="3"/>
  <c r="E2302" i="3"/>
  <c r="E2301" i="3"/>
  <c r="E2300" i="3"/>
  <c r="E2299" i="3"/>
  <c r="E2298" i="3"/>
  <c r="E2297" i="3"/>
  <c r="E2296" i="3"/>
  <c r="E2295" i="3"/>
  <c r="E2294" i="3"/>
  <c r="E2293" i="3"/>
  <c r="E2292" i="3"/>
  <c r="E2291" i="3"/>
  <c r="E2290" i="3"/>
  <c r="E2289" i="3"/>
  <c r="E2288" i="3"/>
  <c r="E2287" i="3"/>
  <c r="E2286" i="3"/>
  <c r="E2285" i="3"/>
  <c r="E2284" i="3"/>
  <c r="E2283" i="3"/>
  <c r="E2282" i="3"/>
  <c r="E2281" i="3"/>
  <c r="E2280" i="3"/>
  <c r="E2279" i="3"/>
  <c r="E2278" i="3"/>
  <c r="E2277" i="3"/>
  <c r="E2276" i="3"/>
  <c r="E2275" i="3"/>
  <c r="E2274" i="3"/>
  <c r="E2273" i="3"/>
  <c r="E2272" i="3"/>
  <c r="E2271" i="3"/>
  <c r="E2270" i="3"/>
  <c r="E2269" i="3"/>
  <c r="E2268" i="3"/>
  <c r="E2267" i="3"/>
  <c r="E2266" i="3"/>
  <c r="E2265" i="3"/>
  <c r="E2264" i="3"/>
  <c r="E2263" i="3"/>
  <c r="E2262" i="3"/>
  <c r="E2261" i="3"/>
  <c r="E2260" i="3"/>
  <c r="E2259" i="3"/>
  <c r="E2258" i="3"/>
  <c r="E2257" i="3"/>
  <c r="E2256" i="3"/>
  <c r="E2255" i="3"/>
  <c r="E2254" i="3"/>
  <c r="E2253" i="3"/>
  <c r="E2252" i="3"/>
  <c r="E2251" i="3"/>
  <c r="E2250" i="3"/>
  <c r="E2249" i="3"/>
  <c r="E2248" i="3"/>
  <c r="E2247" i="3"/>
  <c r="E2246" i="3"/>
  <c r="E2245" i="3"/>
  <c r="E2244" i="3"/>
  <c r="E2243" i="3"/>
  <c r="E2242" i="3"/>
  <c r="E2241" i="3"/>
  <c r="E2240" i="3"/>
  <c r="E2239" i="3"/>
  <c r="E2238" i="3"/>
  <c r="E2237" i="3"/>
  <c r="E2236" i="3"/>
  <c r="E2235" i="3"/>
  <c r="E2234" i="3"/>
  <c r="E2233" i="3"/>
  <c r="E2232" i="3"/>
  <c r="E2231" i="3"/>
  <c r="E2230" i="3"/>
  <c r="E2229" i="3"/>
  <c r="E2228" i="3"/>
  <c r="E2227" i="3"/>
  <c r="E2226" i="3"/>
  <c r="E2225" i="3"/>
  <c r="E2224" i="3"/>
  <c r="E2223" i="3"/>
  <c r="E2222" i="3"/>
  <c r="E2221" i="3"/>
  <c r="E2220" i="3"/>
  <c r="E2219" i="3"/>
  <c r="E2218" i="3"/>
  <c r="E2217" i="3"/>
  <c r="E2216" i="3"/>
  <c r="E2215" i="3"/>
  <c r="E2214" i="3"/>
  <c r="E2213" i="3"/>
  <c r="E2212" i="3"/>
  <c r="E2211" i="3"/>
  <c r="E2210" i="3"/>
  <c r="E2209" i="3"/>
  <c r="E2208" i="3"/>
  <c r="E2207" i="3"/>
  <c r="E2206" i="3"/>
  <c r="E2205" i="3"/>
  <c r="E2204" i="3"/>
  <c r="E2203" i="3"/>
  <c r="E2202" i="3"/>
  <c r="E2201" i="3"/>
  <c r="E2200" i="3"/>
  <c r="E2199" i="3"/>
  <c r="E2198" i="3"/>
  <c r="E2197" i="3"/>
  <c r="E2196" i="3"/>
  <c r="E2195" i="3"/>
  <c r="E2194" i="3"/>
  <c r="E2193" i="3"/>
  <c r="E2192" i="3"/>
  <c r="E2191" i="3"/>
  <c r="E2190" i="3"/>
  <c r="E2189" i="3"/>
  <c r="E2188" i="3"/>
  <c r="E2187" i="3"/>
  <c r="E2186" i="3"/>
  <c r="E2185" i="3"/>
  <c r="E2184" i="3"/>
  <c r="E2183" i="3"/>
  <c r="E2182" i="3"/>
  <c r="E2181" i="3"/>
  <c r="E2180" i="3"/>
  <c r="E2179" i="3"/>
  <c r="E2178" i="3"/>
  <c r="E2177" i="3"/>
  <c r="E2176" i="3"/>
  <c r="E2175" i="3"/>
  <c r="E2174" i="3"/>
  <c r="E2173" i="3"/>
  <c r="E2172" i="3"/>
  <c r="E2171" i="3"/>
  <c r="E2170" i="3"/>
  <c r="E2169" i="3"/>
  <c r="E2168" i="3"/>
  <c r="E2167" i="3"/>
  <c r="E2166" i="3"/>
  <c r="E2165" i="3"/>
  <c r="E2164" i="3"/>
  <c r="E2163" i="3"/>
  <c r="E2162" i="3"/>
  <c r="E2161" i="3"/>
  <c r="E2160" i="3"/>
  <c r="E2159" i="3"/>
  <c r="E2158" i="3"/>
  <c r="E2157" i="3"/>
  <c r="E2156" i="3"/>
  <c r="E2155" i="3"/>
  <c r="E2154" i="3"/>
  <c r="E2153" i="3"/>
  <c r="E2152" i="3"/>
  <c r="E2151" i="3"/>
  <c r="E2150" i="3"/>
  <c r="E2149" i="3"/>
  <c r="E2148" i="3"/>
  <c r="E2147" i="3"/>
  <c r="E2146" i="3"/>
  <c r="E2145" i="3"/>
  <c r="E2144" i="3"/>
  <c r="E2143" i="3"/>
  <c r="E2142" i="3"/>
  <c r="E2141" i="3"/>
  <c r="E2140" i="3"/>
  <c r="E2139" i="3"/>
  <c r="E2138" i="3"/>
  <c r="E2137" i="3"/>
  <c r="E2136" i="3"/>
  <c r="E2135" i="3"/>
  <c r="E2134" i="3"/>
  <c r="E2133" i="3"/>
  <c r="E2132" i="3"/>
  <c r="E2131" i="3"/>
  <c r="E2130" i="3"/>
  <c r="E2129" i="3"/>
  <c r="E2128" i="3"/>
  <c r="E2127" i="3"/>
  <c r="E2126" i="3"/>
  <c r="E2125" i="3"/>
  <c r="E2124" i="3"/>
  <c r="E2123" i="3"/>
  <c r="E2122" i="3"/>
  <c r="E2121" i="3"/>
  <c r="E2120" i="3"/>
  <c r="E2119" i="3"/>
  <c r="E2118" i="3"/>
  <c r="E2117" i="3"/>
  <c r="E2116" i="3"/>
  <c r="E2115" i="3"/>
  <c r="E2114" i="3"/>
  <c r="E2113" i="3"/>
  <c r="E2112" i="3"/>
  <c r="E2111" i="3"/>
  <c r="E2110" i="3"/>
  <c r="E2109" i="3"/>
  <c r="E2108" i="3"/>
  <c r="E2107" i="3"/>
  <c r="E2106" i="3"/>
  <c r="E2105" i="3"/>
  <c r="E2104" i="3"/>
  <c r="E2103" i="3"/>
  <c r="E2102" i="3"/>
  <c r="E2101" i="3"/>
  <c r="E2100" i="3"/>
  <c r="E2099" i="3"/>
  <c r="E2098" i="3"/>
  <c r="E2097" i="3"/>
  <c r="E2096" i="3"/>
  <c r="E2095" i="3"/>
  <c r="E2094" i="3"/>
  <c r="E2093" i="3"/>
  <c r="E2092" i="3"/>
  <c r="E2091" i="3"/>
  <c r="E2090" i="3"/>
  <c r="E2089" i="3"/>
  <c r="E2088" i="3"/>
  <c r="E2087" i="3"/>
  <c r="E2086" i="3"/>
  <c r="E2085" i="3"/>
  <c r="E2084" i="3"/>
  <c r="E2083" i="3"/>
  <c r="E2082" i="3"/>
  <c r="E2081" i="3"/>
  <c r="E2080" i="3"/>
  <c r="E2079" i="3"/>
  <c r="E2078" i="3"/>
  <c r="E2077" i="3"/>
  <c r="E2076" i="3"/>
  <c r="E2075" i="3"/>
  <c r="E2074" i="3"/>
  <c r="E2073" i="3"/>
  <c r="E2072" i="3"/>
  <c r="E2071" i="3"/>
  <c r="E2070" i="3"/>
  <c r="E2069" i="3"/>
  <c r="E2068" i="3"/>
  <c r="E2067" i="3"/>
  <c r="E2066" i="3"/>
  <c r="E2065" i="3"/>
  <c r="E2064" i="3"/>
  <c r="E2063" i="3"/>
  <c r="E2062" i="3"/>
  <c r="E2061" i="3"/>
  <c r="E2060" i="3"/>
  <c r="E2059" i="3"/>
  <c r="E2058" i="3"/>
  <c r="E2057" i="3"/>
  <c r="E2056" i="3"/>
  <c r="E2055" i="3"/>
  <c r="E2054" i="3"/>
  <c r="E2053" i="3"/>
  <c r="E2052" i="3"/>
  <c r="E2051" i="3"/>
  <c r="E2050" i="3"/>
  <c r="E2049" i="3"/>
  <c r="E2048" i="3"/>
  <c r="E2047" i="3"/>
  <c r="E2046" i="3"/>
  <c r="E2045" i="3"/>
  <c r="E2044" i="3"/>
  <c r="E2043" i="3"/>
  <c r="E2042" i="3"/>
  <c r="E2041" i="3"/>
  <c r="E2040" i="3"/>
  <c r="E2039" i="3"/>
  <c r="E2038" i="3"/>
  <c r="E2037" i="3"/>
  <c r="E2036" i="3"/>
  <c r="E2035" i="3"/>
  <c r="E2034" i="3"/>
  <c r="E2033" i="3"/>
  <c r="E2032" i="3"/>
  <c r="E2031" i="3"/>
  <c r="E2030" i="3"/>
  <c r="E2029" i="3"/>
  <c r="E2028" i="3"/>
  <c r="E2027" i="3"/>
  <c r="E2026" i="3"/>
  <c r="E2025" i="3"/>
  <c r="E2024" i="3"/>
  <c r="E2023" i="3"/>
  <c r="E2022" i="3"/>
  <c r="E2021" i="3"/>
  <c r="E2020" i="3"/>
  <c r="E2019" i="3"/>
  <c r="E2018" i="3"/>
  <c r="E2017" i="3"/>
  <c r="E2016" i="3"/>
  <c r="E2015" i="3"/>
  <c r="E2014" i="3"/>
  <c r="E2013" i="3"/>
  <c r="E2012" i="3"/>
  <c r="E2011" i="3"/>
  <c r="E2010" i="3"/>
  <c r="E2009" i="3"/>
  <c r="E2008" i="3"/>
  <c r="E2007" i="3"/>
  <c r="E2006" i="3"/>
  <c r="E2005" i="3"/>
  <c r="E2004" i="3"/>
  <c r="E2003" i="3"/>
  <c r="E2002" i="3"/>
  <c r="E2001" i="3"/>
  <c r="E2000" i="3"/>
  <c r="E1999" i="3"/>
  <c r="E1998" i="3"/>
  <c r="E1997" i="3"/>
  <c r="E1996" i="3"/>
  <c r="E1995" i="3"/>
  <c r="E1994" i="3"/>
  <c r="E1993" i="3"/>
  <c r="E1992" i="3"/>
  <c r="E1991" i="3"/>
  <c r="E1990" i="3"/>
  <c r="E1989" i="3"/>
  <c r="E1988" i="3"/>
  <c r="E1987" i="3"/>
  <c r="E1986" i="3"/>
  <c r="E1985" i="3"/>
  <c r="E1984" i="3"/>
  <c r="E1983" i="3"/>
  <c r="E1982" i="3"/>
  <c r="E1981" i="3"/>
  <c r="E1980" i="3"/>
  <c r="E1979" i="3"/>
  <c r="E1978" i="3"/>
  <c r="E1977" i="3"/>
  <c r="E1976" i="3"/>
  <c r="E1975" i="3"/>
  <c r="E1974" i="3"/>
  <c r="E1973" i="3"/>
  <c r="E1972" i="3"/>
  <c r="E1971" i="3"/>
  <c r="E1970" i="3"/>
  <c r="E1969" i="3"/>
  <c r="E1968" i="3"/>
  <c r="E1967" i="3"/>
  <c r="E1966" i="3"/>
  <c r="E1965" i="3"/>
  <c r="E1964" i="3"/>
  <c r="E1963" i="3"/>
  <c r="E1962" i="3"/>
  <c r="E1961" i="3"/>
  <c r="E1960" i="3"/>
  <c r="E1959" i="3"/>
  <c r="E1958" i="3"/>
  <c r="E1957" i="3"/>
  <c r="E1956" i="3"/>
  <c r="E1955" i="3"/>
  <c r="E1954" i="3"/>
  <c r="E1953" i="3"/>
  <c r="E1952" i="3"/>
  <c r="E1951" i="3"/>
  <c r="E1950" i="3"/>
  <c r="E1949" i="3"/>
  <c r="E1948" i="3"/>
  <c r="E1947" i="3"/>
  <c r="E1946" i="3"/>
  <c r="E1945" i="3"/>
  <c r="E1944" i="3"/>
  <c r="E1943" i="3"/>
  <c r="E1942" i="3"/>
  <c r="E1941" i="3"/>
  <c r="E1940" i="3"/>
  <c r="E1939" i="3"/>
  <c r="E1938" i="3"/>
  <c r="E1937" i="3"/>
  <c r="E1936" i="3"/>
  <c r="E1935" i="3"/>
  <c r="E1934" i="3"/>
  <c r="E1933" i="3"/>
  <c r="E1932" i="3"/>
  <c r="E1931" i="3"/>
  <c r="E1930" i="3"/>
  <c r="E1929" i="3"/>
  <c r="E1928" i="3"/>
  <c r="E1927" i="3"/>
  <c r="E1926" i="3"/>
  <c r="E1925" i="3"/>
  <c r="E1924" i="3"/>
  <c r="E1923" i="3"/>
  <c r="E1922" i="3"/>
  <c r="E1921" i="3"/>
  <c r="E1920" i="3"/>
  <c r="E1919" i="3"/>
  <c r="E1918" i="3"/>
  <c r="E1917" i="3"/>
  <c r="E1916" i="3"/>
  <c r="E1915" i="3"/>
  <c r="E1914" i="3"/>
  <c r="E1913" i="3"/>
  <c r="E1912" i="3"/>
  <c r="E1911" i="3"/>
  <c r="E1910" i="3"/>
  <c r="E1909" i="3"/>
  <c r="E1908" i="3"/>
  <c r="E1907" i="3"/>
  <c r="E1906" i="3"/>
  <c r="E1905" i="3"/>
  <c r="E1904" i="3"/>
  <c r="E1903" i="3"/>
  <c r="E1902" i="3"/>
  <c r="E1901" i="3"/>
  <c r="E1900" i="3"/>
  <c r="E1899" i="3"/>
  <c r="E1898" i="3"/>
  <c r="E1897" i="3"/>
  <c r="E1896" i="3"/>
  <c r="E1895" i="3"/>
  <c r="E1894" i="3"/>
  <c r="E1893" i="3"/>
  <c r="E1892" i="3"/>
  <c r="E1891" i="3"/>
  <c r="E1890" i="3"/>
  <c r="E1889" i="3"/>
  <c r="E1888" i="3"/>
  <c r="E1887" i="3"/>
  <c r="E1886" i="3"/>
  <c r="E1885" i="3"/>
  <c r="E1884" i="3"/>
  <c r="E1883" i="3"/>
  <c r="E1882" i="3"/>
  <c r="E1881" i="3"/>
  <c r="E1880" i="3"/>
  <c r="E1879" i="3"/>
  <c r="E1878" i="3"/>
  <c r="E1877" i="3"/>
  <c r="E1876" i="3"/>
  <c r="E1875" i="3"/>
  <c r="E1874" i="3"/>
  <c r="E1873" i="3"/>
  <c r="E1872" i="3"/>
  <c r="E1871" i="3"/>
  <c r="E1870" i="3"/>
  <c r="E1869" i="3"/>
  <c r="E1868" i="3"/>
  <c r="E1867" i="3"/>
  <c r="E1866" i="3"/>
  <c r="E1865" i="3"/>
  <c r="E1864" i="3"/>
  <c r="E1863" i="3"/>
  <c r="E1862" i="3"/>
  <c r="E1861" i="3"/>
  <c r="E1860" i="3"/>
  <c r="E1859" i="3"/>
  <c r="E1858" i="3"/>
  <c r="E1857" i="3"/>
  <c r="E1856" i="3"/>
  <c r="E1855" i="3"/>
  <c r="E1854" i="3"/>
  <c r="E1853" i="3"/>
  <c r="E1852" i="3"/>
  <c r="E1851" i="3"/>
  <c r="E1850" i="3"/>
  <c r="E1849" i="3"/>
  <c r="E1848" i="3"/>
  <c r="E1847" i="3"/>
  <c r="E1846" i="3"/>
  <c r="E1845" i="3"/>
  <c r="E1844" i="3"/>
  <c r="E1843" i="3"/>
  <c r="E1842" i="3"/>
  <c r="E1841" i="3"/>
  <c r="E1840" i="3"/>
  <c r="E1839" i="3"/>
  <c r="E1838" i="3"/>
  <c r="E1837" i="3"/>
  <c r="E1836" i="3"/>
  <c r="E1835" i="3"/>
  <c r="E1834" i="3"/>
  <c r="E1833" i="3"/>
  <c r="E1832" i="3"/>
  <c r="E1831" i="3"/>
  <c r="E1830" i="3"/>
  <c r="E1829" i="3"/>
  <c r="E1828" i="3"/>
  <c r="E1827" i="3"/>
  <c r="E1826" i="3"/>
  <c r="E1825" i="3"/>
  <c r="E1824" i="3"/>
  <c r="E1823" i="3"/>
  <c r="E1822" i="3"/>
  <c r="E1821" i="3"/>
  <c r="E1820" i="3"/>
  <c r="E1819" i="3"/>
  <c r="E1818" i="3"/>
  <c r="E1817" i="3"/>
  <c r="E1816" i="3"/>
  <c r="E1815" i="3"/>
  <c r="E1814" i="3"/>
  <c r="E1813" i="3"/>
  <c r="E1812" i="3"/>
  <c r="E1811" i="3"/>
  <c r="E1810" i="3"/>
  <c r="E1809" i="3"/>
  <c r="E1808" i="3"/>
  <c r="E1807" i="3"/>
  <c r="E1806" i="3"/>
  <c r="E1805" i="3"/>
  <c r="E1804" i="3"/>
  <c r="E1803" i="3"/>
  <c r="E1802" i="3"/>
  <c r="E1801" i="3"/>
  <c r="E1800" i="3"/>
  <c r="E1799" i="3"/>
  <c r="E1798" i="3"/>
  <c r="E1797" i="3"/>
  <c r="E1796" i="3"/>
  <c r="E1795" i="3"/>
  <c r="E1794" i="3"/>
  <c r="E1793" i="3"/>
  <c r="E1792" i="3"/>
  <c r="E1791" i="3"/>
  <c r="E1790" i="3"/>
  <c r="E1789" i="3"/>
  <c r="E1788" i="3"/>
  <c r="E1787" i="3"/>
  <c r="E1786" i="3"/>
  <c r="E1785" i="3"/>
  <c r="E1784" i="3"/>
  <c r="E1783" i="3"/>
  <c r="E1782" i="3"/>
  <c r="E1781" i="3"/>
  <c r="E1780" i="3"/>
  <c r="E1779" i="3"/>
  <c r="E1778" i="3"/>
  <c r="E1777" i="3"/>
  <c r="E1776" i="3"/>
  <c r="E1775" i="3"/>
  <c r="E1774" i="3"/>
  <c r="E1773" i="3"/>
  <c r="E1772" i="3"/>
  <c r="E1771" i="3"/>
  <c r="E1770" i="3"/>
  <c r="E1769" i="3"/>
  <c r="E1768" i="3"/>
  <c r="E1767" i="3"/>
  <c r="E1766" i="3"/>
  <c r="E1765" i="3"/>
  <c r="E1764" i="3"/>
  <c r="E1763" i="3"/>
  <c r="E1762" i="3"/>
  <c r="E1761" i="3"/>
  <c r="E1760" i="3"/>
  <c r="E1759" i="3"/>
  <c r="E1758" i="3"/>
  <c r="E1757" i="3"/>
  <c r="E1756" i="3"/>
  <c r="E1755" i="3"/>
  <c r="E1754" i="3"/>
  <c r="E1753" i="3"/>
  <c r="E1752" i="3"/>
  <c r="E1751" i="3"/>
  <c r="E1750" i="3"/>
  <c r="E1749" i="3"/>
  <c r="E1748" i="3"/>
  <c r="E1747" i="3"/>
  <c r="E1746" i="3"/>
  <c r="E1745" i="3"/>
  <c r="E1744" i="3"/>
  <c r="E1743" i="3"/>
  <c r="E1742" i="3"/>
  <c r="E1741" i="3"/>
  <c r="E1740" i="3"/>
  <c r="E1739" i="3"/>
  <c r="E1738" i="3"/>
  <c r="E1737" i="3"/>
  <c r="E1736" i="3"/>
  <c r="E1735" i="3"/>
  <c r="E1734" i="3"/>
  <c r="E1733" i="3"/>
  <c r="E1732" i="3"/>
  <c r="E1731" i="3"/>
  <c r="E1730" i="3"/>
  <c r="E1729" i="3"/>
  <c r="E1728" i="3"/>
  <c r="E1727" i="3"/>
  <c r="E1726" i="3"/>
  <c r="E1725" i="3"/>
  <c r="E1724" i="3"/>
  <c r="E1723" i="3"/>
  <c r="E1722" i="3"/>
  <c r="E1721" i="3"/>
  <c r="E1720" i="3"/>
  <c r="E1719" i="3"/>
  <c r="E1718" i="3"/>
  <c r="E1717" i="3"/>
  <c r="E1716" i="3"/>
  <c r="E1715" i="3"/>
  <c r="E1714" i="3"/>
  <c r="E1713" i="3"/>
  <c r="E1712" i="3"/>
  <c r="E1711" i="3"/>
  <c r="E1710" i="3"/>
  <c r="E1709" i="3"/>
  <c r="E1708" i="3"/>
  <c r="E1707" i="3"/>
  <c r="E1706" i="3"/>
  <c r="E1705" i="3"/>
  <c r="E1704" i="3"/>
  <c r="E1703" i="3"/>
  <c r="E1702" i="3"/>
  <c r="E1701" i="3"/>
  <c r="E1700" i="3"/>
  <c r="E1699" i="3"/>
  <c r="E1698" i="3"/>
  <c r="E1697" i="3"/>
  <c r="E1696" i="3"/>
  <c r="E1695" i="3"/>
  <c r="E1694" i="3"/>
  <c r="E1693" i="3"/>
  <c r="E1692" i="3"/>
  <c r="E1691" i="3"/>
  <c r="E1690" i="3"/>
  <c r="E1689" i="3"/>
  <c r="E1688" i="3"/>
  <c r="E1687" i="3"/>
  <c r="E1686" i="3"/>
  <c r="E1685" i="3"/>
  <c r="E1684" i="3"/>
  <c r="E1683" i="3"/>
  <c r="E1682" i="3"/>
  <c r="E1681" i="3"/>
  <c r="E1680" i="3"/>
  <c r="E1679" i="3"/>
  <c r="E1678" i="3"/>
  <c r="E1677" i="3"/>
  <c r="E1676" i="3"/>
  <c r="E1675" i="3"/>
  <c r="E1674" i="3"/>
  <c r="E1673" i="3"/>
  <c r="E1672" i="3"/>
  <c r="E1671" i="3"/>
  <c r="E1670" i="3"/>
  <c r="E1669" i="3"/>
  <c r="E1668" i="3"/>
  <c r="E1667" i="3"/>
  <c r="E1666" i="3"/>
  <c r="E1665" i="3"/>
  <c r="E1664" i="3"/>
  <c r="E1663" i="3"/>
  <c r="E1662" i="3"/>
  <c r="E1661" i="3"/>
  <c r="E1660" i="3"/>
  <c r="E1659" i="3"/>
  <c r="E1658" i="3"/>
  <c r="E1657" i="3"/>
  <c r="E1656" i="3"/>
  <c r="E1655" i="3"/>
  <c r="E1654" i="3"/>
  <c r="E1653" i="3"/>
  <c r="E1652" i="3"/>
  <c r="E1651" i="3"/>
  <c r="E1650" i="3"/>
  <c r="E1649" i="3"/>
  <c r="E1648" i="3"/>
  <c r="E1647" i="3"/>
  <c r="E1646" i="3"/>
  <c r="E1645" i="3"/>
  <c r="E1644" i="3"/>
  <c r="E1643" i="3"/>
  <c r="E1642" i="3"/>
  <c r="E1641" i="3"/>
  <c r="E1640" i="3"/>
  <c r="E1639" i="3"/>
  <c r="E1638" i="3"/>
  <c r="E1637" i="3"/>
  <c r="E1636" i="3"/>
  <c r="E1635" i="3"/>
  <c r="E1634" i="3"/>
  <c r="E1633" i="3"/>
  <c r="E1632" i="3"/>
  <c r="E1631" i="3"/>
  <c r="E1630" i="3"/>
  <c r="E1629" i="3"/>
  <c r="E1628" i="3"/>
  <c r="E1627" i="3"/>
  <c r="E1626" i="3"/>
  <c r="E1625" i="3"/>
  <c r="E1624" i="3"/>
  <c r="E1623" i="3"/>
  <c r="E1622" i="3"/>
  <c r="E1621" i="3"/>
  <c r="E1620" i="3"/>
  <c r="E1619" i="3"/>
  <c r="E1618" i="3"/>
  <c r="E1617" i="3"/>
  <c r="E1616" i="3"/>
  <c r="E1615" i="3"/>
  <c r="E1614" i="3"/>
  <c r="E1613" i="3"/>
  <c r="E1612" i="3"/>
  <c r="E1611" i="3"/>
  <c r="E1610" i="3"/>
  <c r="E1609" i="3"/>
  <c r="E1608" i="3"/>
  <c r="E1607" i="3"/>
  <c r="E1606" i="3"/>
  <c r="E1605" i="3"/>
  <c r="E1604" i="3"/>
  <c r="E1603" i="3"/>
  <c r="E1602" i="3"/>
  <c r="E1601" i="3"/>
  <c r="E1600" i="3"/>
  <c r="E1599" i="3"/>
  <c r="E1598" i="3"/>
  <c r="E1597" i="3"/>
  <c r="E1596" i="3"/>
  <c r="E1595" i="3"/>
  <c r="E1594" i="3"/>
  <c r="E1593" i="3"/>
  <c r="E1592" i="3"/>
  <c r="E1591" i="3"/>
  <c r="E1590" i="3"/>
  <c r="E1589" i="3"/>
  <c r="E1588" i="3"/>
  <c r="E1587" i="3"/>
  <c r="E1586" i="3"/>
  <c r="E1585" i="3"/>
  <c r="E1584" i="3"/>
  <c r="E1583" i="3"/>
  <c r="E1582" i="3"/>
  <c r="E1581" i="3"/>
  <c r="E1580" i="3"/>
  <c r="E1579" i="3"/>
  <c r="E1578" i="3"/>
  <c r="E1577" i="3"/>
  <c r="E1576" i="3"/>
  <c r="E1575" i="3"/>
  <c r="E1574" i="3"/>
  <c r="E1573" i="3"/>
  <c r="E1572" i="3"/>
  <c r="E1571" i="3"/>
  <c r="E1570" i="3"/>
  <c r="E1569" i="3"/>
  <c r="E1568" i="3"/>
  <c r="E1567" i="3"/>
  <c r="E1566" i="3"/>
  <c r="E1565" i="3"/>
  <c r="E1564" i="3"/>
  <c r="E1563" i="3"/>
  <c r="E1562" i="3"/>
  <c r="E1561" i="3"/>
  <c r="E1560" i="3"/>
  <c r="E1559" i="3"/>
  <c r="E1558" i="3"/>
  <c r="E1557" i="3"/>
  <c r="E1556" i="3"/>
  <c r="E1555" i="3"/>
  <c r="E1554" i="3"/>
  <c r="E1553" i="3"/>
  <c r="E1552" i="3"/>
  <c r="E1551" i="3"/>
  <c r="E1550" i="3"/>
  <c r="E1549" i="3"/>
  <c r="E1548" i="3"/>
  <c r="E1547" i="3"/>
  <c r="E1546" i="3"/>
  <c r="E1545" i="3"/>
  <c r="E1544" i="3"/>
  <c r="E1543" i="3"/>
  <c r="E1542" i="3"/>
  <c r="E1541" i="3"/>
  <c r="E1540" i="3"/>
  <c r="E1539" i="3"/>
  <c r="E1538" i="3"/>
  <c r="E1537" i="3"/>
  <c r="E1536" i="3"/>
  <c r="E1535" i="3"/>
  <c r="E1534" i="3"/>
  <c r="E1533" i="3"/>
  <c r="E1532" i="3"/>
  <c r="E1531" i="3"/>
  <c r="E1530" i="3"/>
  <c r="E1529" i="3"/>
  <c r="E1528" i="3"/>
  <c r="E1527" i="3"/>
  <c r="E1526" i="3"/>
  <c r="E1525" i="3"/>
  <c r="E1524" i="3"/>
  <c r="E1523" i="3"/>
  <c r="E1522" i="3"/>
  <c r="E1521" i="3"/>
  <c r="E1520" i="3"/>
  <c r="E1519" i="3"/>
  <c r="E1518" i="3"/>
  <c r="E1517" i="3"/>
  <c r="E1516" i="3"/>
  <c r="E1515" i="3"/>
  <c r="E1514" i="3"/>
  <c r="E1513" i="3"/>
  <c r="E1512" i="3"/>
  <c r="E1511" i="3"/>
  <c r="E1510" i="3"/>
  <c r="E1509" i="3"/>
  <c r="E1508" i="3"/>
  <c r="E1507" i="3"/>
  <c r="E1506" i="3"/>
  <c r="E1505" i="3"/>
  <c r="E1504" i="3"/>
  <c r="E1503" i="3"/>
  <c r="E1502" i="3"/>
  <c r="E1501" i="3"/>
  <c r="E1500" i="3"/>
  <c r="E1499" i="3"/>
  <c r="E1498" i="3"/>
  <c r="E1497" i="3"/>
  <c r="E1496" i="3"/>
  <c r="E1495" i="3"/>
  <c r="E1494" i="3"/>
  <c r="E1493" i="3"/>
  <c r="E1492" i="3"/>
  <c r="E1491" i="3"/>
  <c r="E1490" i="3"/>
  <c r="E1489" i="3"/>
  <c r="E1488" i="3"/>
  <c r="E1487" i="3"/>
  <c r="E1486" i="3"/>
  <c r="E1485" i="3"/>
  <c r="E1484" i="3"/>
  <c r="E1483" i="3"/>
  <c r="E1482" i="3"/>
  <c r="E1481" i="3"/>
  <c r="E1480" i="3"/>
  <c r="E1479" i="3"/>
  <c r="E1478" i="3"/>
  <c r="E1477" i="3"/>
  <c r="E1476" i="3"/>
  <c r="E1475" i="3"/>
  <c r="E1474" i="3"/>
  <c r="E1473" i="3"/>
  <c r="E1472" i="3"/>
  <c r="E1471" i="3"/>
  <c r="E1470" i="3"/>
  <c r="E1469" i="3"/>
  <c r="E1468" i="3"/>
  <c r="E1467" i="3"/>
  <c r="E1466" i="3"/>
  <c r="E1465" i="3"/>
  <c r="E1464" i="3"/>
  <c r="E1463" i="3"/>
  <c r="E1462" i="3"/>
  <c r="E1461" i="3"/>
  <c r="E1460" i="3"/>
  <c r="E1459" i="3"/>
  <c r="E1458" i="3"/>
  <c r="E1457" i="3"/>
  <c r="E1456" i="3"/>
  <c r="E1455" i="3"/>
  <c r="E1454" i="3"/>
  <c r="E1453" i="3"/>
  <c r="E1452" i="3"/>
  <c r="E1451" i="3"/>
  <c r="E1450" i="3"/>
  <c r="E1449" i="3"/>
  <c r="E1448" i="3"/>
  <c r="E1447" i="3"/>
  <c r="E1446" i="3"/>
  <c r="E1445" i="3"/>
  <c r="E1444" i="3"/>
  <c r="E1443" i="3"/>
  <c r="E1442" i="3"/>
  <c r="E1441" i="3"/>
  <c r="E1440" i="3"/>
  <c r="E1439" i="3"/>
  <c r="E1438" i="3"/>
  <c r="E1437" i="3"/>
  <c r="E1436" i="3"/>
  <c r="E1435" i="3"/>
  <c r="E1434" i="3"/>
  <c r="E1433" i="3"/>
  <c r="E1432" i="3"/>
  <c r="E1431" i="3"/>
  <c r="E1430" i="3"/>
  <c r="E1429" i="3"/>
  <c r="E1428" i="3"/>
  <c r="E1427" i="3"/>
  <c r="E1426" i="3"/>
  <c r="E1425" i="3"/>
  <c r="E1424" i="3"/>
  <c r="E1423" i="3"/>
  <c r="E1422" i="3"/>
  <c r="E1421" i="3"/>
  <c r="E1420" i="3"/>
  <c r="E1419" i="3"/>
  <c r="E1418" i="3"/>
  <c r="E1417" i="3"/>
  <c r="E1416" i="3"/>
  <c r="E1415" i="3"/>
  <c r="E1414" i="3"/>
  <c r="E1413" i="3"/>
  <c r="E1412" i="3"/>
  <c r="E1411" i="3"/>
  <c r="E1410" i="3"/>
  <c r="E1409" i="3"/>
  <c r="E1408" i="3"/>
  <c r="E1407" i="3"/>
  <c r="E1406" i="3"/>
  <c r="E1405" i="3"/>
  <c r="E1404" i="3"/>
  <c r="E1403" i="3"/>
  <c r="E1402" i="3"/>
  <c r="E1401" i="3"/>
  <c r="E1400" i="3"/>
  <c r="E1399" i="3"/>
  <c r="E1398" i="3"/>
  <c r="E1397" i="3"/>
  <c r="E1396" i="3"/>
  <c r="E1395" i="3"/>
  <c r="E1394" i="3"/>
  <c r="E1393" i="3"/>
  <c r="E1392" i="3"/>
  <c r="E1391" i="3"/>
  <c r="E1390" i="3"/>
  <c r="E1389" i="3"/>
  <c r="E1388" i="3"/>
  <c r="E1387" i="3"/>
  <c r="E1386" i="3"/>
  <c r="E1385" i="3"/>
  <c r="E1384" i="3"/>
  <c r="E1383" i="3"/>
  <c r="E1382" i="3"/>
  <c r="E1381" i="3"/>
  <c r="E1380" i="3"/>
  <c r="E1379" i="3"/>
  <c r="E1378" i="3"/>
  <c r="E1377" i="3"/>
  <c r="E1376" i="3"/>
  <c r="E1375" i="3"/>
  <c r="E1374" i="3"/>
  <c r="E1373" i="3"/>
  <c r="E1372" i="3"/>
  <c r="E1371" i="3"/>
  <c r="E1370" i="3"/>
  <c r="E1369" i="3"/>
  <c r="E1368" i="3"/>
  <c r="E1367" i="3"/>
  <c r="E1366" i="3"/>
  <c r="E1365" i="3"/>
  <c r="E1364" i="3"/>
  <c r="E1363" i="3"/>
  <c r="E1362" i="3"/>
  <c r="E1361" i="3"/>
  <c r="E1360" i="3"/>
  <c r="E1359" i="3"/>
  <c r="E1358" i="3"/>
  <c r="E1357" i="3"/>
  <c r="E1356" i="3"/>
  <c r="E1355" i="3"/>
  <c r="E1354" i="3"/>
  <c r="E1353" i="3"/>
  <c r="E1352" i="3"/>
  <c r="E1351" i="3"/>
  <c r="E1350" i="3"/>
  <c r="E1349" i="3"/>
  <c r="E1348" i="3"/>
  <c r="E1347" i="3"/>
  <c r="E1346" i="3"/>
  <c r="E1345" i="3"/>
  <c r="E1344" i="3"/>
  <c r="E1343" i="3"/>
  <c r="E1342" i="3"/>
  <c r="E1341" i="3"/>
  <c r="E1340" i="3"/>
  <c r="E1339" i="3"/>
  <c r="E1338" i="3"/>
  <c r="E1337" i="3"/>
  <c r="E1336" i="3"/>
  <c r="E1335" i="3"/>
  <c r="E1334" i="3"/>
  <c r="E1333" i="3"/>
  <c r="E1332" i="3"/>
  <c r="E1331" i="3"/>
  <c r="E1330" i="3"/>
  <c r="E1329" i="3"/>
  <c r="E1328" i="3"/>
  <c r="E1327" i="3"/>
  <c r="E1326" i="3"/>
  <c r="E1325" i="3"/>
  <c r="E1324" i="3"/>
  <c r="E1323" i="3"/>
  <c r="E1322" i="3"/>
  <c r="E1321" i="3"/>
  <c r="E1320" i="3"/>
  <c r="E1319" i="3"/>
  <c r="E1318" i="3"/>
  <c r="E1317" i="3"/>
  <c r="E1316" i="3"/>
  <c r="E1315" i="3"/>
  <c r="E1314" i="3"/>
  <c r="E1313" i="3"/>
  <c r="E1312" i="3"/>
  <c r="E1311" i="3"/>
  <c r="E1310" i="3"/>
  <c r="E1309" i="3"/>
  <c r="E1308" i="3"/>
  <c r="E1307" i="3"/>
  <c r="E1306" i="3"/>
  <c r="E1305" i="3"/>
  <c r="E1304" i="3"/>
  <c r="E1303" i="3"/>
  <c r="E1302" i="3"/>
  <c r="E1301" i="3"/>
  <c r="E1300" i="3"/>
  <c r="E1299" i="3"/>
  <c r="E1298" i="3"/>
  <c r="E1297" i="3"/>
  <c r="E1296" i="3"/>
  <c r="E1295" i="3"/>
  <c r="E1294" i="3"/>
  <c r="E1293" i="3"/>
  <c r="E1292" i="3"/>
  <c r="E1291" i="3"/>
  <c r="E1290" i="3"/>
  <c r="E1289" i="3"/>
  <c r="E1288" i="3"/>
  <c r="E1287" i="3"/>
  <c r="E1286" i="3"/>
  <c r="E1285" i="3"/>
  <c r="E1284" i="3"/>
  <c r="E1283" i="3"/>
  <c r="E1282" i="3"/>
  <c r="E1281" i="3"/>
  <c r="E1280" i="3"/>
  <c r="E1279" i="3"/>
  <c r="E1278" i="3"/>
  <c r="E1277" i="3"/>
  <c r="E1276" i="3"/>
  <c r="E1275" i="3"/>
  <c r="E1274" i="3"/>
  <c r="E1273" i="3"/>
  <c r="E1272" i="3"/>
  <c r="E1271" i="3"/>
  <c r="E1270" i="3"/>
  <c r="E1269" i="3"/>
  <c r="E1268" i="3"/>
  <c r="E1267" i="3"/>
  <c r="E1266" i="3"/>
  <c r="E1265" i="3"/>
  <c r="E1264" i="3"/>
  <c r="E1263" i="3"/>
  <c r="E1262" i="3"/>
  <c r="E1261" i="3"/>
  <c r="E1260" i="3"/>
  <c r="E1259" i="3"/>
  <c r="E1258" i="3"/>
  <c r="E1257" i="3"/>
  <c r="E1256" i="3"/>
  <c r="E1255" i="3"/>
  <c r="E1254" i="3"/>
  <c r="E1253" i="3"/>
  <c r="E1252" i="3"/>
  <c r="E1251" i="3"/>
  <c r="E1250" i="3"/>
  <c r="E1249" i="3"/>
  <c r="E1248" i="3"/>
  <c r="E1247" i="3"/>
  <c r="E1246" i="3"/>
  <c r="E1245" i="3"/>
  <c r="E1244" i="3"/>
  <c r="E1243" i="3"/>
  <c r="E1242" i="3"/>
  <c r="E1241" i="3"/>
  <c r="E1240" i="3"/>
  <c r="E1239" i="3"/>
  <c r="E1238" i="3"/>
  <c r="E1237" i="3"/>
  <c r="E1236" i="3"/>
  <c r="E1235" i="3"/>
  <c r="E1234" i="3"/>
  <c r="E1233" i="3"/>
  <c r="E1232" i="3"/>
  <c r="E1231" i="3"/>
  <c r="E1230" i="3"/>
  <c r="E1229" i="3"/>
  <c r="E1228" i="3"/>
  <c r="E1227" i="3"/>
  <c r="E1226" i="3"/>
  <c r="E1225" i="3"/>
  <c r="E1224" i="3"/>
  <c r="E1223" i="3"/>
  <c r="E1222" i="3"/>
  <c r="E1221" i="3"/>
  <c r="E1220" i="3"/>
  <c r="E1219" i="3"/>
  <c r="E1218" i="3"/>
  <c r="E1217" i="3"/>
  <c r="E1216" i="3"/>
  <c r="E1215" i="3"/>
  <c r="E1214" i="3"/>
  <c r="E1213" i="3"/>
  <c r="E1212" i="3"/>
  <c r="E1211" i="3"/>
  <c r="E1210" i="3"/>
  <c r="E1209" i="3"/>
  <c r="E1208" i="3"/>
  <c r="E1207" i="3"/>
  <c r="E1206" i="3"/>
  <c r="E1205" i="3"/>
  <c r="E1204" i="3"/>
  <c r="E1203" i="3"/>
  <c r="E1202" i="3"/>
  <c r="E1201" i="3"/>
  <c r="E1200" i="3"/>
  <c r="E1199" i="3"/>
  <c r="E1198" i="3"/>
  <c r="E1197" i="3"/>
  <c r="E1196" i="3"/>
  <c r="E1195" i="3"/>
  <c r="E1194" i="3"/>
  <c r="E1193" i="3"/>
  <c r="E1192" i="3"/>
  <c r="E1191" i="3"/>
  <c r="E1190" i="3"/>
  <c r="E1189" i="3"/>
  <c r="E1188" i="3"/>
  <c r="E1187" i="3"/>
  <c r="E1186" i="3"/>
  <c r="E1185" i="3"/>
  <c r="E1184" i="3"/>
  <c r="E1183" i="3"/>
  <c r="E1182" i="3"/>
  <c r="E1181" i="3"/>
  <c r="E1180" i="3"/>
  <c r="E1179" i="3"/>
  <c r="E1178" i="3"/>
  <c r="E1177" i="3"/>
  <c r="E1176" i="3"/>
  <c r="E1175" i="3"/>
  <c r="E1174" i="3"/>
  <c r="E1173" i="3"/>
  <c r="E1172" i="3"/>
  <c r="E1171" i="3"/>
  <c r="E1170" i="3"/>
  <c r="E1169" i="3"/>
  <c r="E1168" i="3"/>
  <c r="E1167" i="3"/>
  <c r="E1166" i="3"/>
  <c r="E1165" i="3"/>
  <c r="E1164" i="3"/>
  <c r="E1163" i="3"/>
  <c r="E1162" i="3"/>
  <c r="E1161" i="3"/>
  <c r="E1160" i="3"/>
  <c r="E1159" i="3"/>
  <c r="E1158" i="3"/>
  <c r="E1157" i="3"/>
  <c r="E1156" i="3"/>
  <c r="E1155" i="3"/>
  <c r="E1154" i="3"/>
  <c r="E1153" i="3"/>
  <c r="E1152" i="3"/>
  <c r="E1151" i="3"/>
  <c r="E1150" i="3"/>
  <c r="E1149" i="3"/>
  <c r="E1148" i="3"/>
  <c r="E1147" i="3"/>
  <c r="E1146" i="3"/>
  <c r="E1145" i="3"/>
  <c r="E1144" i="3"/>
  <c r="E1143" i="3"/>
  <c r="E1142" i="3"/>
  <c r="E1141" i="3"/>
  <c r="E1140" i="3"/>
  <c r="E1139" i="3"/>
  <c r="E1138" i="3"/>
  <c r="E1137" i="3"/>
  <c r="E1136" i="3"/>
  <c r="E1135" i="3"/>
  <c r="E1134" i="3"/>
  <c r="E1133" i="3"/>
  <c r="E1132" i="3"/>
  <c r="E1131" i="3"/>
  <c r="E1130" i="3"/>
  <c r="E1129" i="3"/>
  <c r="E1128" i="3"/>
  <c r="E1127" i="3"/>
  <c r="E1126" i="3"/>
  <c r="E1125" i="3"/>
  <c r="E1124" i="3"/>
  <c r="E1123" i="3"/>
  <c r="E1122" i="3"/>
  <c r="E1121" i="3"/>
  <c r="E1120" i="3"/>
  <c r="E1119" i="3"/>
  <c r="E1118" i="3"/>
  <c r="E1117" i="3"/>
  <c r="E1116" i="3"/>
  <c r="E1115" i="3"/>
  <c r="E1114" i="3"/>
  <c r="E1113" i="3"/>
  <c r="E1112" i="3"/>
  <c r="E1111" i="3"/>
  <c r="E1110" i="3"/>
  <c r="E1109" i="3"/>
  <c r="E1108" i="3"/>
  <c r="E1107" i="3"/>
  <c r="E1106" i="3"/>
  <c r="E1105" i="3"/>
  <c r="E1104" i="3"/>
  <c r="E1103" i="3"/>
  <c r="E1102" i="3"/>
  <c r="E1101" i="3"/>
  <c r="E1100" i="3"/>
  <c r="E1099" i="3"/>
  <c r="E1098" i="3"/>
  <c r="E1097" i="3"/>
  <c r="E1096" i="3"/>
  <c r="E1095" i="3"/>
  <c r="E1094" i="3"/>
  <c r="E1093" i="3"/>
  <c r="E1092" i="3"/>
  <c r="E1091" i="3"/>
  <c r="E1090" i="3"/>
  <c r="E1089" i="3"/>
  <c r="E1088" i="3"/>
  <c r="E1087" i="3"/>
  <c r="E1086" i="3"/>
  <c r="E1085" i="3"/>
  <c r="E1084" i="3"/>
  <c r="E1083" i="3"/>
  <c r="E1082" i="3"/>
  <c r="E1081" i="3"/>
  <c r="E1080" i="3"/>
  <c r="E1079" i="3"/>
  <c r="E1078" i="3"/>
  <c r="E1077" i="3"/>
  <c r="E1076" i="3"/>
  <c r="E1075" i="3"/>
  <c r="E1074" i="3"/>
  <c r="E1073" i="3"/>
  <c r="E1072" i="3"/>
  <c r="E1071" i="3"/>
  <c r="E1070" i="3"/>
  <c r="E1069" i="3"/>
  <c r="E1068" i="3"/>
  <c r="E1067" i="3"/>
  <c r="E1066" i="3"/>
  <c r="E1065" i="3"/>
  <c r="E1064" i="3"/>
  <c r="E1063" i="3"/>
  <c r="E1062" i="3"/>
  <c r="E1061" i="3"/>
  <c r="E1060" i="3"/>
  <c r="E1059" i="3"/>
  <c r="E1058" i="3"/>
  <c r="E1057" i="3"/>
  <c r="E1056" i="3"/>
  <c r="E1055" i="3"/>
  <c r="E1054" i="3"/>
  <c r="E1053" i="3"/>
  <c r="E1052" i="3"/>
  <c r="E1051" i="3"/>
  <c r="E1050" i="3"/>
  <c r="E1049" i="3"/>
  <c r="E1048" i="3"/>
  <c r="E1047" i="3"/>
  <c r="E1046" i="3"/>
  <c r="E1045" i="3"/>
  <c r="E1044" i="3"/>
  <c r="E1043" i="3"/>
  <c r="E1042" i="3"/>
  <c r="E1041" i="3"/>
  <c r="E1040" i="3"/>
  <c r="E1039" i="3"/>
  <c r="E1038" i="3"/>
  <c r="E1037" i="3"/>
  <c r="E1036" i="3"/>
  <c r="E1035" i="3"/>
  <c r="E1034" i="3"/>
  <c r="E1033" i="3"/>
  <c r="E1032" i="3"/>
  <c r="E1031" i="3"/>
  <c r="E1030" i="3"/>
  <c r="E1029" i="3"/>
  <c r="E1028" i="3"/>
  <c r="E1027" i="3"/>
  <c r="E1026" i="3"/>
  <c r="E1025" i="3"/>
  <c r="E1024" i="3"/>
  <c r="E1023" i="3"/>
  <c r="E1022" i="3"/>
  <c r="E1021" i="3"/>
  <c r="E1020" i="3"/>
  <c r="E1019" i="3"/>
  <c r="E1018" i="3"/>
  <c r="E1017" i="3"/>
  <c r="E1016" i="3"/>
  <c r="E1015" i="3"/>
  <c r="E1014" i="3"/>
  <c r="E1013" i="3"/>
  <c r="E1012" i="3"/>
  <c r="E1011" i="3"/>
  <c r="E1010" i="3"/>
  <c r="E1009" i="3"/>
  <c r="E1008" i="3"/>
  <c r="E1007" i="3"/>
  <c r="E1006" i="3"/>
  <c r="E1005" i="3"/>
  <c r="E1004" i="3"/>
  <c r="E1003" i="3"/>
  <c r="E1002" i="3"/>
  <c r="E1001" i="3"/>
  <c r="E1000" i="3"/>
  <c r="E999" i="3"/>
  <c r="E998" i="3"/>
  <c r="E997" i="3"/>
  <c r="E996" i="3"/>
  <c r="E995" i="3"/>
  <c r="E994" i="3"/>
  <c r="E993" i="3"/>
  <c r="E992" i="3"/>
  <c r="E991" i="3"/>
  <c r="E990" i="3"/>
  <c r="E989" i="3"/>
  <c r="E988" i="3"/>
  <c r="E987" i="3"/>
  <c r="E986" i="3"/>
  <c r="E985" i="3"/>
  <c r="E984" i="3"/>
  <c r="E983" i="3"/>
  <c r="E982" i="3"/>
  <c r="E981" i="3"/>
  <c r="E980" i="3"/>
  <c r="E979" i="3"/>
  <c r="E978" i="3"/>
  <c r="E977" i="3"/>
  <c r="E976" i="3"/>
  <c r="E975" i="3"/>
  <c r="E974" i="3"/>
  <c r="E973" i="3"/>
  <c r="E972" i="3"/>
  <c r="E971" i="3"/>
  <c r="E970" i="3"/>
  <c r="E969" i="3"/>
  <c r="E968" i="3"/>
  <c r="E967" i="3"/>
  <c r="E966" i="3"/>
  <c r="E965" i="3"/>
  <c r="E964" i="3"/>
  <c r="E963" i="3"/>
  <c r="E962" i="3"/>
  <c r="E961" i="3"/>
  <c r="E960" i="3"/>
  <c r="E959" i="3"/>
  <c r="E958" i="3"/>
  <c r="E957" i="3"/>
  <c r="E956" i="3"/>
  <c r="E955" i="3"/>
  <c r="E954" i="3"/>
  <c r="E953" i="3"/>
  <c r="E952" i="3"/>
  <c r="E951" i="3"/>
  <c r="E950" i="3"/>
  <c r="E949" i="3"/>
  <c r="E948" i="3"/>
  <c r="E947" i="3"/>
  <c r="E946" i="3"/>
  <c r="E945" i="3"/>
  <c r="E944" i="3"/>
  <c r="E943" i="3"/>
  <c r="E942" i="3"/>
  <c r="E941" i="3"/>
  <c r="E940" i="3"/>
  <c r="E939" i="3"/>
  <c r="E938" i="3"/>
  <c r="E937" i="3"/>
  <c r="E936" i="3"/>
  <c r="E935" i="3"/>
  <c r="E934" i="3"/>
  <c r="E933" i="3"/>
  <c r="E932" i="3"/>
  <c r="E931" i="3"/>
  <c r="E930" i="3"/>
  <c r="E929" i="3"/>
  <c r="E928" i="3"/>
  <c r="E927" i="3"/>
  <c r="E926" i="3"/>
  <c r="E925" i="3"/>
  <c r="E924" i="3"/>
  <c r="E923" i="3"/>
  <c r="E922" i="3"/>
  <c r="E921" i="3"/>
  <c r="E920" i="3"/>
  <c r="E919" i="3"/>
  <c r="E918" i="3"/>
  <c r="E917" i="3"/>
  <c r="E916" i="3"/>
  <c r="E915" i="3"/>
  <c r="E914" i="3"/>
  <c r="E913" i="3"/>
  <c r="E912" i="3"/>
  <c r="E911" i="3"/>
  <c r="E910" i="3"/>
  <c r="E909" i="3"/>
  <c r="E908" i="3"/>
  <c r="E907" i="3"/>
  <c r="E906" i="3"/>
  <c r="E905" i="3"/>
  <c r="E904" i="3"/>
  <c r="E903" i="3"/>
  <c r="E902" i="3"/>
  <c r="E901" i="3"/>
  <c r="E900" i="3"/>
  <c r="E899" i="3"/>
  <c r="E898" i="3"/>
  <c r="E897" i="3"/>
  <c r="E896" i="3"/>
  <c r="E895" i="3"/>
  <c r="E894" i="3"/>
  <c r="E893" i="3"/>
  <c r="E892" i="3"/>
  <c r="E891" i="3"/>
  <c r="E890" i="3"/>
  <c r="E889" i="3"/>
  <c r="E888" i="3"/>
  <c r="E887" i="3"/>
  <c r="E886" i="3"/>
  <c r="E885" i="3"/>
  <c r="E884" i="3"/>
  <c r="E883" i="3"/>
  <c r="E882" i="3"/>
  <c r="E881" i="3"/>
  <c r="E880" i="3"/>
  <c r="E879" i="3"/>
  <c r="E878" i="3"/>
  <c r="E877" i="3"/>
  <c r="E876" i="3"/>
  <c r="E875" i="3"/>
  <c r="E874" i="3"/>
  <c r="E873" i="3"/>
  <c r="E872" i="3"/>
  <c r="E871" i="3"/>
  <c r="E870" i="3"/>
  <c r="E869" i="3"/>
  <c r="E868" i="3"/>
  <c r="E867" i="3"/>
  <c r="E866" i="3"/>
  <c r="E865" i="3"/>
  <c r="E864" i="3"/>
  <c r="E863" i="3"/>
  <c r="E862" i="3"/>
  <c r="E861" i="3"/>
  <c r="E860" i="3"/>
  <c r="E859" i="3"/>
  <c r="E858" i="3"/>
  <c r="E857" i="3"/>
  <c r="E856" i="3"/>
  <c r="E855" i="3"/>
  <c r="E854" i="3"/>
  <c r="E853" i="3"/>
  <c r="E852" i="3"/>
  <c r="E851" i="3"/>
  <c r="E850" i="3"/>
  <c r="E849" i="3"/>
  <c r="E848" i="3"/>
  <c r="E847" i="3"/>
  <c r="E846" i="3"/>
  <c r="E845" i="3"/>
  <c r="E844" i="3"/>
  <c r="E843" i="3"/>
  <c r="E842" i="3"/>
  <c r="E841" i="3"/>
  <c r="E840" i="3"/>
  <c r="E839" i="3"/>
  <c r="E838" i="3"/>
  <c r="E837" i="3"/>
  <c r="E836" i="3"/>
  <c r="E835" i="3"/>
  <c r="E834" i="3"/>
  <c r="E833" i="3"/>
  <c r="E832" i="3"/>
  <c r="E831" i="3"/>
  <c r="E830" i="3"/>
  <c r="E829" i="3"/>
  <c r="E828" i="3"/>
  <c r="E827" i="3"/>
  <c r="E826" i="3"/>
  <c r="E825" i="3"/>
  <c r="E824" i="3"/>
  <c r="E823" i="3"/>
  <c r="E822" i="3"/>
  <c r="E821" i="3"/>
  <c r="E820" i="3"/>
  <c r="E819" i="3"/>
  <c r="E818" i="3"/>
  <c r="E817" i="3"/>
  <c r="E816" i="3"/>
  <c r="E815" i="3"/>
  <c r="E814" i="3"/>
  <c r="E813" i="3"/>
  <c r="E812" i="3"/>
  <c r="E811" i="3"/>
  <c r="E810" i="3"/>
  <c r="E809" i="3"/>
  <c r="E808" i="3"/>
  <c r="E807" i="3"/>
  <c r="E806" i="3"/>
  <c r="E805" i="3"/>
  <c r="E804" i="3"/>
  <c r="E803" i="3"/>
  <c r="E802" i="3"/>
  <c r="E801" i="3"/>
  <c r="E800" i="3"/>
  <c r="E799" i="3"/>
  <c r="E798" i="3"/>
  <c r="E797" i="3"/>
  <c r="E796" i="3"/>
  <c r="E795" i="3"/>
  <c r="E794" i="3"/>
  <c r="E793" i="3"/>
  <c r="E792" i="3"/>
  <c r="E791" i="3"/>
  <c r="E790" i="3"/>
  <c r="E789" i="3"/>
  <c r="E788" i="3"/>
  <c r="E787" i="3"/>
  <c r="E786" i="3"/>
  <c r="E785" i="3"/>
  <c r="E784" i="3"/>
  <c r="E783" i="3"/>
  <c r="E782" i="3"/>
  <c r="E781" i="3"/>
  <c r="E780" i="3"/>
  <c r="E779" i="3"/>
  <c r="E778" i="3"/>
  <c r="E777" i="3"/>
  <c r="E776" i="3"/>
  <c r="E775" i="3"/>
  <c r="E774" i="3"/>
  <c r="E773" i="3"/>
  <c r="E772" i="3"/>
  <c r="E771" i="3"/>
  <c r="E770" i="3"/>
  <c r="E769" i="3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E740" i="3"/>
  <c r="E739" i="3"/>
  <c r="E738" i="3"/>
  <c r="E737" i="3"/>
  <c r="E736" i="3"/>
  <c r="E735" i="3"/>
  <c r="E734" i="3"/>
  <c r="E733" i="3"/>
  <c r="E732" i="3"/>
  <c r="E731" i="3"/>
  <c r="E730" i="3"/>
  <c r="E729" i="3"/>
  <c r="E728" i="3"/>
  <c r="E727" i="3"/>
  <c r="E726" i="3"/>
  <c r="E725" i="3"/>
  <c r="E724" i="3"/>
  <c r="E723" i="3"/>
  <c r="E722" i="3"/>
  <c r="E721" i="3"/>
  <c r="E720" i="3"/>
  <c r="E719" i="3"/>
  <c r="E718" i="3"/>
  <c r="E717" i="3"/>
  <c r="E716" i="3"/>
  <c r="E715" i="3"/>
  <c r="E714" i="3"/>
  <c r="E713" i="3"/>
  <c r="E712" i="3"/>
  <c r="E711" i="3"/>
  <c r="E710" i="3"/>
  <c r="E709" i="3"/>
  <c r="E708" i="3"/>
  <c r="E707" i="3"/>
  <c r="E706" i="3"/>
  <c r="E705" i="3"/>
  <c r="E704" i="3"/>
  <c r="E703" i="3"/>
  <c r="E702" i="3"/>
  <c r="E701" i="3"/>
  <c r="E700" i="3"/>
  <c r="E699" i="3"/>
  <c r="E698" i="3"/>
  <c r="E697" i="3"/>
  <c r="E696" i="3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I2498" i="3"/>
  <c r="I2497" i="3"/>
  <c r="I2496" i="3"/>
  <c r="I2495" i="3"/>
  <c r="I2494" i="3"/>
  <c r="I2493" i="3"/>
  <c r="I2492" i="3"/>
  <c r="I2491" i="3"/>
  <c r="I2490" i="3"/>
  <c r="I2489" i="3"/>
  <c r="I2488" i="3"/>
  <c r="I2487" i="3"/>
  <c r="I2486" i="3"/>
  <c r="I2485" i="3"/>
  <c r="I2484" i="3"/>
  <c r="I2483" i="3"/>
  <c r="I2482" i="3"/>
  <c r="I2481" i="3"/>
  <c r="I2480" i="3"/>
  <c r="I2479" i="3"/>
  <c r="I2478" i="3"/>
  <c r="I2477" i="3"/>
  <c r="I2476" i="3"/>
  <c r="I2475" i="3"/>
  <c r="I2474" i="3"/>
  <c r="I2473" i="3"/>
  <c r="I2472" i="3"/>
  <c r="I2471" i="3"/>
  <c r="I2470" i="3"/>
  <c r="I2469" i="3"/>
  <c r="I2468" i="3"/>
  <c r="I2467" i="3"/>
  <c r="I2466" i="3"/>
  <c r="I2465" i="3"/>
  <c r="I2464" i="3"/>
  <c r="I2463" i="3"/>
  <c r="I2462" i="3"/>
  <c r="I2461" i="3"/>
  <c r="I2460" i="3"/>
  <c r="I2459" i="3"/>
  <c r="I2458" i="3"/>
  <c r="I2457" i="3"/>
  <c r="I2456" i="3"/>
  <c r="I2455" i="3"/>
  <c r="I2454" i="3"/>
  <c r="I2453" i="3"/>
  <c r="I2452" i="3"/>
  <c r="I2451" i="3"/>
  <c r="I2450" i="3"/>
  <c r="I2449" i="3"/>
  <c r="I2448" i="3"/>
  <c r="I2447" i="3"/>
  <c r="I2446" i="3"/>
  <c r="I2445" i="3"/>
  <c r="I2444" i="3"/>
  <c r="I2443" i="3"/>
  <c r="I2442" i="3"/>
  <c r="I2441" i="3"/>
  <c r="I2440" i="3"/>
  <c r="I2439" i="3"/>
  <c r="I2438" i="3"/>
  <c r="I2437" i="3"/>
  <c r="I2436" i="3"/>
  <c r="I2435" i="3"/>
  <c r="I2434" i="3"/>
  <c r="I2433" i="3"/>
  <c r="I2432" i="3"/>
  <c r="I2431" i="3"/>
  <c r="I2430" i="3"/>
  <c r="I2429" i="3"/>
  <c r="I2428" i="3"/>
  <c r="I2427" i="3"/>
  <c r="I2426" i="3"/>
  <c r="I2425" i="3"/>
  <c r="I2424" i="3"/>
  <c r="I2423" i="3"/>
  <c r="I2422" i="3"/>
  <c r="I2421" i="3"/>
  <c r="I2420" i="3"/>
  <c r="I2419" i="3"/>
  <c r="I2418" i="3"/>
  <c r="I2417" i="3"/>
  <c r="I2416" i="3"/>
  <c r="I2415" i="3"/>
  <c r="I2414" i="3"/>
  <c r="I2413" i="3"/>
  <c r="I2412" i="3"/>
  <c r="I2411" i="3"/>
  <c r="I2410" i="3"/>
  <c r="I2409" i="3"/>
  <c r="I2408" i="3"/>
  <c r="I2407" i="3"/>
  <c r="I2406" i="3"/>
  <c r="I2405" i="3"/>
  <c r="I2404" i="3"/>
  <c r="I2403" i="3"/>
  <c r="I2402" i="3"/>
  <c r="I2401" i="3"/>
  <c r="I2400" i="3"/>
  <c r="I2399" i="3"/>
  <c r="I2398" i="3"/>
  <c r="I2397" i="3"/>
  <c r="I2396" i="3"/>
  <c r="I2395" i="3"/>
  <c r="I2394" i="3"/>
  <c r="I2393" i="3"/>
  <c r="I2392" i="3"/>
  <c r="I2391" i="3"/>
  <c r="I2390" i="3"/>
  <c r="I2389" i="3"/>
  <c r="I2388" i="3"/>
  <c r="I2387" i="3"/>
  <c r="I2386" i="3"/>
  <c r="I2385" i="3"/>
  <c r="I2384" i="3"/>
  <c r="I2383" i="3"/>
  <c r="I2382" i="3"/>
  <c r="I2381" i="3"/>
  <c r="I2380" i="3"/>
  <c r="I2379" i="3"/>
  <c r="I2378" i="3"/>
  <c r="I2377" i="3"/>
  <c r="I2376" i="3"/>
  <c r="I2375" i="3"/>
  <c r="I2374" i="3"/>
  <c r="I2373" i="3"/>
  <c r="I2372" i="3"/>
  <c r="I2371" i="3"/>
  <c r="I2370" i="3"/>
  <c r="I2369" i="3"/>
  <c r="I2368" i="3"/>
  <c r="I2367" i="3"/>
  <c r="I2366" i="3"/>
  <c r="I2365" i="3"/>
  <c r="I2364" i="3"/>
  <c r="I2363" i="3"/>
  <c r="I2362" i="3"/>
  <c r="I2361" i="3"/>
  <c r="I2360" i="3"/>
  <c r="I2359" i="3"/>
  <c r="I2358" i="3"/>
  <c r="I2357" i="3"/>
  <c r="I2356" i="3"/>
  <c r="I2355" i="3"/>
  <c r="I2354" i="3"/>
  <c r="I2353" i="3"/>
  <c r="I2352" i="3"/>
  <c r="I2351" i="3"/>
  <c r="I2350" i="3"/>
  <c r="I2349" i="3"/>
  <c r="I2348" i="3"/>
  <c r="I2347" i="3"/>
  <c r="I2346" i="3"/>
  <c r="I2345" i="3"/>
  <c r="I2344" i="3"/>
  <c r="I2343" i="3"/>
  <c r="I2342" i="3"/>
  <c r="I2341" i="3"/>
  <c r="I2340" i="3"/>
  <c r="I2339" i="3"/>
  <c r="I2338" i="3"/>
  <c r="I2337" i="3"/>
  <c r="I2336" i="3"/>
  <c r="I2335" i="3"/>
  <c r="I2334" i="3"/>
  <c r="I2333" i="3"/>
  <c r="I2332" i="3"/>
  <c r="I2331" i="3"/>
  <c r="I2330" i="3"/>
  <c r="I2329" i="3"/>
  <c r="I2328" i="3"/>
  <c r="I2327" i="3"/>
  <c r="I2326" i="3"/>
  <c r="I2325" i="3"/>
  <c r="I2324" i="3"/>
  <c r="I2323" i="3"/>
  <c r="I2322" i="3"/>
  <c r="I2321" i="3"/>
  <c r="I2320" i="3"/>
  <c r="I2319" i="3"/>
  <c r="I2318" i="3"/>
  <c r="I2317" i="3"/>
  <c r="I2316" i="3"/>
  <c r="I2315" i="3"/>
  <c r="I2314" i="3"/>
  <c r="I2313" i="3"/>
  <c r="I2312" i="3"/>
  <c r="I2311" i="3"/>
  <c r="I2310" i="3"/>
  <c r="I2309" i="3"/>
  <c r="I2308" i="3"/>
  <c r="I2307" i="3"/>
  <c r="I2306" i="3"/>
  <c r="I2305" i="3"/>
  <c r="I2304" i="3"/>
  <c r="I2303" i="3"/>
  <c r="I2302" i="3"/>
  <c r="I2301" i="3"/>
  <c r="I2300" i="3"/>
  <c r="I2299" i="3"/>
  <c r="I2298" i="3"/>
  <c r="I2297" i="3"/>
  <c r="I2296" i="3"/>
  <c r="I2295" i="3"/>
  <c r="I2294" i="3"/>
  <c r="I2293" i="3"/>
  <c r="I2292" i="3"/>
  <c r="I2291" i="3"/>
  <c r="I2290" i="3"/>
  <c r="I2289" i="3"/>
  <c r="I2288" i="3"/>
  <c r="I2287" i="3"/>
  <c r="I2286" i="3"/>
  <c r="I2285" i="3"/>
  <c r="I2284" i="3"/>
  <c r="I2283" i="3"/>
  <c r="I2282" i="3"/>
  <c r="I2281" i="3"/>
  <c r="I2280" i="3"/>
  <c r="I2279" i="3"/>
  <c r="I2278" i="3"/>
  <c r="I2277" i="3"/>
  <c r="I2276" i="3"/>
  <c r="I2275" i="3"/>
  <c r="I2274" i="3"/>
  <c r="I2273" i="3"/>
  <c r="I2272" i="3"/>
  <c r="I2271" i="3"/>
  <c r="I2270" i="3"/>
  <c r="I2269" i="3"/>
  <c r="I2268" i="3"/>
  <c r="I2267" i="3"/>
  <c r="I2266" i="3"/>
  <c r="I2265" i="3"/>
  <c r="I2264" i="3"/>
  <c r="I2263" i="3"/>
  <c r="I2262" i="3"/>
  <c r="I2261" i="3"/>
  <c r="I2260" i="3"/>
  <c r="I2259" i="3"/>
  <c r="I2258" i="3"/>
  <c r="I2257" i="3"/>
  <c r="I2256" i="3"/>
  <c r="I2255" i="3"/>
  <c r="I2254" i="3"/>
  <c r="I2253" i="3"/>
  <c r="I2252" i="3"/>
  <c r="I2251" i="3"/>
  <c r="I2250" i="3"/>
  <c r="I2249" i="3"/>
  <c r="I2248" i="3"/>
  <c r="I2247" i="3"/>
  <c r="I2246" i="3"/>
  <c r="I2245" i="3"/>
  <c r="I2244" i="3"/>
  <c r="I2243" i="3"/>
  <c r="I2242" i="3"/>
  <c r="I2241" i="3"/>
  <c r="I2240" i="3"/>
  <c r="I2239" i="3"/>
  <c r="I2238" i="3"/>
  <c r="I2237" i="3"/>
  <c r="I2236" i="3"/>
  <c r="I2235" i="3"/>
  <c r="I2234" i="3"/>
  <c r="I2233" i="3"/>
  <c r="I2232" i="3"/>
  <c r="I2231" i="3"/>
  <c r="I2230" i="3"/>
  <c r="I2229" i="3"/>
  <c r="I2228" i="3"/>
  <c r="I2227" i="3"/>
  <c r="I2226" i="3"/>
  <c r="I2225" i="3"/>
  <c r="I2224" i="3"/>
  <c r="I2223" i="3"/>
  <c r="I2222" i="3"/>
  <c r="I2221" i="3"/>
  <c r="I2220" i="3"/>
  <c r="I2219" i="3"/>
  <c r="I2218" i="3"/>
  <c r="I2217" i="3"/>
  <c r="I2216" i="3"/>
  <c r="I2215" i="3"/>
  <c r="I2214" i="3"/>
  <c r="I2213" i="3"/>
  <c r="I2212" i="3"/>
  <c r="I2211" i="3"/>
  <c r="I2210" i="3"/>
  <c r="I2209" i="3"/>
  <c r="I2208" i="3"/>
  <c r="I2207" i="3"/>
  <c r="I2206" i="3"/>
  <c r="I2205" i="3"/>
  <c r="I2204" i="3"/>
  <c r="I2203" i="3"/>
  <c r="I2202" i="3"/>
  <c r="I2201" i="3"/>
  <c r="I2200" i="3"/>
  <c r="I2199" i="3"/>
  <c r="I2198" i="3"/>
  <c r="I2197" i="3"/>
  <c r="I2196" i="3"/>
  <c r="I2195" i="3"/>
  <c r="I2194" i="3"/>
  <c r="I2193" i="3"/>
  <c r="I2192" i="3"/>
  <c r="I2191" i="3"/>
  <c r="I2190" i="3"/>
  <c r="I2189" i="3"/>
  <c r="I2188" i="3"/>
  <c r="I2187" i="3"/>
  <c r="I2186" i="3"/>
  <c r="I2185" i="3"/>
  <c r="I2184" i="3"/>
  <c r="I2183" i="3"/>
  <c r="I2182" i="3"/>
  <c r="I2181" i="3"/>
  <c r="I2180" i="3"/>
  <c r="I2179" i="3"/>
  <c r="I2178" i="3"/>
  <c r="I2177" i="3"/>
  <c r="I2176" i="3"/>
  <c r="I2175" i="3"/>
  <c r="I2174" i="3"/>
  <c r="I2173" i="3"/>
  <c r="I2172" i="3"/>
  <c r="I2171" i="3"/>
  <c r="I2170" i="3"/>
  <c r="I2169" i="3"/>
  <c r="I2168" i="3"/>
  <c r="I2167" i="3"/>
  <c r="I2166" i="3"/>
  <c r="I2165" i="3"/>
  <c r="I2164" i="3"/>
  <c r="I2163" i="3"/>
  <c r="I2162" i="3"/>
  <c r="I2161" i="3"/>
  <c r="I2160" i="3"/>
  <c r="I2159" i="3"/>
  <c r="I2158" i="3"/>
  <c r="I2157" i="3"/>
  <c r="I2156" i="3"/>
  <c r="I2155" i="3"/>
  <c r="I2154" i="3"/>
  <c r="I2153" i="3"/>
  <c r="I2152" i="3"/>
  <c r="I2151" i="3"/>
  <c r="I2150" i="3"/>
  <c r="I2149" i="3"/>
  <c r="I2148" i="3"/>
  <c r="I2147" i="3"/>
  <c r="I2146" i="3"/>
  <c r="I2145" i="3"/>
  <c r="I2144" i="3"/>
  <c r="I2143" i="3"/>
  <c r="I2142" i="3"/>
  <c r="I2141" i="3"/>
  <c r="I2140" i="3"/>
  <c r="I2139" i="3"/>
  <c r="I2138" i="3"/>
  <c r="I2137" i="3"/>
  <c r="I2136" i="3"/>
  <c r="I2135" i="3"/>
  <c r="I2134" i="3"/>
  <c r="I2133" i="3"/>
  <c r="I2132" i="3"/>
  <c r="I2131" i="3"/>
  <c r="I2130" i="3"/>
  <c r="I2129" i="3"/>
  <c r="I2128" i="3"/>
  <c r="I2127" i="3"/>
  <c r="I2126" i="3"/>
  <c r="I2125" i="3"/>
  <c r="I2124" i="3"/>
  <c r="I2123" i="3"/>
  <c r="I2122" i="3"/>
  <c r="I2121" i="3"/>
  <c r="I2120" i="3"/>
  <c r="I2119" i="3"/>
  <c r="I2118" i="3"/>
  <c r="I2117" i="3"/>
  <c r="I2116" i="3"/>
  <c r="I2115" i="3"/>
  <c r="I2114" i="3"/>
  <c r="I2113" i="3"/>
  <c r="I2112" i="3"/>
  <c r="I2111" i="3"/>
  <c r="I2110" i="3"/>
  <c r="I2109" i="3"/>
  <c r="I2108" i="3"/>
  <c r="I2107" i="3"/>
  <c r="I2106" i="3"/>
  <c r="I2105" i="3"/>
  <c r="I2104" i="3"/>
  <c r="I2103" i="3"/>
  <c r="I2102" i="3"/>
  <c r="I2101" i="3"/>
  <c r="I2100" i="3"/>
  <c r="I2099" i="3"/>
  <c r="I2098" i="3"/>
  <c r="I2097" i="3"/>
  <c r="I2096" i="3"/>
  <c r="I2095" i="3"/>
  <c r="I2094" i="3"/>
  <c r="I2093" i="3"/>
  <c r="I2092" i="3"/>
  <c r="I2091" i="3"/>
  <c r="I2090" i="3"/>
  <c r="I2089" i="3"/>
  <c r="I2088" i="3"/>
  <c r="I2087" i="3"/>
  <c r="I2086" i="3"/>
  <c r="I2085" i="3"/>
  <c r="I2084" i="3"/>
  <c r="I2083" i="3"/>
  <c r="I2082" i="3"/>
  <c r="I2081" i="3"/>
  <c r="I2080" i="3"/>
  <c r="I2079" i="3"/>
  <c r="I2078" i="3"/>
  <c r="I2077" i="3"/>
  <c r="I2076" i="3"/>
  <c r="I2075" i="3"/>
  <c r="I2074" i="3"/>
  <c r="I2073" i="3"/>
  <c r="I2072" i="3"/>
  <c r="I2071" i="3"/>
  <c r="I2070" i="3"/>
  <c r="I2069" i="3"/>
  <c r="I2068" i="3"/>
  <c r="I2067" i="3"/>
  <c r="I2066" i="3"/>
  <c r="I2065" i="3"/>
  <c r="I2064" i="3"/>
  <c r="I2063" i="3"/>
  <c r="I2062" i="3"/>
  <c r="I2061" i="3"/>
  <c r="I2060" i="3"/>
  <c r="I2059" i="3"/>
  <c r="I2058" i="3"/>
  <c r="I2057" i="3"/>
  <c r="I2056" i="3"/>
  <c r="I2055" i="3"/>
  <c r="I2054" i="3"/>
  <c r="I2053" i="3"/>
  <c r="I2052" i="3"/>
  <c r="I2051" i="3"/>
  <c r="I2050" i="3"/>
  <c r="I2049" i="3"/>
  <c r="I2048" i="3"/>
  <c r="I2047" i="3"/>
  <c r="I2046" i="3"/>
  <c r="I2045" i="3"/>
  <c r="I2044" i="3"/>
  <c r="I2043" i="3"/>
  <c r="I2042" i="3"/>
  <c r="I2041" i="3"/>
  <c r="I2040" i="3"/>
  <c r="I2039" i="3"/>
  <c r="I2038" i="3"/>
  <c r="I2037" i="3"/>
  <c r="I2036" i="3"/>
  <c r="I2035" i="3"/>
  <c r="I2034" i="3"/>
  <c r="I2033" i="3"/>
  <c r="I2032" i="3"/>
  <c r="I2031" i="3"/>
  <c r="I2030" i="3"/>
  <c r="I2029" i="3"/>
  <c r="I2028" i="3"/>
  <c r="I2027" i="3"/>
  <c r="I2026" i="3"/>
  <c r="I2025" i="3"/>
  <c r="I2024" i="3"/>
  <c r="I2023" i="3"/>
  <c r="I2022" i="3"/>
  <c r="I2021" i="3"/>
  <c r="I2020" i="3"/>
  <c r="I2019" i="3"/>
  <c r="I2018" i="3"/>
  <c r="I2017" i="3"/>
  <c r="I2016" i="3"/>
  <c r="I2015" i="3"/>
  <c r="I2014" i="3"/>
  <c r="I2013" i="3"/>
  <c r="I2012" i="3"/>
  <c r="I2011" i="3"/>
  <c r="I2010" i="3"/>
  <c r="I2009" i="3"/>
  <c r="I2008" i="3"/>
  <c r="I2007" i="3"/>
  <c r="I2006" i="3"/>
  <c r="I2005" i="3"/>
  <c r="I2004" i="3"/>
  <c r="I2003" i="3"/>
  <c r="I2002" i="3"/>
  <c r="I2001" i="3"/>
  <c r="I2000" i="3"/>
  <c r="I1999" i="3"/>
  <c r="I1998" i="3"/>
  <c r="I1997" i="3"/>
  <c r="I1996" i="3"/>
  <c r="I1995" i="3"/>
  <c r="I1994" i="3"/>
  <c r="I1993" i="3"/>
  <c r="I1992" i="3"/>
  <c r="I1991" i="3"/>
  <c r="I1990" i="3"/>
  <c r="I1989" i="3"/>
  <c r="I1988" i="3"/>
  <c r="I1987" i="3"/>
  <c r="I1986" i="3"/>
  <c r="I1985" i="3"/>
  <c r="I1984" i="3"/>
  <c r="I1983" i="3"/>
  <c r="I1982" i="3"/>
  <c r="I1981" i="3"/>
  <c r="I1980" i="3"/>
  <c r="I1979" i="3"/>
  <c r="I1978" i="3"/>
  <c r="I1977" i="3"/>
  <c r="I1976" i="3"/>
  <c r="I1975" i="3"/>
  <c r="I1974" i="3"/>
  <c r="I1973" i="3"/>
  <c r="I1972" i="3"/>
  <c r="I1971" i="3"/>
  <c r="I1970" i="3"/>
  <c r="I1969" i="3"/>
  <c r="I1968" i="3"/>
  <c r="I1967" i="3"/>
  <c r="I1966" i="3"/>
  <c r="I1965" i="3"/>
  <c r="I1964" i="3"/>
  <c r="I1963" i="3"/>
  <c r="I1962" i="3"/>
  <c r="I1961" i="3"/>
  <c r="I1960" i="3"/>
  <c r="I1959" i="3"/>
  <c r="I1958" i="3"/>
  <c r="I1957" i="3"/>
  <c r="I1956" i="3"/>
  <c r="I1955" i="3"/>
  <c r="I1954" i="3"/>
  <c r="I1953" i="3"/>
  <c r="I1952" i="3"/>
  <c r="I1951" i="3"/>
  <c r="I1950" i="3"/>
  <c r="I1949" i="3"/>
  <c r="I1948" i="3"/>
  <c r="I1947" i="3"/>
  <c r="I1946" i="3"/>
  <c r="I1945" i="3"/>
  <c r="I1944" i="3"/>
  <c r="I1943" i="3"/>
  <c r="I1942" i="3"/>
  <c r="I1941" i="3"/>
  <c r="I1940" i="3"/>
  <c r="I1939" i="3"/>
  <c r="I1938" i="3"/>
  <c r="I1937" i="3"/>
  <c r="I1936" i="3"/>
  <c r="I1935" i="3"/>
  <c r="I1934" i="3"/>
  <c r="I1933" i="3"/>
  <c r="I1932" i="3"/>
  <c r="I1931" i="3"/>
  <c r="I1930" i="3"/>
  <c r="I1929" i="3"/>
  <c r="I1928" i="3"/>
  <c r="I1927" i="3"/>
  <c r="I1926" i="3"/>
  <c r="I1925" i="3"/>
  <c r="I1924" i="3"/>
  <c r="I1923" i="3"/>
  <c r="I1922" i="3"/>
  <c r="I1921" i="3"/>
  <c r="I1920" i="3"/>
  <c r="I1919" i="3"/>
  <c r="I1918" i="3"/>
  <c r="I1917" i="3"/>
  <c r="I1916" i="3"/>
  <c r="I1915" i="3"/>
  <c r="I1914" i="3"/>
  <c r="I1913" i="3"/>
  <c r="I1912" i="3"/>
  <c r="I1911" i="3"/>
  <c r="I1910" i="3"/>
  <c r="I1909" i="3"/>
  <c r="I1908" i="3"/>
  <c r="I1907" i="3"/>
  <c r="I1906" i="3"/>
  <c r="I1905" i="3"/>
  <c r="I1904" i="3"/>
  <c r="I1903" i="3"/>
  <c r="I1902" i="3"/>
  <c r="I1901" i="3"/>
  <c r="I1900" i="3"/>
  <c r="I1899" i="3"/>
  <c r="I1898" i="3"/>
  <c r="I1897" i="3"/>
  <c r="I1896" i="3"/>
  <c r="I1895" i="3"/>
  <c r="I1894" i="3"/>
  <c r="I1893" i="3"/>
  <c r="I1892" i="3"/>
  <c r="I1891" i="3"/>
  <c r="I1890" i="3"/>
  <c r="I1889" i="3"/>
  <c r="I1888" i="3"/>
  <c r="I1887" i="3"/>
  <c r="I1886" i="3"/>
  <c r="I1885" i="3"/>
  <c r="I1884" i="3"/>
  <c r="I1883" i="3"/>
  <c r="I1882" i="3"/>
  <c r="I1881" i="3"/>
  <c r="I1880" i="3"/>
  <c r="I1879" i="3"/>
  <c r="I1878" i="3"/>
  <c r="I1877" i="3"/>
  <c r="I1876" i="3"/>
  <c r="I1875" i="3"/>
  <c r="I1874" i="3"/>
  <c r="I1873" i="3"/>
  <c r="I1872" i="3"/>
  <c r="I1871" i="3"/>
  <c r="I1870" i="3"/>
  <c r="I1869" i="3"/>
  <c r="I1868" i="3"/>
  <c r="I1867" i="3"/>
  <c r="I1866" i="3"/>
  <c r="I1865" i="3"/>
  <c r="I1864" i="3"/>
  <c r="I1863" i="3"/>
  <c r="I1862" i="3"/>
  <c r="I1861" i="3"/>
  <c r="I1860" i="3"/>
  <c r="I1859" i="3"/>
  <c r="I1858" i="3"/>
  <c r="I1857" i="3"/>
  <c r="I1856" i="3"/>
  <c r="I1855" i="3"/>
  <c r="I1854" i="3"/>
  <c r="I1853" i="3"/>
  <c r="I1852" i="3"/>
  <c r="I1851" i="3"/>
  <c r="I1850" i="3"/>
  <c r="I1849" i="3"/>
  <c r="I1848" i="3"/>
  <c r="I1847" i="3"/>
  <c r="I1846" i="3"/>
  <c r="I1845" i="3"/>
  <c r="I1844" i="3"/>
  <c r="I1843" i="3"/>
  <c r="I1842" i="3"/>
  <c r="I1841" i="3"/>
  <c r="I1840" i="3"/>
  <c r="I1839" i="3"/>
  <c r="I1838" i="3"/>
  <c r="I1837" i="3"/>
  <c r="I1836" i="3"/>
  <c r="I1835" i="3"/>
  <c r="I1834" i="3"/>
  <c r="I1833" i="3"/>
  <c r="I1832" i="3"/>
  <c r="I1831" i="3"/>
  <c r="I1830" i="3"/>
  <c r="I1829" i="3"/>
  <c r="I1828" i="3"/>
  <c r="I1827" i="3"/>
  <c r="I1826" i="3"/>
  <c r="I1825" i="3"/>
  <c r="I1824" i="3"/>
  <c r="I1823" i="3"/>
  <c r="I1822" i="3"/>
  <c r="I1821" i="3"/>
  <c r="I1820" i="3"/>
  <c r="I1819" i="3"/>
  <c r="I1818" i="3"/>
  <c r="I1817" i="3"/>
  <c r="I1816" i="3"/>
  <c r="I1815" i="3"/>
  <c r="I1814" i="3"/>
  <c r="I1813" i="3"/>
  <c r="I1812" i="3"/>
  <c r="I1811" i="3"/>
  <c r="I1810" i="3"/>
  <c r="I1809" i="3"/>
  <c r="I1808" i="3"/>
  <c r="I1807" i="3"/>
  <c r="I1806" i="3"/>
  <c r="I1805" i="3"/>
  <c r="I1804" i="3"/>
  <c r="I1803" i="3"/>
  <c r="I1802" i="3"/>
  <c r="I1801" i="3"/>
  <c r="I1800" i="3"/>
  <c r="I1799" i="3"/>
  <c r="I1798" i="3"/>
  <c r="I1797" i="3"/>
  <c r="I1796" i="3"/>
  <c r="I1795" i="3"/>
  <c r="I1794" i="3"/>
  <c r="I1793" i="3"/>
  <c r="I1792" i="3"/>
  <c r="I1791" i="3"/>
  <c r="I1790" i="3"/>
  <c r="I1789" i="3"/>
  <c r="I1788" i="3"/>
  <c r="I1787" i="3"/>
  <c r="I1786" i="3"/>
  <c r="I1785" i="3"/>
  <c r="I1784" i="3"/>
  <c r="I1783" i="3"/>
  <c r="I1782" i="3"/>
  <c r="I1781" i="3"/>
  <c r="I1780" i="3"/>
  <c r="I1779" i="3"/>
  <c r="I1778" i="3"/>
  <c r="I1777" i="3"/>
  <c r="I1776" i="3"/>
  <c r="I1775" i="3"/>
  <c r="I1774" i="3"/>
  <c r="I1773" i="3"/>
  <c r="I1772" i="3"/>
  <c r="I1771" i="3"/>
  <c r="I1770" i="3"/>
  <c r="I1769" i="3"/>
  <c r="I1768" i="3"/>
  <c r="I1767" i="3"/>
  <c r="I1766" i="3"/>
  <c r="I1765" i="3"/>
  <c r="I1764" i="3"/>
  <c r="I1763" i="3"/>
  <c r="I1762" i="3"/>
  <c r="I1761" i="3"/>
  <c r="I1760" i="3"/>
  <c r="I1759" i="3"/>
  <c r="I1758" i="3"/>
  <c r="I1757" i="3"/>
  <c r="I1756" i="3"/>
  <c r="I1755" i="3"/>
  <c r="I1754" i="3"/>
  <c r="I1753" i="3"/>
  <c r="I1752" i="3"/>
  <c r="I1751" i="3"/>
  <c r="I1750" i="3"/>
  <c r="I1749" i="3"/>
  <c r="I1748" i="3"/>
  <c r="I1747" i="3"/>
  <c r="I1746" i="3"/>
  <c r="I1745" i="3"/>
  <c r="I1744" i="3"/>
  <c r="I1743" i="3"/>
  <c r="I1742" i="3"/>
  <c r="I1741" i="3"/>
  <c r="I1740" i="3"/>
  <c r="I1739" i="3"/>
  <c r="I1738" i="3"/>
  <c r="I1737" i="3"/>
  <c r="I1736" i="3"/>
  <c r="I1735" i="3"/>
  <c r="I1734" i="3"/>
  <c r="I1733" i="3"/>
  <c r="I1732" i="3"/>
  <c r="I1731" i="3"/>
  <c r="I1730" i="3"/>
  <c r="I1729" i="3"/>
  <c r="I1728" i="3"/>
  <c r="I1727" i="3"/>
  <c r="I1726" i="3"/>
  <c r="I1725" i="3"/>
  <c r="I1724" i="3"/>
  <c r="I1723" i="3"/>
  <c r="I1722" i="3"/>
  <c r="I1721" i="3"/>
  <c r="I1720" i="3"/>
  <c r="I1719" i="3"/>
  <c r="I1718" i="3"/>
  <c r="I1717" i="3"/>
  <c r="I1716" i="3"/>
  <c r="I1715" i="3"/>
  <c r="I1714" i="3"/>
  <c r="I1713" i="3"/>
  <c r="I1712" i="3"/>
  <c r="I1711" i="3"/>
  <c r="I1710" i="3"/>
  <c r="I1709" i="3"/>
  <c r="I1708" i="3"/>
  <c r="I1707" i="3"/>
  <c r="I1706" i="3"/>
  <c r="I1705" i="3"/>
  <c r="I1704" i="3"/>
  <c r="I1703" i="3"/>
  <c r="I1702" i="3"/>
  <c r="I1701" i="3"/>
  <c r="I1700" i="3"/>
  <c r="I1699" i="3"/>
  <c r="I1698" i="3"/>
  <c r="I1697" i="3"/>
  <c r="I1696" i="3"/>
  <c r="I1695" i="3"/>
  <c r="I1694" i="3"/>
  <c r="I1693" i="3"/>
  <c r="I1692" i="3"/>
  <c r="I1691" i="3"/>
  <c r="I1690" i="3"/>
  <c r="I1689" i="3"/>
  <c r="I1688" i="3"/>
  <c r="I1687" i="3"/>
  <c r="I1686" i="3"/>
  <c r="I1685" i="3"/>
  <c r="I1684" i="3"/>
  <c r="I1683" i="3"/>
  <c r="I1682" i="3"/>
  <c r="I1681" i="3"/>
  <c r="I1680" i="3"/>
  <c r="I1679" i="3"/>
  <c r="I1678" i="3"/>
  <c r="I1677" i="3"/>
  <c r="I1676" i="3"/>
  <c r="I1675" i="3"/>
  <c r="I1674" i="3"/>
  <c r="I1673" i="3"/>
  <c r="I1672" i="3"/>
  <c r="I1671" i="3"/>
  <c r="I1670" i="3"/>
  <c r="I1669" i="3"/>
  <c r="I1668" i="3"/>
  <c r="I1667" i="3"/>
  <c r="I1666" i="3"/>
  <c r="I1665" i="3"/>
  <c r="I1664" i="3"/>
  <c r="I1663" i="3"/>
  <c r="I1662" i="3"/>
  <c r="I1661" i="3"/>
  <c r="I1660" i="3"/>
  <c r="I1659" i="3"/>
  <c r="I1658" i="3"/>
  <c r="I1657" i="3"/>
  <c r="I1656" i="3"/>
  <c r="I1655" i="3"/>
  <c r="I1654" i="3"/>
  <c r="I1653" i="3"/>
  <c r="I1652" i="3"/>
  <c r="I1651" i="3"/>
  <c r="I1650" i="3"/>
  <c r="I1649" i="3"/>
  <c r="I1648" i="3"/>
  <c r="I1647" i="3"/>
  <c r="I1646" i="3"/>
  <c r="I1645" i="3"/>
  <c r="I1644" i="3"/>
  <c r="I1643" i="3"/>
  <c r="I1642" i="3"/>
  <c r="I1641" i="3"/>
  <c r="I1640" i="3"/>
  <c r="I1639" i="3"/>
  <c r="I1638" i="3"/>
  <c r="I1637" i="3"/>
  <c r="I1636" i="3"/>
  <c r="I1635" i="3"/>
  <c r="I1634" i="3"/>
  <c r="I1633" i="3"/>
  <c r="I1632" i="3"/>
  <c r="I1631" i="3"/>
  <c r="I1630" i="3"/>
  <c r="I1629" i="3"/>
  <c r="I1628" i="3"/>
  <c r="I1627" i="3"/>
  <c r="I1626" i="3"/>
  <c r="I1625" i="3"/>
  <c r="I1624" i="3"/>
  <c r="I1623" i="3"/>
  <c r="I1622" i="3"/>
  <c r="I1621" i="3"/>
  <c r="I1620" i="3"/>
  <c r="I1619" i="3"/>
  <c r="I1618" i="3"/>
  <c r="I1617" i="3"/>
  <c r="I1616" i="3"/>
  <c r="I1615" i="3"/>
  <c r="I1614" i="3"/>
  <c r="I1613" i="3"/>
  <c r="I1612" i="3"/>
  <c r="I1611" i="3"/>
  <c r="I1610" i="3"/>
  <c r="I1609" i="3"/>
  <c r="I1608" i="3"/>
  <c r="I1607" i="3"/>
  <c r="I1606" i="3"/>
  <c r="I1605" i="3"/>
  <c r="I1604" i="3"/>
  <c r="I1603" i="3"/>
  <c r="I1602" i="3"/>
  <c r="I1601" i="3"/>
  <c r="I1600" i="3"/>
  <c r="I1599" i="3"/>
  <c r="I1598" i="3"/>
  <c r="I1597" i="3"/>
  <c r="I1596" i="3"/>
  <c r="I1595" i="3"/>
  <c r="I1594" i="3"/>
  <c r="I1593" i="3"/>
  <c r="I1592" i="3"/>
  <c r="I1591" i="3"/>
  <c r="I1590" i="3"/>
  <c r="I1589" i="3"/>
  <c r="I1588" i="3"/>
  <c r="I1587" i="3"/>
  <c r="I1586" i="3"/>
  <c r="I1585" i="3"/>
  <c r="I1584" i="3"/>
  <c r="I1583" i="3"/>
  <c r="I1582" i="3"/>
  <c r="I1581" i="3"/>
  <c r="I1580" i="3"/>
  <c r="I1579" i="3"/>
  <c r="I1578" i="3"/>
  <c r="I1577" i="3"/>
  <c r="I1576" i="3"/>
  <c r="I1575" i="3"/>
  <c r="I1574" i="3"/>
  <c r="I1573" i="3"/>
  <c r="I1572" i="3"/>
  <c r="I1571" i="3"/>
  <c r="I1570" i="3"/>
  <c r="I1569" i="3"/>
  <c r="I1568" i="3"/>
  <c r="I1567" i="3"/>
  <c r="I1566" i="3"/>
  <c r="I1565" i="3"/>
  <c r="I1564" i="3"/>
  <c r="I1563" i="3"/>
  <c r="I1562" i="3"/>
  <c r="I1561" i="3"/>
  <c r="I1560" i="3"/>
  <c r="I1559" i="3"/>
  <c r="I1558" i="3"/>
  <c r="I1557" i="3"/>
  <c r="I1556" i="3"/>
  <c r="I1555" i="3"/>
  <c r="I1554" i="3"/>
  <c r="I1553" i="3"/>
  <c r="I1552" i="3"/>
  <c r="I1551" i="3"/>
  <c r="I1550" i="3"/>
  <c r="I1549" i="3"/>
  <c r="I1548" i="3"/>
  <c r="I1547" i="3"/>
  <c r="I1546" i="3"/>
  <c r="I1545" i="3"/>
  <c r="I1544" i="3"/>
  <c r="I1543" i="3"/>
  <c r="I1542" i="3"/>
  <c r="I1541" i="3"/>
  <c r="I1540" i="3"/>
  <c r="I1539" i="3"/>
  <c r="I1538" i="3"/>
  <c r="I1537" i="3"/>
  <c r="I1536" i="3"/>
  <c r="I1535" i="3"/>
  <c r="I1534" i="3"/>
  <c r="I1533" i="3"/>
  <c r="I1532" i="3"/>
  <c r="I1531" i="3"/>
  <c r="I1530" i="3"/>
  <c r="I1529" i="3"/>
  <c r="I1528" i="3"/>
  <c r="I1527" i="3"/>
  <c r="I1526" i="3"/>
  <c r="I1525" i="3"/>
  <c r="I1524" i="3"/>
  <c r="I1523" i="3"/>
  <c r="I1522" i="3"/>
  <c r="I1521" i="3"/>
  <c r="I1520" i="3"/>
  <c r="I1519" i="3"/>
  <c r="I1518" i="3"/>
  <c r="I1517" i="3"/>
  <c r="I1516" i="3"/>
  <c r="I1515" i="3"/>
  <c r="I1514" i="3"/>
  <c r="I1513" i="3"/>
  <c r="I1512" i="3"/>
  <c r="I1511" i="3"/>
  <c r="I1510" i="3"/>
  <c r="I1509" i="3"/>
  <c r="I1508" i="3"/>
  <c r="I1507" i="3"/>
  <c r="I1506" i="3"/>
  <c r="I1505" i="3"/>
  <c r="I1504" i="3"/>
  <c r="I1503" i="3"/>
  <c r="I1502" i="3"/>
  <c r="I1501" i="3"/>
  <c r="I1500" i="3"/>
  <c r="I1499" i="3"/>
  <c r="I1498" i="3"/>
  <c r="I1497" i="3"/>
  <c r="I1496" i="3"/>
  <c r="I1495" i="3"/>
  <c r="I1494" i="3"/>
  <c r="I1493" i="3"/>
  <c r="I1492" i="3"/>
  <c r="I1491" i="3"/>
  <c r="I1490" i="3"/>
  <c r="I1489" i="3"/>
  <c r="I1488" i="3"/>
  <c r="I1487" i="3"/>
  <c r="I1486" i="3"/>
  <c r="I1485" i="3"/>
  <c r="I1484" i="3"/>
  <c r="I1483" i="3"/>
  <c r="I1482" i="3"/>
  <c r="I1481" i="3"/>
  <c r="I1480" i="3"/>
  <c r="I1479" i="3"/>
  <c r="I1478" i="3"/>
  <c r="I1477" i="3"/>
  <c r="I1476" i="3"/>
  <c r="I1475" i="3"/>
  <c r="I1474" i="3"/>
  <c r="I1473" i="3"/>
  <c r="I1472" i="3"/>
  <c r="I1471" i="3"/>
  <c r="I1470" i="3"/>
  <c r="I1469" i="3"/>
  <c r="I1468" i="3"/>
  <c r="I1467" i="3"/>
  <c r="I1466" i="3"/>
  <c r="I1465" i="3"/>
  <c r="I1464" i="3"/>
  <c r="I1463" i="3"/>
  <c r="I1462" i="3"/>
  <c r="I1461" i="3"/>
  <c r="I1460" i="3"/>
  <c r="I1459" i="3"/>
  <c r="I1458" i="3"/>
  <c r="I1457" i="3"/>
  <c r="I1456" i="3"/>
  <c r="I1455" i="3"/>
  <c r="I1454" i="3"/>
  <c r="I1453" i="3"/>
  <c r="I1452" i="3"/>
  <c r="I1451" i="3"/>
  <c r="I1450" i="3"/>
  <c r="I1449" i="3"/>
  <c r="I1448" i="3"/>
  <c r="I1447" i="3"/>
  <c r="I1446" i="3"/>
  <c r="I1445" i="3"/>
  <c r="I1444" i="3"/>
  <c r="I1443" i="3"/>
  <c r="I1442" i="3"/>
  <c r="I1441" i="3"/>
  <c r="I1440" i="3"/>
  <c r="I1439" i="3"/>
  <c r="I1438" i="3"/>
  <c r="I1437" i="3"/>
  <c r="I1436" i="3"/>
  <c r="I1435" i="3"/>
  <c r="I1434" i="3"/>
  <c r="I1433" i="3"/>
  <c r="I1432" i="3"/>
  <c r="I1431" i="3"/>
  <c r="I1430" i="3"/>
  <c r="I1429" i="3"/>
  <c r="I1428" i="3"/>
  <c r="I1427" i="3"/>
  <c r="I1426" i="3"/>
  <c r="I1425" i="3"/>
  <c r="I1424" i="3"/>
  <c r="I1423" i="3"/>
  <c r="I1422" i="3"/>
  <c r="I1421" i="3"/>
  <c r="I1420" i="3"/>
  <c r="I1419" i="3"/>
  <c r="I1418" i="3"/>
  <c r="I1417" i="3"/>
  <c r="I1416" i="3"/>
  <c r="I1415" i="3"/>
  <c r="I1414" i="3"/>
  <c r="I1413" i="3"/>
  <c r="I1412" i="3"/>
  <c r="I1411" i="3"/>
  <c r="I1410" i="3"/>
  <c r="I1409" i="3"/>
  <c r="I1408" i="3"/>
  <c r="I1407" i="3"/>
  <c r="I1406" i="3"/>
  <c r="I1405" i="3"/>
  <c r="I1404" i="3"/>
  <c r="I1403" i="3"/>
  <c r="I1402" i="3"/>
  <c r="I1401" i="3"/>
  <c r="I1400" i="3"/>
  <c r="I1399" i="3"/>
  <c r="I1398" i="3"/>
  <c r="I1397" i="3"/>
  <c r="I1396" i="3"/>
  <c r="I1395" i="3"/>
  <c r="I1394" i="3"/>
  <c r="I1393" i="3"/>
  <c r="I1392" i="3"/>
  <c r="I1391" i="3"/>
  <c r="I1390" i="3"/>
  <c r="I1389" i="3"/>
  <c r="I1388" i="3"/>
  <c r="I1387" i="3"/>
  <c r="I1386" i="3"/>
  <c r="I1385" i="3"/>
  <c r="I1384" i="3"/>
  <c r="I1383" i="3"/>
  <c r="I1382" i="3"/>
  <c r="I1381" i="3"/>
  <c r="I1380" i="3"/>
  <c r="I1379" i="3"/>
  <c r="I1378" i="3"/>
  <c r="I1377" i="3"/>
  <c r="I1376" i="3"/>
  <c r="I1375" i="3"/>
  <c r="I1374" i="3"/>
  <c r="I1373" i="3"/>
  <c r="I1372" i="3"/>
  <c r="I1371" i="3"/>
  <c r="I1370" i="3"/>
  <c r="I1369" i="3"/>
  <c r="I1368" i="3"/>
  <c r="I1367" i="3"/>
  <c r="I1366" i="3"/>
  <c r="I1365" i="3"/>
  <c r="I1364" i="3"/>
  <c r="I1363" i="3"/>
  <c r="I1362" i="3"/>
  <c r="I1361" i="3"/>
  <c r="I1360" i="3"/>
  <c r="I1359" i="3"/>
  <c r="I1358" i="3"/>
  <c r="I1357" i="3"/>
  <c r="I1356" i="3"/>
  <c r="I1355" i="3"/>
  <c r="I1354" i="3"/>
  <c r="I1353" i="3"/>
  <c r="I1352" i="3"/>
  <c r="I1351" i="3"/>
  <c r="I1350" i="3"/>
  <c r="I1349" i="3"/>
  <c r="I1348" i="3"/>
  <c r="I1347" i="3"/>
  <c r="I1346" i="3"/>
  <c r="I1345" i="3"/>
  <c r="I1344" i="3"/>
  <c r="I1343" i="3"/>
  <c r="I1342" i="3"/>
  <c r="I1341" i="3"/>
  <c r="I1340" i="3"/>
  <c r="I1339" i="3"/>
  <c r="I1338" i="3"/>
  <c r="I1337" i="3"/>
  <c r="I1336" i="3"/>
  <c r="I1335" i="3"/>
  <c r="I1334" i="3"/>
  <c r="I1333" i="3"/>
  <c r="I1332" i="3"/>
  <c r="I1331" i="3"/>
  <c r="I1330" i="3"/>
  <c r="I1329" i="3"/>
  <c r="I1328" i="3"/>
  <c r="I1327" i="3"/>
  <c r="I1326" i="3"/>
  <c r="I1325" i="3"/>
  <c r="I1324" i="3"/>
  <c r="I1323" i="3"/>
  <c r="I1322" i="3"/>
  <c r="I1321" i="3"/>
  <c r="I1320" i="3"/>
  <c r="I1319" i="3"/>
  <c r="I1318" i="3"/>
  <c r="I1317" i="3"/>
  <c r="I1316" i="3"/>
  <c r="I1315" i="3"/>
  <c r="I1314" i="3"/>
  <c r="I1313" i="3"/>
  <c r="I1312" i="3"/>
  <c r="I1311" i="3"/>
  <c r="I1310" i="3"/>
  <c r="I1309" i="3"/>
  <c r="I1308" i="3"/>
  <c r="I1307" i="3"/>
  <c r="I1306" i="3"/>
  <c r="I1305" i="3"/>
  <c r="I1304" i="3"/>
  <c r="I1303" i="3"/>
  <c r="I1302" i="3"/>
  <c r="I1301" i="3"/>
  <c r="I1300" i="3"/>
  <c r="I1299" i="3"/>
  <c r="I1298" i="3"/>
  <c r="I1297" i="3"/>
  <c r="I1296" i="3"/>
  <c r="I1295" i="3"/>
  <c r="I1294" i="3"/>
  <c r="I1293" i="3"/>
  <c r="I1292" i="3"/>
  <c r="I1291" i="3"/>
  <c r="I1290" i="3"/>
  <c r="I1289" i="3"/>
  <c r="I1288" i="3"/>
  <c r="I1287" i="3"/>
  <c r="I1286" i="3"/>
  <c r="I1285" i="3"/>
  <c r="I1284" i="3"/>
  <c r="I1283" i="3"/>
  <c r="I1282" i="3"/>
  <c r="I1281" i="3"/>
  <c r="I1280" i="3"/>
  <c r="I1279" i="3"/>
  <c r="I1278" i="3"/>
  <c r="I1277" i="3"/>
  <c r="I1276" i="3"/>
  <c r="I1275" i="3"/>
  <c r="I1274" i="3"/>
  <c r="I1273" i="3"/>
  <c r="I1272" i="3"/>
  <c r="I1271" i="3"/>
  <c r="I1270" i="3"/>
  <c r="I1269" i="3"/>
  <c r="I1268" i="3"/>
  <c r="I1267" i="3"/>
  <c r="I1266" i="3"/>
  <c r="I1265" i="3"/>
  <c r="I1264" i="3"/>
  <c r="I1263" i="3"/>
  <c r="I1262" i="3"/>
  <c r="I1261" i="3"/>
  <c r="I1260" i="3"/>
  <c r="I1259" i="3"/>
  <c r="I1258" i="3"/>
  <c r="I1257" i="3"/>
  <c r="I1256" i="3"/>
  <c r="I1255" i="3"/>
  <c r="I1254" i="3"/>
  <c r="I1253" i="3"/>
  <c r="I1252" i="3"/>
  <c r="I1251" i="3"/>
  <c r="I1250" i="3"/>
  <c r="I1249" i="3"/>
  <c r="I1248" i="3"/>
  <c r="I1247" i="3"/>
  <c r="I1246" i="3"/>
  <c r="I1245" i="3"/>
  <c r="I1244" i="3"/>
  <c r="I1243" i="3"/>
  <c r="I1242" i="3"/>
  <c r="I1241" i="3"/>
  <c r="I1240" i="3"/>
  <c r="I1239" i="3"/>
  <c r="I1238" i="3"/>
  <c r="I1237" i="3"/>
  <c r="I1236" i="3"/>
  <c r="I1235" i="3"/>
  <c r="I1234" i="3"/>
  <c r="I1233" i="3"/>
  <c r="I1232" i="3"/>
  <c r="I1231" i="3"/>
  <c r="I1230" i="3"/>
  <c r="I1229" i="3"/>
  <c r="I1228" i="3"/>
  <c r="I1227" i="3"/>
  <c r="I1226" i="3"/>
  <c r="I1225" i="3"/>
  <c r="I1224" i="3"/>
  <c r="I1223" i="3"/>
  <c r="I1222" i="3"/>
  <c r="I1221" i="3"/>
  <c r="I1220" i="3"/>
  <c r="I1219" i="3"/>
  <c r="I1218" i="3"/>
  <c r="I1217" i="3"/>
  <c r="I1216" i="3"/>
  <c r="I1215" i="3"/>
  <c r="I1214" i="3"/>
  <c r="I1213" i="3"/>
  <c r="I1212" i="3"/>
  <c r="I1211" i="3"/>
  <c r="I1210" i="3"/>
  <c r="I1209" i="3"/>
  <c r="I1208" i="3"/>
  <c r="I1207" i="3"/>
  <c r="I1206" i="3"/>
  <c r="I1205" i="3"/>
  <c r="I1204" i="3"/>
  <c r="I1203" i="3"/>
  <c r="I1202" i="3"/>
  <c r="I1201" i="3"/>
  <c r="I1200" i="3"/>
  <c r="I1199" i="3"/>
  <c r="I1198" i="3"/>
  <c r="I1197" i="3"/>
  <c r="I1196" i="3"/>
  <c r="I1195" i="3"/>
  <c r="I1194" i="3"/>
  <c r="I1193" i="3"/>
  <c r="I1192" i="3"/>
  <c r="I1191" i="3"/>
  <c r="I1190" i="3"/>
  <c r="I1189" i="3"/>
  <c r="I1188" i="3"/>
  <c r="I1187" i="3"/>
  <c r="I1186" i="3"/>
  <c r="I1185" i="3"/>
  <c r="I1184" i="3"/>
  <c r="I1183" i="3"/>
  <c r="I1182" i="3"/>
  <c r="I1181" i="3"/>
  <c r="I1180" i="3"/>
  <c r="I1179" i="3"/>
  <c r="I1178" i="3"/>
  <c r="I1177" i="3"/>
  <c r="I1176" i="3"/>
  <c r="I1175" i="3"/>
  <c r="I1174" i="3"/>
  <c r="I1173" i="3"/>
  <c r="I1172" i="3"/>
  <c r="I1171" i="3"/>
  <c r="I1170" i="3"/>
  <c r="I1169" i="3"/>
  <c r="I1168" i="3"/>
  <c r="I1167" i="3"/>
  <c r="I1166" i="3"/>
  <c r="I1165" i="3"/>
  <c r="I1164" i="3"/>
  <c r="I1163" i="3"/>
  <c r="I1162" i="3"/>
  <c r="I1161" i="3"/>
  <c r="I1160" i="3"/>
  <c r="I1159" i="3"/>
  <c r="I1158" i="3"/>
  <c r="I1157" i="3"/>
  <c r="I1156" i="3"/>
  <c r="I1155" i="3"/>
  <c r="I1154" i="3"/>
  <c r="I1153" i="3"/>
  <c r="I1152" i="3"/>
  <c r="I1151" i="3"/>
  <c r="I1150" i="3"/>
  <c r="I1149" i="3"/>
  <c r="I1148" i="3"/>
  <c r="I1147" i="3"/>
  <c r="I1146" i="3"/>
  <c r="I1145" i="3"/>
  <c r="I1144" i="3"/>
  <c r="I1143" i="3"/>
  <c r="I1142" i="3"/>
  <c r="I1141" i="3"/>
  <c r="I1140" i="3"/>
  <c r="I1139" i="3"/>
  <c r="I1138" i="3"/>
  <c r="I1137" i="3"/>
  <c r="I1136" i="3"/>
  <c r="I1135" i="3"/>
  <c r="I1134" i="3"/>
  <c r="I1133" i="3"/>
  <c r="I1132" i="3"/>
  <c r="I1131" i="3"/>
  <c r="I1130" i="3"/>
  <c r="I1129" i="3"/>
  <c r="I1128" i="3"/>
  <c r="I1127" i="3"/>
  <c r="I1126" i="3"/>
  <c r="I1125" i="3"/>
  <c r="I1124" i="3"/>
  <c r="I1123" i="3"/>
  <c r="I1122" i="3"/>
  <c r="I1121" i="3"/>
  <c r="I1120" i="3"/>
  <c r="I1119" i="3"/>
  <c r="I1118" i="3"/>
  <c r="I1117" i="3"/>
  <c r="I1116" i="3"/>
  <c r="I1115" i="3"/>
  <c r="I1114" i="3"/>
  <c r="I1113" i="3"/>
  <c r="I1112" i="3"/>
  <c r="I1111" i="3"/>
  <c r="I1110" i="3"/>
  <c r="I1109" i="3"/>
  <c r="I1108" i="3"/>
  <c r="I1107" i="3"/>
  <c r="I1106" i="3"/>
  <c r="I1105" i="3"/>
  <c r="I1104" i="3"/>
  <c r="I1103" i="3"/>
  <c r="I1102" i="3"/>
  <c r="I1101" i="3"/>
  <c r="I1100" i="3"/>
  <c r="I1099" i="3"/>
  <c r="I1098" i="3"/>
  <c r="I1097" i="3"/>
  <c r="I1096" i="3"/>
  <c r="I1095" i="3"/>
  <c r="I1094" i="3"/>
  <c r="I1093" i="3"/>
  <c r="I1092" i="3"/>
  <c r="I1091" i="3"/>
  <c r="I1090" i="3"/>
  <c r="I1089" i="3"/>
  <c r="I1088" i="3"/>
  <c r="I1087" i="3"/>
  <c r="I1086" i="3"/>
  <c r="I1085" i="3"/>
  <c r="I1084" i="3"/>
  <c r="I1083" i="3"/>
  <c r="I1082" i="3"/>
  <c r="I1081" i="3"/>
  <c r="I1080" i="3"/>
  <c r="I1079" i="3"/>
  <c r="I1078" i="3"/>
  <c r="I1077" i="3"/>
  <c r="I1076" i="3"/>
  <c r="I1075" i="3"/>
  <c r="I1074" i="3"/>
  <c r="I1073" i="3"/>
  <c r="I1072" i="3"/>
  <c r="I1071" i="3"/>
  <c r="I1070" i="3"/>
  <c r="I1069" i="3"/>
  <c r="I1068" i="3"/>
  <c r="I1067" i="3"/>
  <c r="I1066" i="3"/>
  <c r="I1065" i="3"/>
  <c r="I1064" i="3"/>
  <c r="I1063" i="3"/>
  <c r="I1062" i="3"/>
  <c r="I1061" i="3"/>
  <c r="I1060" i="3"/>
  <c r="I1059" i="3"/>
  <c r="I1058" i="3"/>
  <c r="I1057" i="3"/>
  <c r="I1056" i="3"/>
  <c r="I1055" i="3"/>
  <c r="I1054" i="3"/>
  <c r="I1053" i="3"/>
  <c r="I1052" i="3"/>
  <c r="I1051" i="3"/>
  <c r="I1050" i="3"/>
  <c r="I1049" i="3"/>
  <c r="I1048" i="3"/>
  <c r="I1047" i="3"/>
  <c r="I1046" i="3"/>
  <c r="I1045" i="3"/>
  <c r="I1044" i="3"/>
  <c r="I1043" i="3"/>
  <c r="I1042" i="3"/>
  <c r="I1041" i="3"/>
  <c r="I1040" i="3"/>
  <c r="I1039" i="3"/>
  <c r="I1038" i="3"/>
  <c r="I1037" i="3"/>
  <c r="I1036" i="3"/>
  <c r="I1035" i="3"/>
  <c r="I1034" i="3"/>
  <c r="I1033" i="3"/>
  <c r="I1032" i="3"/>
  <c r="I1031" i="3"/>
  <c r="I1030" i="3"/>
  <c r="I1029" i="3"/>
  <c r="I1028" i="3"/>
  <c r="I1027" i="3"/>
  <c r="I1026" i="3"/>
  <c r="I1025" i="3"/>
  <c r="I1024" i="3"/>
  <c r="I1023" i="3"/>
  <c r="I1022" i="3"/>
  <c r="I1021" i="3"/>
  <c r="I1020" i="3"/>
  <c r="I1019" i="3"/>
  <c r="I1018" i="3"/>
  <c r="I1017" i="3"/>
  <c r="I1016" i="3"/>
  <c r="I1015" i="3"/>
  <c r="I1014" i="3"/>
  <c r="I1013" i="3"/>
  <c r="I1012" i="3"/>
  <c r="I1011" i="3"/>
  <c r="I1010" i="3"/>
  <c r="I1009" i="3"/>
  <c r="I1008" i="3"/>
  <c r="I1007" i="3"/>
  <c r="I1006" i="3"/>
  <c r="I1005" i="3"/>
  <c r="I1004" i="3"/>
  <c r="I1003" i="3"/>
  <c r="I1002" i="3"/>
  <c r="I1001" i="3"/>
  <c r="I1000" i="3"/>
  <c r="I999" i="3"/>
  <c r="I998" i="3"/>
  <c r="I997" i="3"/>
  <c r="I996" i="3"/>
  <c r="I995" i="3"/>
  <c r="I994" i="3"/>
  <c r="I993" i="3"/>
  <c r="I992" i="3"/>
  <c r="I991" i="3"/>
  <c r="I990" i="3"/>
  <c r="I989" i="3"/>
  <c r="I988" i="3"/>
  <c r="I987" i="3"/>
  <c r="I986" i="3"/>
  <c r="I985" i="3"/>
  <c r="I984" i="3"/>
  <c r="I983" i="3"/>
  <c r="I982" i="3"/>
  <c r="I981" i="3"/>
  <c r="I980" i="3"/>
  <c r="I979" i="3"/>
  <c r="I978" i="3"/>
  <c r="I977" i="3"/>
  <c r="I976" i="3"/>
  <c r="I975" i="3"/>
  <c r="I974" i="3"/>
  <c r="I973" i="3"/>
  <c r="I972" i="3"/>
  <c r="I971" i="3"/>
  <c r="I970" i="3"/>
  <c r="I969" i="3"/>
  <c r="I968" i="3"/>
  <c r="I967" i="3"/>
  <c r="I966" i="3"/>
  <c r="I965" i="3"/>
  <c r="I964" i="3"/>
  <c r="I963" i="3"/>
  <c r="I962" i="3"/>
  <c r="I961" i="3"/>
  <c r="I960" i="3"/>
  <c r="I959" i="3"/>
  <c r="I958" i="3"/>
  <c r="I957" i="3"/>
  <c r="I956" i="3"/>
  <c r="I955" i="3"/>
  <c r="I954" i="3"/>
  <c r="I953" i="3"/>
  <c r="I952" i="3"/>
  <c r="I951" i="3"/>
  <c r="I950" i="3"/>
  <c r="I949" i="3"/>
  <c r="I948" i="3"/>
  <c r="I947" i="3"/>
  <c r="I946" i="3"/>
  <c r="I945" i="3"/>
  <c r="I944" i="3"/>
  <c r="I943" i="3"/>
  <c r="I942" i="3"/>
  <c r="I941" i="3"/>
  <c r="I940" i="3"/>
  <c r="I939" i="3"/>
  <c r="I938" i="3"/>
  <c r="I937" i="3"/>
  <c r="I936" i="3"/>
  <c r="I935" i="3"/>
  <c r="I934" i="3"/>
  <c r="I933" i="3"/>
  <c r="I932" i="3"/>
  <c r="I931" i="3"/>
  <c r="I930" i="3"/>
  <c r="I929" i="3"/>
  <c r="I928" i="3"/>
  <c r="I927" i="3"/>
  <c r="I926" i="3"/>
  <c r="I925" i="3"/>
  <c r="I924" i="3"/>
  <c r="I923" i="3"/>
  <c r="I922" i="3"/>
  <c r="I921" i="3"/>
  <c r="I920" i="3"/>
  <c r="I919" i="3"/>
  <c r="I918" i="3"/>
  <c r="I917" i="3"/>
  <c r="I916" i="3"/>
  <c r="I915" i="3"/>
  <c r="I914" i="3"/>
  <c r="I913" i="3"/>
  <c r="I912" i="3"/>
  <c r="I911" i="3"/>
  <c r="I910" i="3"/>
  <c r="I909" i="3"/>
  <c r="I908" i="3"/>
  <c r="I907" i="3"/>
  <c r="I906" i="3"/>
  <c r="I905" i="3"/>
  <c r="I904" i="3"/>
  <c r="I903" i="3"/>
  <c r="I902" i="3"/>
  <c r="I901" i="3"/>
  <c r="I900" i="3"/>
  <c r="I899" i="3"/>
  <c r="I898" i="3"/>
  <c r="I897" i="3"/>
  <c r="I896" i="3"/>
  <c r="I895" i="3"/>
  <c r="I894" i="3"/>
  <c r="I893" i="3"/>
  <c r="I892" i="3"/>
  <c r="I891" i="3"/>
  <c r="I890" i="3"/>
  <c r="I889" i="3"/>
  <c r="I888" i="3"/>
  <c r="I887" i="3"/>
  <c r="I886" i="3"/>
  <c r="I885" i="3"/>
  <c r="I884" i="3"/>
  <c r="I883" i="3"/>
  <c r="I882" i="3"/>
  <c r="I881" i="3"/>
  <c r="I880" i="3"/>
  <c r="I879" i="3"/>
  <c r="I878" i="3"/>
  <c r="I877" i="3"/>
  <c r="I876" i="3"/>
  <c r="I875" i="3"/>
  <c r="I874" i="3"/>
  <c r="I873" i="3"/>
  <c r="I872" i="3"/>
  <c r="I871" i="3"/>
  <c r="I870" i="3"/>
  <c r="I869" i="3"/>
  <c r="I868" i="3"/>
  <c r="I867" i="3"/>
  <c r="I866" i="3"/>
  <c r="I865" i="3"/>
  <c r="I864" i="3"/>
  <c r="I863" i="3"/>
  <c r="I862" i="3"/>
  <c r="I861" i="3"/>
  <c r="I860" i="3"/>
  <c r="I859" i="3"/>
  <c r="I858" i="3"/>
  <c r="I857" i="3"/>
  <c r="I856" i="3"/>
  <c r="I855" i="3"/>
  <c r="I854" i="3"/>
  <c r="I853" i="3"/>
  <c r="I852" i="3"/>
  <c r="I851" i="3"/>
  <c r="I850" i="3"/>
  <c r="I849" i="3"/>
  <c r="I848" i="3"/>
  <c r="I847" i="3"/>
  <c r="I846" i="3"/>
  <c r="I845" i="3"/>
  <c r="I844" i="3"/>
  <c r="I843" i="3"/>
  <c r="I842" i="3"/>
  <c r="I841" i="3"/>
  <c r="I840" i="3"/>
  <c r="I839" i="3"/>
  <c r="I838" i="3"/>
  <c r="I837" i="3"/>
  <c r="I836" i="3"/>
  <c r="I835" i="3"/>
  <c r="I834" i="3"/>
  <c r="I833" i="3"/>
  <c r="I832" i="3"/>
  <c r="I831" i="3"/>
  <c r="I830" i="3"/>
  <c r="I829" i="3"/>
  <c r="I828" i="3"/>
  <c r="I827" i="3"/>
  <c r="I826" i="3"/>
  <c r="I825" i="3"/>
  <c r="I824" i="3"/>
  <c r="I823" i="3"/>
  <c r="I822" i="3"/>
  <c r="I821" i="3"/>
  <c r="I820" i="3"/>
  <c r="I819" i="3"/>
  <c r="I818" i="3"/>
  <c r="I817" i="3"/>
  <c r="I816" i="3"/>
  <c r="I815" i="3"/>
  <c r="I814" i="3"/>
  <c r="I813" i="3"/>
  <c r="I812" i="3"/>
  <c r="I811" i="3"/>
  <c r="I810" i="3"/>
  <c r="I809" i="3"/>
  <c r="I808" i="3"/>
  <c r="I807" i="3"/>
  <c r="I806" i="3"/>
  <c r="I805" i="3"/>
  <c r="I804" i="3"/>
  <c r="I803" i="3"/>
  <c r="I802" i="3"/>
  <c r="I801" i="3"/>
  <c r="I800" i="3"/>
  <c r="I799" i="3"/>
  <c r="I798" i="3"/>
  <c r="I797" i="3"/>
  <c r="I796" i="3"/>
  <c r="I795" i="3"/>
  <c r="I794" i="3"/>
  <c r="I793" i="3"/>
  <c r="I792" i="3"/>
  <c r="I791" i="3"/>
  <c r="I790" i="3"/>
  <c r="I789" i="3"/>
  <c r="I788" i="3"/>
  <c r="I787" i="3"/>
  <c r="I786" i="3"/>
  <c r="I785" i="3"/>
  <c r="I784" i="3"/>
  <c r="I783" i="3"/>
  <c r="I782" i="3"/>
  <c r="I781" i="3"/>
  <c r="I780" i="3"/>
  <c r="I779" i="3"/>
  <c r="I778" i="3"/>
  <c r="I777" i="3"/>
  <c r="I776" i="3"/>
  <c r="I775" i="3"/>
  <c r="I774" i="3"/>
  <c r="I773" i="3"/>
  <c r="I772" i="3"/>
  <c r="I771" i="3"/>
  <c r="I770" i="3"/>
  <c r="I769" i="3"/>
  <c r="I768" i="3"/>
  <c r="I767" i="3"/>
  <c r="I766" i="3"/>
  <c r="I765" i="3"/>
  <c r="I764" i="3"/>
  <c r="I763" i="3"/>
  <c r="I762" i="3"/>
  <c r="I761" i="3"/>
  <c r="I760" i="3"/>
  <c r="I759" i="3"/>
  <c r="I758" i="3"/>
  <c r="I757" i="3"/>
  <c r="I756" i="3"/>
  <c r="I755" i="3"/>
  <c r="I754" i="3"/>
  <c r="I753" i="3"/>
  <c r="I752" i="3"/>
  <c r="I751" i="3"/>
  <c r="I750" i="3"/>
  <c r="I749" i="3"/>
  <c r="I748" i="3"/>
  <c r="I747" i="3"/>
  <c r="I746" i="3"/>
  <c r="I745" i="3"/>
  <c r="I744" i="3"/>
  <c r="I743" i="3"/>
  <c r="I742" i="3"/>
  <c r="I741" i="3"/>
  <c r="I740" i="3"/>
  <c r="I739" i="3"/>
  <c r="I738" i="3"/>
  <c r="I737" i="3"/>
  <c r="I736" i="3"/>
  <c r="I735" i="3"/>
  <c r="I734" i="3"/>
  <c r="I733" i="3"/>
  <c r="I732" i="3"/>
  <c r="I731" i="3"/>
  <c r="I730" i="3"/>
  <c r="I729" i="3"/>
  <c r="I728" i="3"/>
  <c r="I727" i="3"/>
  <c r="I726" i="3"/>
  <c r="I725" i="3"/>
  <c r="I724" i="3"/>
  <c r="I723" i="3"/>
  <c r="I722" i="3"/>
  <c r="I721" i="3"/>
  <c r="I720" i="3"/>
  <c r="I719" i="3"/>
  <c r="I718" i="3"/>
  <c r="I717" i="3"/>
  <c r="I716" i="3"/>
  <c r="I715" i="3"/>
  <c r="I714" i="3"/>
  <c r="I713" i="3"/>
  <c r="I712" i="3"/>
  <c r="I711" i="3"/>
  <c r="I710" i="3"/>
  <c r="I709" i="3"/>
  <c r="I708" i="3"/>
  <c r="I707" i="3"/>
  <c r="I706" i="3"/>
  <c r="I705" i="3"/>
  <c r="I704" i="3"/>
  <c r="I703" i="3"/>
  <c r="I702" i="3"/>
  <c r="I701" i="3"/>
  <c r="I700" i="3"/>
  <c r="I699" i="3"/>
  <c r="I698" i="3"/>
  <c r="I697" i="3"/>
  <c r="I696" i="3"/>
  <c r="I695" i="3"/>
  <c r="I694" i="3"/>
  <c r="I693" i="3"/>
  <c r="I692" i="3"/>
  <c r="I691" i="3"/>
  <c r="I690" i="3"/>
  <c r="I689" i="3"/>
  <c r="I688" i="3"/>
  <c r="I687" i="3"/>
  <c r="I686" i="3"/>
  <c r="I685" i="3"/>
  <c r="I684" i="3"/>
  <c r="I683" i="3"/>
  <c r="I682" i="3"/>
  <c r="I681" i="3"/>
  <c r="I680" i="3"/>
  <c r="I679" i="3"/>
  <c r="I678" i="3"/>
  <c r="I677" i="3"/>
  <c r="I676" i="3"/>
  <c r="I675" i="3"/>
  <c r="I674" i="3"/>
  <c r="I673" i="3"/>
  <c r="I672" i="3"/>
  <c r="I671" i="3"/>
  <c r="I670" i="3"/>
  <c r="I669" i="3"/>
  <c r="I668" i="3"/>
  <c r="I667" i="3"/>
  <c r="I666" i="3"/>
  <c r="I665" i="3"/>
  <c r="I664" i="3"/>
  <c r="I663" i="3"/>
  <c r="I662" i="3"/>
  <c r="I661" i="3"/>
  <c r="I660" i="3"/>
  <c r="I659" i="3"/>
  <c r="I658" i="3"/>
  <c r="I657" i="3"/>
  <c r="I656" i="3"/>
  <c r="I655" i="3"/>
  <c r="I654" i="3"/>
  <c r="I653" i="3"/>
  <c r="I652" i="3"/>
  <c r="I651" i="3"/>
  <c r="I650" i="3"/>
  <c r="I649" i="3"/>
  <c r="I648" i="3"/>
  <c r="I647" i="3"/>
  <c r="I646" i="3"/>
  <c r="I645" i="3"/>
  <c r="I644" i="3"/>
  <c r="I643" i="3"/>
  <c r="I642" i="3"/>
  <c r="I641" i="3"/>
  <c r="I640" i="3"/>
  <c r="I639" i="3"/>
  <c r="I638" i="3"/>
  <c r="I637" i="3"/>
  <c r="I636" i="3"/>
  <c r="I635" i="3"/>
  <c r="I634" i="3"/>
  <c r="I633" i="3"/>
  <c r="I632" i="3"/>
  <c r="I631" i="3"/>
  <c r="I630" i="3"/>
  <c r="I629" i="3"/>
  <c r="I628" i="3"/>
  <c r="I627" i="3"/>
  <c r="I626" i="3"/>
  <c r="I625" i="3"/>
  <c r="I624" i="3"/>
  <c r="I623" i="3"/>
  <c r="I622" i="3"/>
  <c r="I621" i="3"/>
  <c r="I620" i="3"/>
  <c r="I619" i="3"/>
  <c r="I618" i="3"/>
  <c r="I617" i="3"/>
  <c r="I616" i="3"/>
  <c r="I615" i="3"/>
  <c r="I614" i="3"/>
  <c r="I613" i="3"/>
  <c r="I612" i="3"/>
  <c r="I611" i="3"/>
  <c r="I610" i="3"/>
  <c r="I609" i="3"/>
  <c r="I608" i="3"/>
  <c r="I607" i="3"/>
  <c r="I606" i="3"/>
  <c r="I605" i="3"/>
  <c r="I604" i="3"/>
  <c r="I603" i="3"/>
  <c r="I602" i="3"/>
  <c r="I601" i="3"/>
  <c r="I600" i="3"/>
  <c r="I599" i="3"/>
  <c r="I598" i="3"/>
  <c r="I597" i="3"/>
  <c r="I596" i="3"/>
  <c r="I595" i="3"/>
  <c r="I594" i="3"/>
  <c r="I593" i="3"/>
  <c r="I592" i="3"/>
  <c r="I591" i="3"/>
  <c r="I590" i="3"/>
  <c r="I589" i="3"/>
  <c r="I588" i="3"/>
  <c r="I587" i="3"/>
  <c r="I586" i="3"/>
  <c r="I585" i="3"/>
  <c r="I584" i="3"/>
  <c r="I583" i="3"/>
  <c r="I582" i="3"/>
  <c r="I581" i="3"/>
  <c r="I580" i="3"/>
  <c r="I579" i="3"/>
  <c r="I578" i="3"/>
  <c r="I577" i="3"/>
  <c r="I576" i="3"/>
  <c r="I575" i="3"/>
  <c r="I574" i="3"/>
  <c r="I573" i="3"/>
  <c r="I572" i="3"/>
  <c r="I571" i="3"/>
  <c r="I570" i="3"/>
  <c r="I569" i="3"/>
  <c r="I568" i="3"/>
  <c r="I567" i="3"/>
  <c r="I566" i="3"/>
  <c r="I565" i="3"/>
  <c r="I564" i="3"/>
  <c r="I563" i="3"/>
  <c r="I562" i="3"/>
  <c r="I561" i="3"/>
  <c r="I560" i="3"/>
  <c r="I559" i="3"/>
  <c r="I558" i="3"/>
  <c r="I557" i="3"/>
  <c r="I556" i="3"/>
  <c r="I555" i="3"/>
  <c r="I554" i="3"/>
  <c r="I553" i="3"/>
  <c r="I552" i="3"/>
  <c r="I551" i="3"/>
  <c r="I550" i="3"/>
  <c r="I549" i="3"/>
  <c r="I548" i="3"/>
  <c r="I547" i="3"/>
  <c r="I546" i="3"/>
  <c r="I545" i="3"/>
  <c r="I544" i="3"/>
  <c r="I543" i="3"/>
  <c r="I542" i="3"/>
  <c r="I541" i="3"/>
  <c r="I540" i="3"/>
  <c r="I539" i="3"/>
  <c r="I538" i="3"/>
  <c r="I537" i="3"/>
  <c r="I536" i="3"/>
  <c r="I535" i="3"/>
  <c r="I534" i="3"/>
  <c r="I533" i="3"/>
  <c r="I532" i="3"/>
  <c r="I531" i="3"/>
  <c r="I530" i="3"/>
  <c r="I529" i="3"/>
  <c r="I528" i="3"/>
  <c r="I527" i="3"/>
  <c r="I526" i="3"/>
  <c r="I525" i="3"/>
  <c r="I524" i="3"/>
  <c r="I523" i="3"/>
  <c r="I522" i="3"/>
  <c r="I521" i="3"/>
  <c r="I520" i="3"/>
  <c r="I519" i="3"/>
  <c r="I518" i="3"/>
  <c r="I517" i="3"/>
  <c r="I516" i="3"/>
  <c r="I515" i="3"/>
  <c r="I514" i="3"/>
  <c r="I513" i="3"/>
  <c r="I512" i="3"/>
  <c r="I511" i="3"/>
  <c r="I510" i="3"/>
  <c r="I509" i="3"/>
  <c r="I508" i="3"/>
  <c r="I507" i="3"/>
  <c r="I506" i="3"/>
  <c r="I505" i="3"/>
  <c r="I504" i="3"/>
  <c r="I503" i="3"/>
  <c r="I502" i="3"/>
  <c r="I501" i="3"/>
  <c r="I500" i="3"/>
  <c r="I499" i="3"/>
  <c r="I498" i="3"/>
  <c r="I497" i="3"/>
  <c r="I496" i="3"/>
  <c r="I495" i="3"/>
  <c r="I494" i="3"/>
  <c r="I493" i="3"/>
  <c r="I492" i="3"/>
  <c r="I491" i="3"/>
  <c r="I490" i="3"/>
  <c r="I489" i="3"/>
  <c r="I488" i="3"/>
  <c r="I487" i="3"/>
  <c r="I486" i="3"/>
  <c r="I485" i="3"/>
  <c r="I484" i="3"/>
  <c r="I483" i="3"/>
  <c r="I482" i="3"/>
  <c r="I481" i="3"/>
  <c r="I480" i="3"/>
  <c r="I479" i="3"/>
  <c r="I478" i="3"/>
  <c r="I477" i="3"/>
  <c r="I476" i="3"/>
  <c r="I475" i="3"/>
  <c r="I474" i="3"/>
  <c r="I473" i="3"/>
  <c r="I472" i="3"/>
  <c r="I471" i="3"/>
  <c r="I470" i="3"/>
  <c r="I469" i="3"/>
  <c r="I468" i="3"/>
  <c r="I467" i="3"/>
  <c r="I466" i="3"/>
  <c r="I465" i="3"/>
  <c r="I464" i="3"/>
  <c r="I463" i="3"/>
  <c r="I462" i="3"/>
  <c r="I461" i="3"/>
  <c r="I460" i="3"/>
  <c r="I459" i="3"/>
  <c r="I458" i="3"/>
  <c r="I457" i="3"/>
  <c r="I456" i="3"/>
  <c r="I455" i="3"/>
  <c r="I454" i="3"/>
  <c r="I453" i="3"/>
  <c r="I452" i="3"/>
  <c r="I451" i="3"/>
  <c r="I450" i="3"/>
  <c r="I449" i="3"/>
  <c r="I448" i="3"/>
  <c r="I447" i="3"/>
  <c r="I446" i="3"/>
  <c r="I445" i="3"/>
  <c r="I444" i="3"/>
  <c r="I443" i="3"/>
  <c r="I442" i="3"/>
  <c r="I441" i="3"/>
  <c r="I440" i="3"/>
  <c r="I439" i="3"/>
  <c r="I438" i="3"/>
  <c r="I437" i="3"/>
  <c r="I436" i="3"/>
  <c r="I435" i="3"/>
  <c r="I434" i="3"/>
  <c r="I433" i="3"/>
  <c r="I432" i="3"/>
  <c r="I431" i="3"/>
  <c r="I430" i="3"/>
  <c r="I429" i="3"/>
  <c r="I428" i="3"/>
  <c r="I427" i="3"/>
  <c r="I426" i="3"/>
  <c r="I425" i="3"/>
  <c r="I424" i="3"/>
  <c r="I423" i="3"/>
  <c r="I422" i="3"/>
  <c r="I421" i="3"/>
  <c r="I420" i="3"/>
  <c r="I419" i="3"/>
  <c r="I418" i="3"/>
  <c r="I417" i="3"/>
  <c r="I416" i="3"/>
  <c r="I415" i="3"/>
  <c r="I414" i="3"/>
  <c r="I413" i="3"/>
  <c r="I412" i="3"/>
  <c r="I411" i="3"/>
  <c r="I410" i="3"/>
  <c r="I409" i="3"/>
  <c r="I408" i="3"/>
  <c r="I407" i="3"/>
  <c r="I406" i="3"/>
  <c r="I405" i="3"/>
  <c r="I404" i="3"/>
  <c r="I403" i="3"/>
  <c r="I402" i="3"/>
  <c r="I401" i="3"/>
  <c r="I400" i="3"/>
  <c r="I399" i="3"/>
  <c r="I398" i="3"/>
  <c r="I397" i="3"/>
  <c r="I396" i="3"/>
  <c r="I395" i="3"/>
  <c r="I394" i="3"/>
  <c r="I393" i="3"/>
  <c r="I392" i="3"/>
  <c r="I391" i="3"/>
  <c r="I390" i="3"/>
  <c r="I389" i="3"/>
  <c r="I388" i="3"/>
  <c r="I387" i="3"/>
  <c r="I386" i="3"/>
  <c r="I385" i="3"/>
  <c r="I384" i="3"/>
  <c r="I383" i="3"/>
  <c r="I382" i="3"/>
  <c r="I381" i="3"/>
  <c r="I380" i="3"/>
  <c r="I379" i="3"/>
  <c r="I378" i="3"/>
  <c r="I377" i="3"/>
  <c r="I376" i="3"/>
  <c r="I375" i="3"/>
  <c r="I374" i="3"/>
  <c r="I373" i="3"/>
  <c r="I372" i="3"/>
  <c r="I371" i="3"/>
  <c r="I370" i="3"/>
  <c r="I369" i="3"/>
  <c r="I368" i="3"/>
  <c r="I367" i="3"/>
  <c r="I366" i="3"/>
  <c r="I365" i="3"/>
  <c r="I364" i="3"/>
  <c r="I363" i="3"/>
  <c r="I362" i="3"/>
  <c r="I361" i="3"/>
  <c r="I360" i="3"/>
  <c r="I359" i="3"/>
  <c r="I358" i="3"/>
  <c r="I357" i="3"/>
  <c r="I356" i="3"/>
  <c r="I355" i="3"/>
  <c r="I354" i="3"/>
  <c r="I353" i="3"/>
  <c r="I352" i="3"/>
  <c r="I351" i="3"/>
  <c r="I350" i="3"/>
  <c r="I349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K2498" i="3"/>
  <c r="K2497" i="3"/>
  <c r="K2496" i="3"/>
  <c r="K2495" i="3"/>
  <c r="K2494" i="3"/>
  <c r="K2493" i="3"/>
  <c r="K2492" i="3"/>
  <c r="K2491" i="3"/>
  <c r="K2490" i="3"/>
  <c r="K2489" i="3"/>
  <c r="K2488" i="3"/>
  <c r="K2487" i="3"/>
  <c r="K2486" i="3"/>
  <c r="K2485" i="3"/>
  <c r="K2484" i="3"/>
  <c r="K2483" i="3"/>
  <c r="K2482" i="3"/>
  <c r="K2481" i="3"/>
  <c r="K2480" i="3"/>
  <c r="K2479" i="3"/>
  <c r="K2478" i="3"/>
  <c r="K2477" i="3"/>
  <c r="K2476" i="3"/>
  <c r="K2475" i="3"/>
  <c r="K2474" i="3"/>
  <c r="K2473" i="3"/>
  <c r="K2472" i="3"/>
  <c r="K2471" i="3"/>
  <c r="K2470" i="3"/>
  <c r="K2469" i="3"/>
  <c r="K2468" i="3"/>
  <c r="K2467" i="3"/>
  <c r="K2466" i="3"/>
  <c r="K2465" i="3"/>
  <c r="K2464" i="3"/>
  <c r="K2463" i="3"/>
  <c r="K2462" i="3"/>
  <c r="K2461" i="3"/>
  <c r="K2460" i="3"/>
  <c r="K2459" i="3"/>
  <c r="K2458" i="3"/>
  <c r="K2457" i="3"/>
  <c r="K2456" i="3"/>
  <c r="K2455" i="3"/>
  <c r="K2454" i="3"/>
  <c r="K2453" i="3"/>
  <c r="K2452" i="3"/>
  <c r="K2451" i="3"/>
  <c r="K2450" i="3"/>
  <c r="K2449" i="3"/>
  <c r="K2448" i="3"/>
  <c r="K2447" i="3"/>
  <c r="K2446" i="3"/>
  <c r="K2445" i="3"/>
  <c r="K2444" i="3"/>
  <c r="K2443" i="3"/>
  <c r="K2442" i="3"/>
  <c r="K2441" i="3"/>
  <c r="K2440" i="3"/>
  <c r="K2439" i="3"/>
  <c r="K2438" i="3"/>
  <c r="K2437" i="3"/>
  <c r="K2436" i="3"/>
  <c r="K2435" i="3"/>
  <c r="K2434" i="3"/>
  <c r="K2433" i="3"/>
  <c r="K2432" i="3"/>
  <c r="K2431" i="3"/>
  <c r="K2430" i="3"/>
  <c r="K2429" i="3"/>
  <c r="K2428" i="3"/>
  <c r="K2427" i="3"/>
  <c r="K2426" i="3"/>
  <c r="K2425" i="3"/>
  <c r="K2424" i="3"/>
  <c r="K2423" i="3"/>
  <c r="K2422" i="3"/>
  <c r="K2421" i="3"/>
  <c r="K2420" i="3"/>
  <c r="K2419" i="3"/>
  <c r="K2418" i="3"/>
  <c r="K2417" i="3"/>
  <c r="K2416" i="3"/>
  <c r="K2415" i="3"/>
  <c r="K2414" i="3"/>
  <c r="K2413" i="3"/>
  <c r="K2412" i="3"/>
  <c r="K2411" i="3"/>
  <c r="K2410" i="3"/>
  <c r="K2409" i="3"/>
  <c r="K2408" i="3"/>
  <c r="K2407" i="3"/>
  <c r="K2406" i="3"/>
  <c r="K2405" i="3"/>
  <c r="K2404" i="3"/>
  <c r="K2403" i="3"/>
  <c r="K2402" i="3"/>
  <c r="K2401" i="3"/>
  <c r="K2400" i="3"/>
  <c r="K2399" i="3"/>
  <c r="K2398" i="3"/>
  <c r="K2397" i="3"/>
  <c r="K2396" i="3"/>
  <c r="K2395" i="3"/>
  <c r="K2394" i="3"/>
  <c r="K2393" i="3"/>
  <c r="K2392" i="3"/>
  <c r="K2391" i="3"/>
  <c r="K2390" i="3"/>
  <c r="K2389" i="3"/>
  <c r="K2388" i="3"/>
  <c r="K2387" i="3"/>
  <c r="K2386" i="3"/>
  <c r="K2385" i="3"/>
  <c r="K2384" i="3"/>
  <c r="K2383" i="3"/>
  <c r="K2382" i="3"/>
  <c r="K2381" i="3"/>
  <c r="K2380" i="3"/>
  <c r="K2379" i="3"/>
  <c r="K2378" i="3"/>
  <c r="K2377" i="3"/>
  <c r="K2376" i="3"/>
  <c r="K2375" i="3"/>
  <c r="K2374" i="3"/>
  <c r="K2373" i="3"/>
  <c r="K2372" i="3"/>
  <c r="K2371" i="3"/>
  <c r="K2370" i="3"/>
  <c r="K2369" i="3"/>
  <c r="K2368" i="3"/>
  <c r="K2367" i="3"/>
  <c r="K2366" i="3"/>
  <c r="K2365" i="3"/>
  <c r="K2364" i="3"/>
  <c r="K2363" i="3"/>
  <c r="K2362" i="3"/>
  <c r="K2361" i="3"/>
  <c r="K2360" i="3"/>
  <c r="K2359" i="3"/>
  <c r="K2358" i="3"/>
  <c r="K2357" i="3"/>
  <c r="K2356" i="3"/>
  <c r="K2355" i="3"/>
  <c r="K2354" i="3"/>
  <c r="K2353" i="3"/>
  <c r="K2352" i="3"/>
  <c r="K2351" i="3"/>
  <c r="K2350" i="3"/>
  <c r="K2349" i="3"/>
  <c r="K2348" i="3"/>
  <c r="K2347" i="3"/>
  <c r="K2346" i="3"/>
  <c r="K2345" i="3"/>
  <c r="K2344" i="3"/>
  <c r="K2343" i="3"/>
  <c r="K2342" i="3"/>
  <c r="K2341" i="3"/>
  <c r="K2340" i="3"/>
  <c r="K2339" i="3"/>
  <c r="K2338" i="3"/>
  <c r="K2337" i="3"/>
  <c r="K2336" i="3"/>
  <c r="K2335" i="3"/>
  <c r="K2334" i="3"/>
  <c r="K2333" i="3"/>
  <c r="K2332" i="3"/>
  <c r="K2331" i="3"/>
  <c r="K2330" i="3"/>
  <c r="K2329" i="3"/>
  <c r="K2328" i="3"/>
  <c r="K2327" i="3"/>
  <c r="K2326" i="3"/>
  <c r="K2325" i="3"/>
  <c r="K2324" i="3"/>
  <c r="K2323" i="3"/>
  <c r="K2322" i="3"/>
  <c r="K2321" i="3"/>
  <c r="K2320" i="3"/>
  <c r="K2319" i="3"/>
  <c r="K2318" i="3"/>
  <c r="K2317" i="3"/>
  <c r="K2316" i="3"/>
  <c r="K2315" i="3"/>
  <c r="K2314" i="3"/>
  <c r="K2313" i="3"/>
  <c r="K2312" i="3"/>
  <c r="K2311" i="3"/>
  <c r="K2310" i="3"/>
  <c r="K2309" i="3"/>
  <c r="K2308" i="3"/>
  <c r="K2307" i="3"/>
  <c r="K2306" i="3"/>
  <c r="K2305" i="3"/>
  <c r="K2304" i="3"/>
  <c r="K2303" i="3"/>
  <c r="K2302" i="3"/>
  <c r="K2301" i="3"/>
  <c r="K2300" i="3"/>
  <c r="K2299" i="3"/>
  <c r="K2298" i="3"/>
  <c r="K2297" i="3"/>
  <c r="K2296" i="3"/>
  <c r="K2295" i="3"/>
  <c r="K2294" i="3"/>
  <c r="K2293" i="3"/>
  <c r="K2292" i="3"/>
  <c r="K2291" i="3"/>
  <c r="K2290" i="3"/>
  <c r="K2289" i="3"/>
  <c r="K2288" i="3"/>
  <c r="K2287" i="3"/>
  <c r="K2286" i="3"/>
  <c r="K2285" i="3"/>
  <c r="K2284" i="3"/>
  <c r="K2283" i="3"/>
  <c r="K2282" i="3"/>
  <c r="K2281" i="3"/>
  <c r="K2280" i="3"/>
  <c r="K2279" i="3"/>
  <c r="K2278" i="3"/>
  <c r="K2277" i="3"/>
  <c r="K2276" i="3"/>
  <c r="K2275" i="3"/>
  <c r="K2274" i="3"/>
  <c r="K2273" i="3"/>
  <c r="K2272" i="3"/>
  <c r="K2271" i="3"/>
  <c r="K2270" i="3"/>
  <c r="K2269" i="3"/>
  <c r="K2268" i="3"/>
  <c r="K2267" i="3"/>
  <c r="K2266" i="3"/>
  <c r="K2265" i="3"/>
  <c r="K2264" i="3"/>
  <c r="K2263" i="3"/>
  <c r="K2262" i="3"/>
  <c r="K2261" i="3"/>
  <c r="K2260" i="3"/>
  <c r="K2259" i="3"/>
  <c r="K2258" i="3"/>
  <c r="K2257" i="3"/>
  <c r="K2256" i="3"/>
  <c r="K2255" i="3"/>
  <c r="K2254" i="3"/>
  <c r="K2253" i="3"/>
  <c r="K2252" i="3"/>
  <c r="K2251" i="3"/>
  <c r="K2250" i="3"/>
  <c r="K2249" i="3"/>
  <c r="K2248" i="3"/>
  <c r="K2247" i="3"/>
  <c r="K2246" i="3"/>
  <c r="K2245" i="3"/>
  <c r="K2244" i="3"/>
  <c r="K2243" i="3"/>
  <c r="K2242" i="3"/>
  <c r="K2241" i="3"/>
  <c r="K2240" i="3"/>
  <c r="K2239" i="3"/>
  <c r="K2238" i="3"/>
  <c r="K2237" i="3"/>
  <c r="K2236" i="3"/>
  <c r="K2235" i="3"/>
  <c r="K2234" i="3"/>
  <c r="K2233" i="3"/>
  <c r="K2232" i="3"/>
  <c r="K2231" i="3"/>
  <c r="K2230" i="3"/>
  <c r="K2229" i="3"/>
  <c r="K2228" i="3"/>
  <c r="K2227" i="3"/>
  <c r="K2226" i="3"/>
  <c r="K2225" i="3"/>
  <c r="K2224" i="3"/>
  <c r="K2223" i="3"/>
  <c r="K2222" i="3"/>
  <c r="K2221" i="3"/>
  <c r="K2220" i="3"/>
  <c r="K2219" i="3"/>
  <c r="K2218" i="3"/>
  <c r="K2217" i="3"/>
  <c r="K2216" i="3"/>
  <c r="K2215" i="3"/>
  <c r="K2214" i="3"/>
  <c r="K2213" i="3"/>
  <c r="K2212" i="3"/>
  <c r="K2211" i="3"/>
  <c r="K2210" i="3"/>
  <c r="K2209" i="3"/>
  <c r="K2208" i="3"/>
  <c r="K2207" i="3"/>
  <c r="K2206" i="3"/>
  <c r="K2205" i="3"/>
  <c r="K2204" i="3"/>
  <c r="K2203" i="3"/>
  <c r="K2202" i="3"/>
  <c r="K2201" i="3"/>
  <c r="K2200" i="3"/>
  <c r="K2199" i="3"/>
  <c r="K2198" i="3"/>
  <c r="K2197" i="3"/>
  <c r="K2196" i="3"/>
  <c r="K2195" i="3"/>
  <c r="K2194" i="3"/>
  <c r="K2193" i="3"/>
  <c r="K2192" i="3"/>
  <c r="K2191" i="3"/>
  <c r="K2190" i="3"/>
  <c r="K2189" i="3"/>
  <c r="K2188" i="3"/>
  <c r="K2187" i="3"/>
  <c r="K2186" i="3"/>
  <c r="K2185" i="3"/>
  <c r="K2184" i="3"/>
  <c r="K2183" i="3"/>
  <c r="K2182" i="3"/>
  <c r="K2181" i="3"/>
  <c r="K2180" i="3"/>
  <c r="K2179" i="3"/>
  <c r="K2178" i="3"/>
  <c r="K2177" i="3"/>
  <c r="K2176" i="3"/>
  <c r="K2175" i="3"/>
  <c r="K2174" i="3"/>
  <c r="K2173" i="3"/>
  <c r="K2172" i="3"/>
  <c r="K2171" i="3"/>
  <c r="K2170" i="3"/>
  <c r="K2169" i="3"/>
  <c r="K2168" i="3"/>
  <c r="K2167" i="3"/>
  <c r="K2166" i="3"/>
  <c r="K2165" i="3"/>
  <c r="K2164" i="3"/>
  <c r="K2163" i="3"/>
  <c r="K2162" i="3"/>
  <c r="K2161" i="3"/>
  <c r="K2160" i="3"/>
  <c r="K2159" i="3"/>
  <c r="K2158" i="3"/>
  <c r="K2157" i="3"/>
  <c r="K2156" i="3"/>
  <c r="K2155" i="3"/>
  <c r="K2154" i="3"/>
  <c r="K2153" i="3"/>
  <c r="K2152" i="3"/>
  <c r="K2151" i="3"/>
  <c r="K2150" i="3"/>
  <c r="K2149" i="3"/>
  <c r="K2148" i="3"/>
  <c r="K2147" i="3"/>
  <c r="K2146" i="3"/>
  <c r="K2145" i="3"/>
  <c r="K2144" i="3"/>
  <c r="K2143" i="3"/>
  <c r="K2142" i="3"/>
  <c r="K2141" i="3"/>
  <c r="K2140" i="3"/>
  <c r="K2139" i="3"/>
  <c r="K2138" i="3"/>
  <c r="K2137" i="3"/>
  <c r="K2136" i="3"/>
  <c r="K2135" i="3"/>
  <c r="K2134" i="3"/>
  <c r="K2133" i="3"/>
  <c r="K2132" i="3"/>
  <c r="K2131" i="3"/>
  <c r="K2130" i="3"/>
  <c r="K2129" i="3"/>
  <c r="K2128" i="3"/>
  <c r="K2127" i="3"/>
  <c r="K2126" i="3"/>
  <c r="K2125" i="3"/>
  <c r="K2124" i="3"/>
  <c r="K2123" i="3"/>
  <c r="K2122" i="3"/>
  <c r="K2121" i="3"/>
  <c r="K2120" i="3"/>
  <c r="K2119" i="3"/>
  <c r="K2118" i="3"/>
  <c r="K2117" i="3"/>
  <c r="K2116" i="3"/>
  <c r="K2115" i="3"/>
  <c r="K2114" i="3"/>
  <c r="K2113" i="3"/>
  <c r="K2112" i="3"/>
  <c r="K2111" i="3"/>
  <c r="K2110" i="3"/>
  <c r="K2109" i="3"/>
  <c r="K2108" i="3"/>
  <c r="K2107" i="3"/>
  <c r="K2106" i="3"/>
  <c r="K2105" i="3"/>
  <c r="K2104" i="3"/>
  <c r="K2103" i="3"/>
  <c r="K2102" i="3"/>
  <c r="K2101" i="3"/>
  <c r="K2100" i="3"/>
  <c r="K2099" i="3"/>
  <c r="K2098" i="3"/>
  <c r="K2097" i="3"/>
  <c r="K2096" i="3"/>
  <c r="K2095" i="3"/>
  <c r="K2094" i="3"/>
  <c r="K2093" i="3"/>
  <c r="K2092" i="3"/>
  <c r="K2091" i="3"/>
  <c r="K2090" i="3"/>
  <c r="K2089" i="3"/>
  <c r="K2088" i="3"/>
  <c r="K2087" i="3"/>
  <c r="K2086" i="3"/>
  <c r="K2085" i="3"/>
  <c r="K2084" i="3"/>
  <c r="K2083" i="3"/>
  <c r="K2082" i="3"/>
  <c r="K2081" i="3"/>
  <c r="K2080" i="3"/>
  <c r="K2079" i="3"/>
  <c r="K2078" i="3"/>
  <c r="K2077" i="3"/>
  <c r="K2076" i="3"/>
  <c r="K2075" i="3"/>
  <c r="K2074" i="3"/>
  <c r="K2073" i="3"/>
  <c r="K2072" i="3"/>
  <c r="K2071" i="3"/>
  <c r="K2070" i="3"/>
  <c r="K2069" i="3"/>
  <c r="K2068" i="3"/>
  <c r="K2067" i="3"/>
  <c r="K2066" i="3"/>
  <c r="K2065" i="3"/>
  <c r="K2064" i="3"/>
  <c r="K2063" i="3"/>
  <c r="K2062" i="3"/>
  <c r="K2061" i="3"/>
  <c r="K2060" i="3"/>
  <c r="K2059" i="3"/>
  <c r="K2058" i="3"/>
  <c r="K2057" i="3"/>
  <c r="K2056" i="3"/>
  <c r="K2055" i="3"/>
  <c r="K2054" i="3"/>
  <c r="K2053" i="3"/>
  <c r="K2052" i="3"/>
  <c r="K2051" i="3"/>
  <c r="K2050" i="3"/>
  <c r="K2049" i="3"/>
  <c r="K2048" i="3"/>
  <c r="K2047" i="3"/>
  <c r="K2046" i="3"/>
  <c r="K2045" i="3"/>
  <c r="K2044" i="3"/>
  <c r="K2043" i="3"/>
  <c r="K2042" i="3"/>
  <c r="K2041" i="3"/>
  <c r="K2040" i="3"/>
  <c r="K2039" i="3"/>
  <c r="K2038" i="3"/>
  <c r="K2037" i="3"/>
  <c r="K2036" i="3"/>
  <c r="K2035" i="3"/>
  <c r="K2034" i="3"/>
  <c r="K2033" i="3"/>
  <c r="K2032" i="3"/>
  <c r="K2031" i="3"/>
  <c r="K2030" i="3"/>
  <c r="K2029" i="3"/>
  <c r="K2028" i="3"/>
  <c r="K2027" i="3"/>
  <c r="K2026" i="3"/>
  <c r="K2025" i="3"/>
  <c r="K2024" i="3"/>
  <c r="K2023" i="3"/>
  <c r="K2022" i="3"/>
  <c r="K2021" i="3"/>
  <c r="K2020" i="3"/>
  <c r="K2019" i="3"/>
  <c r="K2018" i="3"/>
  <c r="K2017" i="3"/>
  <c r="K2016" i="3"/>
  <c r="K2015" i="3"/>
  <c r="K2014" i="3"/>
  <c r="K2013" i="3"/>
  <c r="K2012" i="3"/>
  <c r="K2011" i="3"/>
  <c r="K2010" i="3"/>
  <c r="K2009" i="3"/>
  <c r="K2008" i="3"/>
  <c r="K2007" i="3"/>
  <c r="K2006" i="3"/>
  <c r="K2005" i="3"/>
  <c r="K2004" i="3"/>
  <c r="K2003" i="3"/>
  <c r="K2002" i="3"/>
  <c r="K2001" i="3"/>
  <c r="K2000" i="3"/>
  <c r="K1999" i="3"/>
  <c r="K1998" i="3"/>
  <c r="K1997" i="3"/>
  <c r="K1996" i="3"/>
  <c r="K1995" i="3"/>
  <c r="K1994" i="3"/>
  <c r="K1993" i="3"/>
  <c r="K1992" i="3"/>
  <c r="K1991" i="3"/>
  <c r="K1990" i="3"/>
  <c r="K1989" i="3"/>
  <c r="K1988" i="3"/>
  <c r="K1987" i="3"/>
  <c r="K1986" i="3"/>
  <c r="K1985" i="3"/>
  <c r="K1984" i="3"/>
  <c r="K1983" i="3"/>
  <c r="K1982" i="3"/>
  <c r="K1981" i="3"/>
  <c r="K1980" i="3"/>
  <c r="K1979" i="3"/>
  <c r="K1978" i="3"/>
  <c r="K1977" i="3"/>
  <c r="K1976" i="3"/>
  <c r="K1975" i="3"/>
  <c r="K1974" i="3"/>
  <c r="K1973" i="3"/>
  <c r="K1972" i="3"/>
  <c r="K1971" i="3"/>
  <c r="K1970" i="3"/>
  <c r="K1969" i="3"/>
  <c r="K1968" i="3"/>
  <c r="K1967" i="3"/>
  <c r="K1966" i="3"/>
  <c r="K1965" i="3"/>
  <c r="K1964" i="3"/>
  <c r="K1963" i="3"/>
  <c r="K1962" i="3"/>
  <c r="K1961" i="3"/>
  <c r="K1960" i="3"/>
  <c r="K1959" i="3"/>
  <c r="K1958" i="3"/>
  <c r="K1957" i="3"/>
  <c r="K1956" i="3"/>
  <c r="K1955" i="3"/>
  <c r="K1954" i="3"/>
  <c r="K1953" i="3"/>
  <c r="K1952" i="3"/>
  <c r="K1951" i="3"/>
  <c r="K1950" i="3"/>
  <c r="K1949" i="3"/>
  <c r="K1948" i="3"/>
  <c r="K1947" i="3"/>
  <c r="K1946" i="3"/>
  <c r="K1945" i="3"/>
  <c r="K1944" i="3"/>
  <c r="K1943" i="3"/>
  <c r="K1942" i="3"/>
  <c r="K1941" i="3"/>
  <c r="K1940" i="3"/>
  <c r="K1939" i="3"/>
  <c r="K1938" i="3"/>
  <c r="K1937" i="3"/>
  <c r="K1936" i="3"/>
  <c r="K1935" i="3"/>
  <c r="K1934" i="3"/>
  <c r="K1933" i="3"/>
  <c r="K1932" i="3"/>
  <c r="K1931" i="3"/>
  <c r="K1930" i="3"/>
  <c r="K1929" i="3"/>
  <c r="K1928" i="3"/>
  <c r="K1927" i="3"/>
  <c r="K1926" i="3"/>
  <c r="K1925" i="3"/>
  <c r="K1924" i="3"/>
  <c r="K1923" i="3"/>
  <c r="K1922" i="3"/>
  <c r="K1921" i="3"/>
  <c r="K1920" i="3"/>
  <c r="K1919" i="3"/>
  <c r="K1918" i="3"/>
  <c r="K1917" i="3"/>
  <c r="K1916" i="3"/>
  <c r="K1915" i="3"/>
  <c r="K1914" i="3"/>
  <c r="K1913" i="3"/>
  <c r="K1912" i="3"/>
  <c r="K1911" i="3"/>
  <c r="K1910" i="3"/>
  <c r="K1909" i="3"/>
  <c r="K1908" i="3"/>
  <c r="K1907" i="3"/>
  <c r="K1906" i="3"/>
  <c r="K1905" i="3"/>
  <c r="K1904" i="3"/>
  <c r="K1903" i="3"/>
  <c r="K1902" i="3"/>
  <c r="K1901" i="3"/>
  <c r="K1900" i="3"/>
  <c r="K1899" i="3"/>
  <c r="K1898" i="3"/>
  <c r="K1897" i="3"/>
  <c r="K1896" i="3"/>
  <c r="K1895" i="3"/>
  <c r="K1894" i="3"/>
  <c r="K1893" i="3"/>
  <c r="K1892" i="3"/>
  <c r="K1891" i="3"/>
  <c r="K1890" i="3"/>
  <c r="K1889" i="3"/>
  <c r="K1888" i="3"/>
  <c r="K1887" i="3"/>
  <c r="K1886" i="3"/>
  <c r="K1885" i="3"/>
  <c r="K1884" i="3"/>
  <c r="K1883" i="3"/>
  <c r="K1882" i="3"/>
  <c r="K1881" i="3"/>
  <c r="K1880" i="3"/>
  <c r="K1879" i="3"/>
  <c r="K1878" i="3"/>
  <c r="K1877" i="3"/>
  <c r="K1876" i="3"/>
  <c r="K1875" i="3"/>
  <c r="K1874" i="3"/>
  <c r="K1873" i="3"/>
  <c r="K1872" i="3"/>
  <c r="K1871" i="3"/>
  <c r="K1870" i="3"/>
  <c r="K1869" i="3"/>
  <c r="K1868" i="3"/>
  <c r="K1867" i="3"/>
  <c r="K1866" i="3"/>
  <c r="K1865" i="3"/>
  <c r="K1864" i="3"/>
  <c r="K1863" i="3"/>
  <c r="K1862" i="3"/>
  <c r="K1861" i="3"/>
  <c r="K1860" i="3"/>
  <c r="K1859" i="3"/>
  <c r="K1858" i="3"/>
  <c r="K1857" i="3"/>
  <c r="K1856" i="3"/>
  <c r="K1855" i="3"/>
  <c r="K1854" i="3"/>
  <c r="K1853" i="3"/>
  <c r="K1852" i="3"/>
  <c r="K1851" i="3"/>
  <c r="K1850" i="3"/>
  <c r="K1849" i="3"/>
  <c r="K1848" i="3"/>
  <c r="K1847" i="3"/>
  <c r="K1846" i="3"/>
  <c r="K1845" i="3"/>
  <c r="K1844" i="3"/>
  <c r="K1843" i="3"/>
  <c r="K1842" i="3"/>
  <c r="K1841" i="3"/>
  <c r="K1840" i="3"/>
  <c r="K1839" i="3"/>
  <c r="K1838" i="3"/>
  <c r="K1837" i="3"/>
  <c r="K1836" i="3"/>
  <c r="K1835" i="3"/>
  <c r="K1834" i="3"/>
  <c r="K1833" i="3"/>
  <c r="K1832" i="3"/>
  <c r="K1831" i="3"/>
  <c r="K1830" i="3"/>
  <c r="K1829" i="3"/>
  <c r="K1828" i="3"/>
  <c r="K1827" i="3"/>
  <c r="K1826" i="3"/>
  <c r="K1825" i="3"/>
  <c r="K1824" i="3"/>
  <c r="K1823" i="3"/>
  <c r="K1822" i="3"/>
  <c r="K1821" i="3"/>
  <c r="K1820" i="3"/>
  <c r="K1819" i="3"/>
  <c r="K1818" i="3"/>
  <c r="K1817" i="3"/>
  <c r="K1816" i="3"/>
  <c r="K1815" i="3"/>
  <c r="K1814" i="3"/>
  <c r="K1813" i="3"/>
  <c r="K1812" i="3"/>
  <c r="K1811" i="3"/>
  <c r="K1810" i="3"/>
  <c r="K1809" i="3"/>
  <c r="K1808" i="3"/>
  <c r="K1807" i="3"/>
  <c r="K1806" i="3"/>
  <c r="K1805" i="3"/>
  <c r="K1804" i="3"/>
  <c r="K1803" i="3"/>
  <c r="K1802" i="3"/>
  <c r="K1801" i="3"/>
  <c r="K1800" i="3"/>
  <c r="K1799" i="3"/>
  <c r="K1798" i="3"/>
  <c r="K1797" i="3"/>
  <c r="K1796" i="3"/>
  <c r="K1795" i="3"/>
  <c r="K1794" i="3"/>
  <c r="K1793" i="3"/>
  <c r="K1792" i="3"/>
  <c r="K1791" i="3"/>
  <c r="K1790" i="3"/>
  <c r="K1789" i="3"/>
  <c r="K1788" i="3"/>
  <c r="K1787" i="3"/>
  <c r="K1786" i="3"/>
  <c r="K1785" i="3"/>
  <c r="K1784" i="3"/>
  <c r="K1783" i="3"/>
  <c r="K1782" i="3"/>
  <c r="K1781" i="3"/>
  <c r="K1780" i="3"/>
  <c r="K1779" i="3"/>
  <c r="K1778" i="3"/>
  <c r="K1777" i="3"/>
  <c r="K1776" i="3"/>
  <c r="K1775" i="3"/>
  <c r="K1774" i="3"/>
  <c r="K1773" i="3"/>
  <c r="K1772" i="3"/>
  <c r="K1771" i="3"/>
  <c r="K1770" i="3"/>
  <c r="K1769" i="3"/>
  <c r="K1768" i="3"/>
  <c r="K1767" i="3"/>
  <c r="K1766" i="3"/>
  <c r="K1765" i="3"/>
  <c r="K1764" i="3"/>
  <c r="K1763" i="3"/>
  <c r="K1762" i="3"/>
  <c r="K1761" i="3"/>
  <c r="K1760" i="3"/>
  <c r="K1759" i="3"/>
  <c r="K1758" i="3"/>
  <c r="K1757" i="3"/>
  <c r="K1756" i="3"/>
  <c r="K1755" i="3"/>
  <c r="K1754" i="3"/>
  <c r="K1753" i="3"/>
  <c r="K1752" i="3"/>
  <c r="K1751" i="3"/>
  <c r="K1750" i="3"/>
  <c r="K1749" i="3"/>
  <c r="K1748" i="3"/>
  <c r="K1747" i="3"/>
  <c r="K1746" i="3"/>
  <c r="K1745" i="3"/>
  <c r="K1744" i="3"/>
  <c r="K1743" i="3"/>
  <c r="K1742" i="3"/>
  <c r="K1741" i="3"/>
  <c r="K1740" i="3"/>
  <c r="K1739" i="3"/>
  <c r="K1738" i="3"/>
  <c r="K1737" i="3"/>
  <c r="K1736" i="3"/>
  <c r="K1735" i="3"/>
  <c r="K1734" i="3"/>
  <c r="K1733" i="3"/>
  <c r="K1732" i="3"/>
  <c r="K1731" i="3"/>
  <c r="K1730" i="3"/>
  <c r="K1729" i="3"/>
  <c r="K1728" i="3"/>
  <c r="K1727" i="3"/>
  <c r="K1726" i="3"/>
  <c r="K1725" i="3"/>
  <c r="K1724" i="3"/>
  <c r="K1723" i="3"/>
  <c r="K1722" i="3"/>
  <c r="K1721" i="3"/>
  <c r="K1720" i="3"/>
  <c r="K1719" i="3"/>
  <c r="K1718" i="3"/>
  <c r="K1717" i="3"/>
  <c r="K1716" i="3"/>
  <c r="K1715" i="3"/>
  <c r="K1714" i="3"/>
  <c r="K1713" i="3"/>
  <c r="K1712" i="3"/>
  <c r="K1711" i="3"/>
  <c r="K1710" i="3"/>
  <c r="K1709" i="3"/>
  <c r="K1708" i="3"/>
  <c r="K1707" i="3"/>
  <c r="K1706" i="3"/>
  <c r="K1705" i="3"/>
  <c r="K1704" i="3"/>
  <c r="K1703" i="3"/>
  <c r="K1702" i="3"/>
  <c r="K1701" i="3"/>
  <c r="K1700" i="3"/>
  <c r="K1699" i="3"/>
  <c r="K1698" i="3"/>
  <c r="K1697" i="3"/>
  <c r="K1696" i="3"/>
  <c r="K1695" i="3"/>
  <c r="K1694" i="3"/>
  <c r="K1693" i="3"/>
  <c r="K1692" i="3"/>
  <c r="K1691" i="3"/>
  <c r="K1690" i="3"/>
  <c r="K1689" i="3"/>
  <c r="K1688" i="3"/>
  <c r="K1687" i="3"/>
  <c r="K1686" i="3"/>
  <c r="K1685" i="3"/>
  <c r="K1684" i="3"/>
  <c r="K1683" i="3"/>
  <c r="K1682" i="3"/>
  <c r="K1681" i="3"/>
  <c r="K1680" i="3"/>
  <c r="K1679" i="3"/>
  <c r="K1678" i="3"/>
  <c r="K1677" i="3"/>
  <c r="K1676" i="3"/>
  <c r="K1675" i="3"/>
  <c r="K1674" i="3"/>
  <c r="K1673" i="3"/>
  <c r="K1672" i="3"/>
  <c r="K1671" i="3"/>
  <c r="K1670" i="3"/>
  <c r="K1669" i="3"/>
  <c r="K1668" i="3"/>
  <c r="K1667" i="3"/>
  <c r="K1666" i="3"/>
  <c r="K1665" i="3"/>
  <c r="K1664" i="3"/>
  <c r="K1663" i="3"/>
  <c r="K1662" i="3"/>
  <c r="K1661" i="3"/>
  <c r="K1660" i="3"/>
  <c r="K1659" i="3"/>
  <c r="K1658" i="3"/>
  <c r="K1657" i="3"/>
  <c r="K1656" i="3"/>
  <c r="K1655" i="3"/>
  <c r="K1654" i="3"/>
  <c r="K1653" i="3"/>
  <c r="K1652" i="3"/>
  <c r="K1651" i="3"/>
  <c r="K1650" i="3"/>
  <c r="K1649" i="3"/>
  <c r="K1648" i="3"/>
  <c r="K1647" i="3"/>
  <c r="K1646" i="3"/>
  <c r="K1645" i="3"/>
  <c r="K1644" i="3"/>
  <c r="K1643" i="3"/>
  <c r="K1642" i="3"/>
  <c r="K1641" i="3"/>
  <c r="K1640" i="3"/>
  <c r="K1639" i="3"/>
  <c r="K1638" i="3"/>
  <c r="K1637" i="3"/>
  <c r="K1636" i="3"/>
  <c r="K1635" i="3"/>
  <c r="K1634" i="3"/>
  <c r="K1633" i="3"/>
  <c r="K1632" i="3"/>
  <c r="K1631" i="3"/>
  <c r="K1630" i="3"/>
  <c r="K1629" i="3"/>
  <c r="K1628" i="3"/>
  <c r="K1627" i="3"/>
  <c r="K1626" i="3"/>
  <c r="K1625" i="3"/>
  <c r="K1624" i="3"/>
  <c r="K1623" i="3"/>
  <c r="K1622" i="3"/>
  <c r="K1621" i="3"/>
  <c r="K1620" i="3"/>
  <c r="K1619" i="3"/>
  <c r="K1618" i="3"/>
  <c r="K1617" i="3"/>
  <c r="K1616" i="3"/>
  <c r="K1615" i="3"/>
  <c r="K1614" i="3"/>
  <c r="K1613" i="3"/>
  <c r="K1612" i="3"/>
  <c r="K1611" i="3"/>
  <c r="K1610" i="3"/>
  <c r="K1609" i="3"/>
  <c r="K1608" i="3"/>
  <c r="K1607" i="3"/>
  <c r="K1606" i="3"/>
  <c r="K1605" i="3"/>
  <c r="K1604" i="3"/>
  <c r="K1603" i="3"/>
  <c r="K1602" i="3"/>
  <c r="K1601" i="3"/>
  <c r="K1600" i="3"/>
  <c r="K1599" i="3"/>
  <c r="K1598" i="3"/>
  <c r="K1597" i="3"/>
  <c r="K1596" i="3"/>
  <c r="K1595" i="3"/>
  <c r="K1594" i="3"/>
  <c r="K1593" i="3"/>
  <c r="K1592" i="3"/>
  <c r="K1591" i="3"/>
  <c r="K1590" i="3"/>
  <c r="K1589" i="3"/>
  <c r="K1588" i="3"/>
  <c r="K1587" i="3"/>
  <c r="K1586" i="3"/>
  <c r="K1585" i="3"/>
  <c r="K1584" i="3"/>
  <c r="K1583" i="3"/>
  <c r="K1582" i="3"/>
  <c r="K1581" i="3"/>
  <c r="K1580" i="3"/>
  <c r="K1579" i="3"/>
  <c r="K1578" i="3"/>
  <c r="K1577" i="3"/>
  <c r="K1576" i="3"/>
  <c r="K1575" i="3"/>
  <c r="K1574" i="3"/>
  <c r="K1573" i="3"/>
  <c r="K1572" i="3"/>
  <c r="K1571" i="3"/>
  <c r="K1570" i="3"/>
  <c r="K1569" i="3"/>
  <c r="K1568" i="3"/>
  <c r="K1567" i="3"/>
  <c r="K1566" i="3"/>
  <c r="K1565" i="3"/>
  <c r="K1564" i="3"/>
  <c r="K1563" i="3"/>
  <c r="K1562" i="3"/>
  <c r="K1561" i="3"/>
  <c r="K1560" i="3"/>
  <c r="K1559" i="3"/>
  <c r="K1558" i="3"/>
  <c r="K1557" i="3"/>
  <c r="K1556" i="3"/>
  <c r="K1555" i="3"/>
  <c r="K1554" i="3"/>
  <c r="K1553" i="3"/>
  <c r="K1552" i="3"/>
  <c r="K1551" i="3"/>
  <c r="K1550" i="3"/>
  <c r="K1549" i="3"/>
  <c r="K1548" i="3"/>
  <c r="K1547" i="3"/>
  <c r="K1546" i="3"/>
  <c r="K1545" i="3"/>
  <c r="K1544" i="3"/>
  <c r="K1543" i="3"/>
  <c r="K1542" i="3"/>
  <c r="K1541" i="3"/>
  <c r="K1540" i="3"/>
  <c r="K1539" i="3"/>
  <c r="K1538" i="3"/>
  <c r="K1537" i="3"/>
  <c r="K1536" i="3"/>
  <c r="K1535" i="3"/>
  <c r="K1534" i="3"/>
  <c r="K1533" i="3"/>
  <c r="K1532" i="3"/>
  <c r="K1531" i="3"/>
  <c r="K1530" i="3"/>
  <c r="K1529" i="3"/>
  <c r="K1528" i="3"/>
  <c r="K1527" i="3"/>
  <c r="K1526" i="3"/>
  <c r="K1525" i="3"/>
  <c r="K1524" i="3"/>
  <c r="K1523" i="3"/>
  <c r="K1522" i="3"/>
  <c r="K1521" i="3"/>
  <c r="K1520" i="3"/>
  <c r="K1519" i="3"/>
  <c r="K1518" i="3"/>
  <c r="K1517" i="3"/>
  <c r="K1516" i="3"/>
  <c r="K1515" i="3"/>
  <c r="K1514" i="3"/>
  <c r="K1513" i="3"/>
  <c r="K1512" i="3"/>
  <c r="K1511" i="3"/>
  <c r="K1510" i="3"/>
  <c r="K1509" i="3"/>
  <c r="K1508" i="3"/>
  <c r="K1507" i="3"/>
  <c r="K1506" i="3"/>
  <c r="K1505" i="3"/>
  <c r="K1504" i="3"/>
  <c r="K1503" i="3"/>
  <c r="K1502" i="3"/>
  <c r="K1501" i="3"/>
  <c r="K1500" i="3"/>
  <c r="K1499" i="3"/>
  <c r="K1498" i="3"/>
  <c r="K1497" i="3"/>
  <c r="K1496" i="3"/>
  <c r="K1495" i="3"/>
  <c r="K1494" i="3"/>
  <c r="K1493" i="3"/>
  <c r="K1492" i="3"/>
  <c r="K1491" i="3"/>
  <c r="K1490" i="3"/>
  <c r="K1489" i="3"/>
  <c r="K1488" i="3"/>
  <c r="K1487" i="3"/>
  <c r="K1486" i="3"/>
  <c r="K1485" i="3"/>
  <c r="K1484" i="3"/>
  <c r="K1483" i="3"/>
  <c r="K1482" i="3"/>
  <c r="K1481" i="3"/>
  <c r="K1480" i="3"/>
  <c r="K1479" i="3"/>
  <c r="K1478" i="3"/>
  <c r="K1477" i="3"/>
  <c r="K1476" i="3"/>
  <c r="K1475" i="3"/>
  <c r="K1474" i="3"/>
  <c r="K1473" i="3"/>
  <c r="K1472" i="3"/>
  <c r="K1471" i="3"/>
  <c r="K1470" i="3"/>
  <c r="K1469" i="3"/>
  <c r="K1468" i="3"/>
  <c r="K1467" i="3"/>
  <c r="K1466" i="3"/>
  <c r="K1465" i="3"/>
  <c r="K1464" i="3"/>
  <c r="K1463" i="3"/>
  <c r="K1462" i="3"/>
  <c r="K1461" i="3"/>
  <c r="K1460" i="3"/>
  <c r="K1459" i="3"/>
  <c r="K1458" i="3"/>
  <c r="K1457" i="3"/>
  <c r="K1456" i="3"/>
  <c r="K1455" i="3"/>
  <c r="K1454" i="3"/>
  <c r="K1453" i="3"/>
  <c r="K1452" i="3"/>
  <c r="K1451" i="3"/>
  <c r="K1450" i="3"/>
  <c r="K1449" i="3"/>
  <c r="K1448" i="3"/>
  <c r="K1447" i="3"/>
  <c r="K1446" i="3"/>
  <c r="K1445" i="3"/>
  <c r="K1444" i="3"/>
  <c r="K1443" i="3"/>
  <c r="K1442" i="3"/>
  <c r="K1441" i="3"/>
  <c r="K1440" i="3"/>
  <c r="K1439" i="3"/>
  <c r="K1438" i="3"/>
  <c r="K1437" i="3"/>
  <c r="K1436" i="3"/>
  <c r="K1435" i="3"/>
  <c r="K1434" i="3"/>
  <c r="K1433" i="3"/>
  <c r="K1432" i="3"/>
  <c r="K1431" i="3"/>
  <c r="K1430" i="3"/>
  <c r="K1429" i="3"/>
  <c r="K1428" i="3"/>
  <c r="K1427" i="3"/>
  <c r="K1426" i="3"/>
  <c r="K1425" i="3"/>
  <c r="K1424" i="3"/>
  <c r="K1423" i="3"/>
  <c r="K1422" i="3"/>
  <c r="K1421" i="3"/>
  <c r="K1420" i="3"/>
  <c r="K1419" i="3"/>
  <c r="K1418" i="3"/>
  <c r="K1417" i="3"/>
  <c r="K1416" i="3"/>
  <c r="K1415" i="3"/>
  <c r="K1414" i="3"/>
  <c r="K1413" i="3"/>
  <c r="K1412" i="3"/>
  <c r="K1411" i="3"/>
  <c r="K1410" i="3"/>
  <c r="K1409" i="3"/>
  <c r="K1408" i="3"/>
  <c r="K1407" i="3"/>
  <c r="K1406" i="3"/>
  <c r="K1405" i="3"/>
  <c r="K1404" i="3"/>
  <c r="K1403" i="3"/>
  <c r="K1402" i="3"/>
  <c r="K1401" i="3"/>
  <c r="K1400" i="3"/>
  <c r="K1399" i="3"/>
  <c r="K1398" i="3"/>
  <c r="K1397" i="3"/>
  <c r="K1396" i="3"/>
  <c r="K1395" i="3"/>
  <c r="K1394" i="3"/>
  <c r="K1393" i="3"/>
  <c r="K1392" i="3"/>
  <c r="K1391" i="3"/>
  <c r="K1390" i="3"/>
  <c r="K1389" i="3"/>
  <c r="K1388" i="3"/>
  <c r="K1387" i="3"/>
  <c r="K1386" i="3"/>
  <c r="K1385" i="3"/>
  <c r="K1384" i="3"/>
  <c r="K1383" i="3"/>
  <c r="K1382" i="3"/>
  <c r="K1381" i="3"/>
  <c r="K1380" i="3"/>
  <c r="K1379" i="3"/>
  <c r="K1378" i="3"/>
  <c r="K1377" i="3"/>
  <c r="K1376" i="3"/>
  <c r="K1375" i="3"/>
  <c r="K1374" i="3"/>
  <c r="K1373" i="3"/>
  <c r="K1372" i="3"/>
  <c r="K1371" i="3"/>
  <c r="K1370" i="3"/>
  <c r="K1369" i="3"/>
  <c r="K1368" i="3"/>
  <c r="K1367" i="3"/>
  <c r="K1366" i="3"/>
  <c r="K1365" i="3"/>
  <c r="K1364" i="3"/>
  <c r="K1363" i="3"/>
  <c r="K1362" i="3"/>
  <c r="K1361" i="3"/>
  <c r="K1360" i="3"/>
  <c r="K1359" i="3"/>
  <c r="K1358" i="3"/>
  <c r="K1357" i="3"/>
  <c r="K1356" i="3"/>
  <c r="K1355" i="3"/>
  <c r="K1354" i="3"/>
  <c r="K1353" i="3"/>
  <c r="K1352" i="3"/>
  <c r="K1351" i="3"/>
  <c r="K1350" i="3"/>
  <c r="K1349" i="3"/>
  <c r="K1348" i="3"/>
  <c r="K1347" i="3"/>
  <c r="K1346" i="3"/>
  <c r="K1345" i="3"/>
  <c r="K1344" i="3"/>
  <c r="K1343" i="3"/>
  <c r="K1342" i="3"/>
  <c r="K1341" i="3"/>
  <c r="K1340" i="3"/>
  <c r="K1339" i="3"/>
  <c r="K1338" i="3"/>
  <c r="K1337" i="3"/>
  <c r="K1336" i="3"/>
  <c r="K1335" i="3"/>
  <c r="K1334" i="3"/>
  <c r="K1333" i="3"/>
  <c r="K1332" i="3"/>
  <c r="K1331" i="3"/>
  <c r="K1330" i="3"/>
  <c r="K1329" i="3"/>
  <c r="K1328" i="3"/>
  <c r="K1327" i="3"/>
  <c r="K1326" i="3"/>
  <c r="K1325" i="3"/>
  <c r="K1324" i="3"/>
  <c r="K1323" i="3"/>
  <c r="K1322" i="3"/>
  <c r="K1321" i="3"/>
  <c r="K1320" i="3"/>
  <c r="K1319" i="3"/>
  <c r="K1318" i="3"/>
  <c r="K1317" i="3"/>
  <c r="K1316" i="3"/>
  <c r="K1315" i="3"/>
  <c r="K1314" i="3"/>
  <c r="K1313" i="3"/>
  <c r="K1312" i="3"/>
  <c r="K1311" i="3"/>
  <c r="K1310" i="3"/>
  <c r="K1309" i="3"/>
  <c r="K1308" i="3"/>
  <c r="K1307" i="3"/>
  <c r="K1306" i="3"/>
  <c r="K1305" i="3"/>
  <c r="K1304" i="3"/>
  <c r="K1303" i="3"/>
  <c r="K1302" i="3"/>
  <c r="K1301" i="3"/>
  <c r="K1300" i="3"/>
  <c r="K1299" i="3"/>
  <c r="K1298" i="3"/>
  <c r="K1297" i="3"/>
  <c r="K1296" i="3"/>
  <c r="K1295" i="3"/>
  <c r="K1294" i="3"/>
  <c r="K1293" i="3"/>
  <c r="K1292" i="3"/>
  <c r="K1291" i="3"/>
  <c r="K1290" i="3"/>
  <c r="K1289" i="3"/>
  <c r="K1288" i="3"/>
  <c r="K1287" i="3"/>
  <c r="K1286" i="3"/>
  <c r="K1285" i="3"/>
  <c r="K1284" i="3"/>
  <c r="K1283" i="3"/>
  <c r="K1282" i="3"/>
  <c r="K1281" i="3"/>
  <c r="K1280" i="3"/>
  <c r="K1279" i="3"/>
  <c r="K1278" i="3"/>
  <c r="K1277" i="3"/>
  <c r="K1276" i="3"/>
  <c r="K1275" i="3"/>
  <c r="K1274" i="3"/>
  <c r="K1273" i="3"/>
  <c r="K1272" i="3"/>
  <c r="K1271" i="3"/>
  <c r="K1270" i="3"/>
  <c r="K1269" i="3"/>
  <c r="K1268" i="3"/>
  <c r="K1267" i="3"/>
  <c r="K1266" i="3"/>
  <c r="K1265" i="3"/>
  <c r="K1264" i="3"/>
  <c r="K1263" i="3"/>
  <c r="K1262" i="3"/>
  <c r="K1261" i="3"/>
  <c r="K1260" i="3"/>
  <c r="K1259" i="3"/>
  <c r="K1258" i="3"/>
  <c r="K1257" i="3"/>
  <c r="K1256" i="3"/>
  <c r="K1255" i="3"/>
  <c r="K1254" i="3"/>
  <c r="K1253" i="3"/>
  <c r="K1252" i="3"/>
  <c r="K1251" i="3"/>
  <c r="K1250" i="3"/>
  <c r="K1249" i="3"/>
  <c r="K1248" i="3"/>
  <c r="K1247" i="3"/>
  <c r="K1246" i="3"/>
  <c r="K1245" i="3"/>
  <c r="K1244" i="3"/>
  <c r="K1243" i="3"/>
  <c r="K1242" i="3"/>
  <c r="K1241" i="3"/>
  <c r="K1240" i="3"/>
  <c r="K1239" i="3"/>
  <c r="K1238" i="3"/>
  <c r="K1237" i="3"/>
  <c r="K1236" i="3"/>
  <c r="K1235" i="3"/>
  <c r="K1234" i="3"/>
  <c r="K1233" i="3"/>
  <c r="K1232" i="3"/>
  <c r="K1231" i="3"/>
  <c r="K1230" i="3"/>
  <c r="K1229" i="3"/>
  <c r="K1228" i="3"/>
  <c r="K1227" i="3"/>
  <c r="K1226" i="3"/>
  <c r="K1225" i="3"/>
  <c r="K1224" i="3"/>
  <c r="K1223" i="3"/>
  <c r="K1222" i="3"/>
  <c r="K1221" i="3"/>
  <c r="K1220" i="3"/>
  <c r="K1219" i="3"/>
  <c r="K1218" i="3"/>
  <c r="K1217" i="3"/>
  <c r="K1216" i="3"/>
  <c r="K1215" i="3"/>
  <c r="K1214" i="3"/>
  <c r="K1213" i="3"/>
  <c r="K1212" i="3"/>
  <c r="K1211" i="3"/>
  <c r="K1210" i="3"/>
  <c r="K1209" i="3"/>
  <c r="K1208" i="3"/>
  <c r="K1207" i="3"/>
  <c r="K1206" i="3"/>
  <c r="K1205" i="3"/>
  <c r="K1204" i="3"/>
  <c r="K1203" i="3"/>
  <c r="K1202" i="3"/>
  <c r="K1201" i="3"/>
  <c r="K1200" i="3"/>
  <c r="K1199" i="3"/>
  <c r="K1198" i="3"/>
  <c r="K1197" i="3"/>
  <c r="K1196" i="3"/>
  <c r="K1195" i="3"/>
  <c r="K1194" i="3"/>
  <c r="K1193" i="3"/>
  <c r="K1192" i="3"/>
  <c r="K1191" i="3"/>
  <c r="K1190" i="3"/>
  <c r="K1189" i="3"/>
  <c r="K1188" i="3"/>
  <c r="K1187" i="3"/>
  <c r="K1186" i="3"/>
  <c r="K1185" i="3"/>
  <c r="K1184" i="3"/>
  <c r="K1183" i="3"/>
  <c r="K1182" i="3"/>
  <c r="K1181" i="3"/>
  <c r="K1180" i="3"/>
  <c r="K1179" i="3"/>
  <c r="K1178" i="3"/>
  <c r="K1177" i="3"/>
  <c r="K1176" i="3"/>
  <c r="K1175" i="3"/>
  <c r="K1174" i="3"/>
  <c r="K1173" i="3"/>
  <c r="K1172" i="3"/>
  <c r="K1171" i="3"/>
  <c r="K1170" i="3"/>
  <c r="K1169" i="3"/>
  <c r="K1168" i="3"/>
  <c r="K1167" i="3"/>
  <c r="K1166" i="3"/>
  <c r="K1165" i="3"/>
  <c r="K1164" i="3"/>
  <c r="K1163" i="3"/>
  <c r="K1162" i="3"/>
  <c r="K1161" i="3"/>
  <c r="K1160" i="3"/>
  <c r="K1159" i="3"/>
  <c r="K1158" i="3"/>
  <c r="K1157" i="3"/>
  <c r="K1156" i="3"/>
  <c r="K1155" i="3"/>
  <c r="K1154" i="3"/>
  <c r="K1153" i="3"/>
  <c r="K1152" i="3"/>
  <c r="K1151" i="3"/>
  <c r="K1150" i="3"/>
  <c r="K1149" i="3"/>
  <c r="K1148" i="3"/>
  <c r="K1147" i="3"/>
  <c r="K1146" i="3"/>
  <c r="K1145" i="3"/>
  <c r="K1144" i="3"/>
  <c r="K1143" i="3"/>
  <c r="K1142" i="3"/>
  <c r="K1141" i="3"/>
  <c r="K1140" i="3"/>
  <c r="K1139" i="3"/>
  <c r="K1138" i="3"/>
  <c r="K1137" i="3"/>
  <c r="K1136" i="3"/>
  <c r="K1135" i="3"/>
  <c r="K1134" i="3"/>
  <c r="K1133" i="3"/>
  <c r="K1132" i="3"/>
  <c r="K1131" i="3"/>
  <c r="K1130" i="3"/>
  <c r="K1129" i="3"/>
  <c r="K1128" i="3"/>
  <c r="K1127" i="3"/>
  <c r="K1126" i="3"/>
  <c r="K1125" i="3"/>
  <c r="K1124" i="3"/>
  <c r="K1123" i="3"/>
  <c r="K1122" i="3"/>
  <c r="K1121" i="3"/>
  <c r="K1120" i="3"/>
  <c r="K1119" i="3"/>
  <c r="K1118" i="3"/>
  <c r="K1117" i="3"/>
  <c r="K1116" i="3"/>
  <c r="K1115" i="3"/>
  <c r="K1114" i="3"/>
  <c r="K1113" i="3"/>
  <c r="K1112" i="3"/>
  <c r="K1111" i="3"/>
  <c r="K1110" i="3"/>
  <c r="K1109" i="3"/>
  <c r="K1108" i="3"/>
  <c r="K1107" i="3"/>
  <c r="K1106" i="3"/>
  <c r="K1105" i="3"/>
  <c r="K1104" i="3"/>
  <c r="K1103" i="3"/>
  <c r="K1102" i="3"/>
  <c r="K1101" i="3"/>
  <c r="K1100" i="3"/>
  <c r="K1099" i="3"/>
  <c r="K1098" i="3"/>
  <c r="K1097" i="3"/>
  <c r="K1096" i="3"/>
  <c r="K1095" i="3"/>
  <c r="K1094" i="3"/>
  <c r="K1093" i="3"/>
  <c r="K1092" i="3"/>
  <c r="K1091" i="3"/>
  <c r="K1090" i="3"/>
  <c r="K1089" i="3"/>
  <c r="K1088" i="3"/>
  <c r="K1087" i="3"/>
  <c r="K1086" i="3"/>
  <c r="K1085" i="3"/>
  <c r="K1084" i="3"/>
  <c r="K1083" i="3"/>
  <c r="K1082" i="3"/>
  <c r="K1081" i="3"/>
  <c r="K1080" i="3"/>
  <c r="K1079" i="3"/>
  <c r="K1078" i="3"/>
  <c r="K1077" i="3"/>
  <c r="K1076" i="3"/>
  <c r="K1075" i="3"/>
  <c r="K1074" i="3"/>
  <c r="K1073" i="3"/>
  <c r="K1072" i="3"/>
  <c r="K1071" i="3"/>
  <c r="K1070" i="3"/>
  <c r="K1069" i="3"/>
  <c r="K1068" i="3"/>
  <c r="K1067" i="3"/>
  <c r="K1066" i="3"/>
  <c r="K1065" i="3"/>
  <c r="K1064" i="3"/>
  <c r="K1063" i="3"/>
  <c r="K1062" i="3"/>
  <c r="K1061" i="3"/>
  <c r="K1060" i="3"/>
  <c r="K1059" i="3"/>
  <c r="K1058" i="3"/>
  <c r="K1057" i="3"/>
  <c r="K1056" i="3"/>
  <c r="K1055" i="3"/>
  <c r="K1054" i="3"/>
  <c r="K1053" i="3"/>
  <c r="K1052" i="3"/>
  <c r="K1051" i="3"/>
  <c r="K1050" i="3"/>
  <c r="K1049" i="3"/>
  <c r="K1048" i="3"/>
  <c r="K1047" i="3"/>
  <c r="K1046" i="3"/>
  <c r="K1045" i="3"/>
  <c r="K1044" i="3"/>
  <c r="K1043" i="3"/>
  <c r="K1042" i="3"/>
  <c r="K1041" i="3"/>
  <c r="K1040" i="3"/>
  <c r="K1039" i="3"/>
  <c r="K1038" i="3"/>
  <c r="K1037" i="3"/>
  <c r="K1036" i="3"/>
  <c r="K1035" i="3"/>
  <c r="K1034" i="3"/>
  <c r="K1033" i="3"/>
  <c r="K1032" i="3"/>
  <c r="K1031" i="3"/>
  <c r="K1030" i="3"/>
  <c r="K1029" i="3"/>
  <c r="K1028" i="3"/>
  <c r="K1027" i="3"/>
  <c r="K1026" i="3"/>
  <c r="K1025" i="3"/>
  <c r="K1024" i="3"/>
  <c r="K1023" i="3"/>
  <c r="K1022" i="3"/>
  <c r="K1021" i="3"/>
  <c r="K1020" i="3"/>
  <c r="K1019" i="3"/>
  <c r="K1018" i="3"/>
  <c r="K1017" i="3"/>
  <c r="K1016" i="3"/>
  <c r="K1015" i="3"/>
  <c r="K1014" i="3"/>
  <c r="K1013" i="3"/>
  <c r="K1012" i="3"/>
  <c r="K1011" i="3"/>
  <c r="K1010" i="3"/>
  <c r="K1009" i="3"/>
  <c r="K1008" i="3"/>
  <c r="K1007" i="3"/>
  <c r="K1006" i="3"/>
  <c r="K1005" i="3"/>
  <c r="K1004" i="3"/>
  <c r="K1003" i="3"/>
  <c r="K1002" i="3"/>
  <c r="K1001" i="3"/>
  <c r="K1000" i="3"/>
  <c r="K999" i="3"/>
  <c r="K998" i="3"/>
  <c r="K997" i="3"/>
  <c r="K996" i="3"/>
  <c r="K995" i="3"/>
  <c r="K994" i="3"/>
  <c r="K993" i="3"/>
  <c r="K992" i="3"/>
  <c r="K991" i="3"/>
  <c r="K990" i="3"/>
  <c r="K989" i="3"/>
  <c r="K988" i="3"/>
  <c r="K987" i="3"/>
  <c r="K986" i="3"/>
  <c r="K985" i="3"/>
  <c r="K984" i="3"/>
  <c r="K983" i="3"/>
  <c r="K982" i="3"/>
  <c r="K981" i="3"/>
  <c r="K980" i="3"/>
  <c r="K979" i="3"/>
  <c r="K978" i="3"/>
  <c r="K977" i="3"/>
  <c r="K976" i="3"/>
  <c r="K975" i="3"/>
  <c r="K974" i="3"/>
  <c r="K973" i="3"/>
  <c r="K972" i="3"/>
  <c r="K971" i="3"/>
  <c r="K970" i="3"/>
  <c r="K969" i="3"/>
  <c r="K968" i="3"/>
  <c r="K967" i="3"/>
  <c r="K966" i="3"/>
  <c r="K965" i="3"/>
  <c r="K964" i="3"/>
  <c r="K963" i="3"/>
  <c r="K962" i="3"/>
  <c r="K961" i="3"/>
  <c r="K960" i="3"/>
  <c r="K959" i="3"/>
  <c r="K958" i="3"/>
  <c r="K957" i="3"/>
  <c r="K956" i="3"/>
  <c r="K955" i="3"/>
  <c r="K954" i="3"/>
  <c r="K953" i="3"/>
  <c r="K952" i="3"/>
  <c r="K951" i="3"/>
  <c r="K950" i="3"/>
  <c r="K949" i="3"/>
  <c r="K948" i="3"/>
  <c r="K947" i="3"/>
  <c r="K946" i="3"/>
  <c r="K945" i="3"/>
  <c r="K944" i="3"/>
  <c r="K943" i="3"/>
  <c r="K942" i="3"/>
  <c r="K941" i="3"/>
  <c r="K940" i="3"/>
  <c r="K939" i="3"/>
  <c r="K938" i="3"/>
  <c r="K937" i="3"/>
  <c r="K936" i="3"/>
  <c r="K935" i="3"/>
  <c r="K934" i="3"/>
  <c r="K933" i="3"/>
  <c r="K932" i="3"/>
  <c r="K931" i="3"/>
  <c r="K930" i="3"/>
  <c r="K929" i="3"/>
  <c r="K928" i="3"/>
  <c r="K927" i="3"/>
  <c r="K926" i="3"/>
  <c r="K925" i="3"/>
  <c r="K924" i="3"/>
  <c r="K923" i="3"/>
  <c r="K922" i="3"/>
  <c r="K921" i="3"/>
  <c r="K920" i="3"/>
  <c r="K919" i="3"/>
  <c r="K918" i="3"/>
  <c r="K917" i="3"/>
  <c r="K916" i="3"/>
  <c r="K915" i="3"/>
  <c r="K914" i="3"/>
  <c r="K913" i="3"/>
  <c r="K912" i="3"/>
  <c r="K911" i="3"/>
  <c r="K910" i="3"/>
  <c r="K909" i="3"/>
  <c r="K908" i="3"/>
  <c r="K907" i="3"/>
  <c r="K906" i="3"/>
  <c r="K905" i="3"/>
  <c r="K904" i="3"/>
  <c r="K903" i="3"/>
  <c r="K902" i="3"/>
  <c r="K901" i="3"/>
  <c r="K900" i="3"/>
  <c r="K899" i="3"/>
  <c r="K898" i="3"/>
  <c r="K897" i="3"/>
  <c r="K896" i="3"/>
  <c r="K895" i="3"/>
  <c r="K894" i="3"/>
  <c r="K893" i="3"/>
  <c r="K892" i="3"/>
  <c r="K891" i="3"/>
  <c r="K890" i="3"/>
  <c r="K889" i="3"/>
  <c r="K888" i="3"/>
  <c r="K887" i="3"/>
  <c r="K886" i="3"/>
  <c r="K885" i="3"/>
  <c r="K884" i="3"/>
  <c r="K883" i="3"/>
  <c r="K882" i="3"/>
  <c r="K881" i="3"/>
  <c r="K880" i="3"/>
  <c r="K879" i="3"/>
  <c r="K878" i="3"/>
  <c r="K877" i="3"/>
  <c r="K876" i="3"/>
  <c r="K875" i="3"/>
  <c r="K874" i="3"/>
  <c r="K873" i="3"/>
  <c r="K872" i="3"/>
  <c r="K871" i="3"/>
  <c r="K870" i="3"/>
  <c r="K869" i="3"/>
  <c r="K868" i="3"/>
  <c r="K867" i="3"/>
  <c r="K866" i="3"/>
  <c r="K865" i="3"/>
  <c r="K864" i="3"/>
  <c r="K863" i="3"/>
  <c r="K862" i="3"/>
  <c r="K861" i="3"/>
  <c r="K860" i="3"/>
  <c r="K859" i="3"/>
  <c r="K858" i="3"/>
  <c r="K857" i="3"/>
  <c r="K856" i="3"/>
  <c r="K855" i="3"/>
  <c r="K854" i="3"/>
  <c r="K853" i="3"/>
  <c r="K852" i="3"/>
  <c r="K851" i="3"/>
  <c r="K850" i="3"/>
  <c r="K849" i="3"/>
  <c r="K848" i="3"/>
  <c r="K847" i="3"/>
  <c r="K846" i="3"/>
  <c r="K845" i="3"/>
  <c r="K844" i="3"/>
  <c r="K843" i="3"/>
  <c r="K842" i="3"/>
  <c r="K841" i="3"/>
  <c r="K840" i="3"/>
  <c r="K839" i="3"/>
  <c r="K838" i="3"/>
  <c r="K837" i="3"/>
  <c r="K836" i="3"/>
  <c r="K835" i="3"/>
  <c r="K834" i="3"/>
  <c r="K833" i="3"/>
  <c r="K832" i="3"/>
  <c r="K831" i="3"/>
  <c r="K830" i="3"/>
  <c r="K829" i="3"/>
  <c r="K828" i="3"/>
  <c r="K827" i="3"/>
  <c r="K826" i="3"/>
  <c r="K825" i="3"/>
  <c r="K824" i="3"/>
  <c r="K823" i="3"/>
  <c r="K822" i="3"/>
  <c r="K821" i="3"/>
  <c r="K820" i="3"/>
  <c r="K819" i="3"/>
  <c r="K818" i="3"/>
  <c r="K817" i="3"/>
  <c r="K816" i="3"/>
  <c r="K815" i="3"/>
  <c r="K814" i="3"/>
  <c r="K813" i="3"/>
  <c r="K812" i="3"/>
  <c r="K811" i="3"/>
  <c r="K810" i="3"/>
  <c r="K809" i="3"/>
  <c r="K808" i="3"/>
  <c r="K807" i="3"/>
  <c r="K806" i="3"/>
  <c r="K805" i="3"/>
  <c r="K804" i="3"/>
  <c r="K803" i="3"/>
  <c r="K802" i="3"/>
  <c r="K801" i="3"/>
  <c r="K800" i="3"/>
  <c r="K799" i="3"/>
  <c r="K798" i="3"/>
  <c r="K797" i="3"/>
  <c r="K796" i="3"/>
  <c r="K795" i="3"/>
  <c r="K794" i="3"/>
  <c r="K793" i="3"/>
  <c r="K792" i="3"/>
  <c r="K791" i="3"/>
  <c r="K790" i="3"/>
  <c r="K789" i="3"/>
  <c r="K788" i="3"/>
  <c r="K787" i="3"/>
  <c r="K786" i="3"/>
  <c r="K785" i="3"/>
  <c r="K784" i="3"/>
  <c r="K783" i="3"/>
  <c r="K782" i="3"/>
  <c r="K781" i="3"/>
  <c r="K780" i="3"/>
  <c r="K779" i="3"/>
  <c r="K778" i="3"/>
  <c r="K777" i="3"/>
  <c r="K776" i="3"/>
  <c r="K775" i="3"/>
  <c r="K774" i="3"/>
  <c r="K773" i="3"/>
  <c r="K772" i="3"/>
  <c r="K771" i="3"/>
  <c r="K770" i="3"/>
  <c r="K769" i="3"/>
  <c r="K768" i="3"/>
  <c r="K767" i="3"/>
  <c r="K766" i="3"/>
  <c r="K765" i="3"/>
  <c r="K764" i="3"/>
  <c r="K763" i="3"/>
  <c r="K762" i="3"/>
  <c r="K761" i="3"/>
  <c r="K760" i="3"/>
  <c r="K759" i="3"/>
  <c r="K758" i="3"/>
  <c r="K757" i="3"/>
  <c r="K756" i="3"/>
  <c r="K755" i="3"/>
  <c r="K754" i="3"/>
  <c r="K753" i="3"/>
  <c r="K752" i="3"/>
  <c r="K751" i="3"/>
  <c r="K750" i="3"/>
  <c r="K749" i="3"/>
  <c r="K748" i="3"/>
  <c r="K747" i="3"/>
  <c r="K746" i="3"/>
  <c r="K745" i="3"/>
  <c r="K744" i="3"/>
  <c r="K743" i="3"/>
  <c r="K742" i="3"/>
  <c r="K741" i="3"/>
  <c r="K740" i="3"/>
  <c r="K739" i="3"/>
  <c r="K738" i="3"/>
  <c r="K737" i="3"/>
  <c r="K736" i="3"/>
  <c r="K735" i="3"/>
  <c r="K734" i="3"/>
  <c r="K733" i="3"/>
  <c r="K732" i="3"/>
  <c r="K731" i="3"/>
  <c r="K730" i="3"/>
  <c r="K729" i="3"/>
  <c r="K728" i="3"/>
  <c r="K727" i="3"/>
  <c r="K726" i="3"/>
  <c r="K725" i="3"/>
  <c r="K724" i="3"/>
  <c r="K723" i="3"/>
  <c r="K722" i="3"/>
  <c r="K721" i="3"/>
  <c r="K720" i="3"/>
  <c r="K719" i="3"/>
  <c r="K718" i="3"/>
  <c r="K717" i="3"/>
  <c r="K716" i="3"/>
  <c r="K715" i="3"/>
  <c r="K714" i="3"/>
  <c r="K713" i="3"/>
  <c r="K712" i="3"/>
  <c r="K711" i="3"/>
  <c r="K710" i="3"/>
  <c r="K709" i="3"/>
  <c r="K708" i="3"/>
  <c r="K707" i="3"/>
  <c r="K706" i="3"/>
  <c r="K705" i="3"/>
  <c r="K704" i="3"/>
  <c r="K703" i="3"/>
  <c r="K702" i="3"/>
  <c r="K701" i="3"/>
  <c r="K700" i="3"/>
  <c r="K699" i="3"/>
  <c r="K698" i="3"/>
  <c r="K697" i="3"/>
  <c r="K696" i="3"/>
  <c r="K695" i="3"/>
  <c r="K694" i="3"/>
  <c r="K693" i="3"/>
  <c r="K692" i="3"/>
  <c r="K691" i="3"/>
  <c r="K690" i="3"/>
  <c r="K689" i="3"/>
  <c r="K688" i="3"/>
  <c r="K687" i="3"/>
  <c r="K686" i="3"/>
  <c r="K685" i="3"/>
  <c r="K684" i="3"/>
  <c r="K683" i="3"/>
  <c r="K682" i="3"/>
  <c r="K681" i="3"/>
  <c r="K680" i="3"/>
  <c r="K679" i="3"/>
  <c r="K678" i="3"/>
  <c r="K677" i="3"/>
  <c r="K676" i="3"/>
  <c r="K675" i="3"/>
  <c r="K674" i="3"/>
  <c r="K673" i="3"/>
  <c r="K672" i="3"/>
  <c r="K671" i="3"/>
  <c r="K670" i="3"/>
  <c r="K669" i="3"/>
  <c r="K668" i="3"/>
  <c r="K667" i="3"/>
  <c r="K666" i="3"/>
  <c r="K665" i="3"/>
  <c r="K664" i="3"/>
  <c r="K663" i="3"/>
  <c r="K662" i="3"/>
  <c r="K661" i="3"/>
  <c r="K660" i="3"/>
  <c r="K659" i="3"/>
  <c r="K658" i="3"/>
  <c r="K657" i="3"/>
  <c r="K656" i="3"/>
  <c r="K655" i="3"/>
  <c r="K654" i="3"/>
  <c r="K653" i="3"/>
  <c r="K652" i="3"/>
  <c r="K651" i="3"/>
  <c r="K650" i="3"/>
  <c r="K649" i="3"/>
  <c r="K648" i="3"/>
  <c r="K647" i="3"/>
  <c r="K646" i="3"/>
  <c r="K645" i="3"/>
  <c r="K644" i="3"/>
  <c r="K643" i="3"/>
  <c r="K642" i="3"/>
  <c r="K641" i="3"/>
  <c r="K640" i="3"/>
  <c r="K639" i="3"/>
  <c r="K638" i="3"/>
  <c r="K637" i="3"/>
  <c r="K636" i="3"/>
  <c r="K635" i="3"/>
  <c r="K634" i="3"/>
  <c r="K633" i="3"/>
  <c r="K632" i="3"/>
  <c r="K631" i="3"/>
  <c r="K630" i="3"/>
  <c r="K629" i="3"/>
  <c r="K628" i="3"/>
  <c r="K627" i="3"/>
  <c r="K626" i="3"/>
  <c r="K625" i="3"/>
  <c r="K624" i="3"/>
  <c r="K623" i="3"/>
  <c r="K622" i="3"/>
  <c r="K621" i="3"/>
  <c r="K620" i="3"/>
  <c r="K619" i="3"/>
  <c r="K618" i="3"/>
  <c r="K617" i="3"/>
  <c r="K616" i="3"/>
  <c r="K615" i="3"/>
  <c r="K614" i="3"/>
  <c r="K613" i="3"/>
  <c r="K612" i="3"/>
  <c r="K611" i="3"/>
  <c r="K610" i="3"/>
  <c r="K609" i="3"/>
  <c r="K608" i="3"/>
  <c r="K607" i="3"/>
  <c r="K606" i="3"/>
  <c r="K605" i="3"/>
  <c r="K604" i="3"/>
  <c r="K603" i="3"/>
  <c r="K602" i="3"/>
  <c r="K601" i="3"/>
  <c r="K600" i="3"/>
  <c r="K599" i="3"/>
  <c r="K598" i="3"/>
  <c r="K597" i="3"/>
  <c r="K596" i="3"/>
  <c r="K595" i="3"/>
  <c r="K594" i="3"/>
  <c r="K593" i="3"/>
  <c r="K592" i="3"/>
  <c r="K591" i="3"/>
  <c r="K590" i="3"/>
  <c r="K589" i="3"/>
  <c r="K588" i="3"/>
  <c r="K587" i="3"/>
  <c r="K586" i="3"/>
  <c r="K585" i="3"/>
  <c r="K584" i="3"/>
  <c r="K583" i="3"/>
  <c r="K582" i="3"/>
  <c r="K581" i="3"/>
  <c r="K580" i="3"/>
  <c r="K579" i="3"/>
  <c r="K578" i="3"/>
  <c r="K577" i="3"/>
  <c r="K576" i="3"/>
  <c r="K575" i="3"/>
  <c r="K574" i="3"/>
  <c r="K573" i="3"/>
  <c r="K572" i="3"/>
  <c r="K571" i="3"/>
  <c r="K570" i="3"/>
  <c r="K569" i="3"/>
  <c r="K568" i="3"/>
  <c r="K567" i="3"/>
  <c r="K566" i="3"/>
  <c r="K565" i="3"/>
  <c r="K564" i="3"/>
  <c r="K563" i="3"/>
  <c r="K562" i="3"/>
  <c r="K561" i="3"/>
  <c r="K560" i="3"/>
  <c r="K559" i="3"/>
  <c r="K558" i="3"/>
  <c r="K557" i="3"/>
  <c r="K556" i="3"/>
  <c r="K555" i="3"/>
  <c r="K554" i="3"/>
  <c r="K553" i="3"/>
  <c r="K552" i="3"/>
  <c r="K551" i="3"/>
  <c r="K550" i="3"/>
  <c r="K549" i="3"/>
  <c r="K548" i="3"/>
  <c r="K547" i="3"/>
  <c r="K546" i="3"/>
  <c r="K545" i="3"/>
  <c r="K544" i="3"/>
  <c r="K543" i="3"/>
  <c r="K542" i="3"/>
  <c r="K541" i="3"/>
  <c r="K540" i="3"/>
  <c r="K539" i="3"/>
  <c r="K538" i="3"/>
  <c r="K537" i="3"/>
  <c r="K536" i="3"/>
  <c r="K535" i="3"/>
  <c r="K534" i="3"/>
  <c r="K533" i="3"/>
  <c r="K532" i="3"/>
  <c r="K531" i="3"/>
  <c r="K530" i="3"/>
  <c r="K529" i="3"/>
  <c r="K528" i="3"/>
  <c r="K527" i="3"/>
  <c r="K526" i="3"/>
  <c r="K525" i="3"/>
  <c r="K524" i="3"/>
  <c r="K523" i="3"/>
  <c r="K522" i="3"/>
  <c r="K521" i="3"/>
  <c r="K520" i="3"/>
  <c r="K519" i="3"/>
  <c r="K518" i="3"/>
  <c r="K517" i="3"/>
  <c r="K516" i="3"/>
  <c r="K515" i="3"/>
  <c r="K514" i="3"/>
  <c r="K513" i="3"/>
  <c r="K512" i="3"/>
  <c r="K511" i="3"/>
  <c r="K510" i="3"/>
  <c r="K509" i="3"/>
  <c r="K508" i="3"/>
  <c r="K507" i="3"/>
  <c r="K506" i="3"/>
  <c r="K505" i="3"/>
  <c r="K504" i="3"/>
  <c r="K503" i="3"/>
  <c r="K502" i="3"/>
  <c r="K501" i="3"/>
  <c r="K500" i="3"/>
  <c r="K499" i="3"/>
  <c r="K498" i="3"/>
  <c r="K497" i="3"/>
  <c r="K496" i="3"/>
  <c r="K495" i="3"/>
  <c r="K494" i="3"/>
  <c r="K493" i="3"/>
  <c r="K492" i="3"/>
  <c r="K491" i="3"/>
  <c r="K490" i="3"/>
  <c r="K489" i="3"/>
  <c r="K488" i="3"/>
  <c r="K487" i="3"/>
  <c r="K486" i="3"/>
  <c r="K485" i="3"/>
  <c r="K484" i="3"/>
  <c r="K483" i="3"/>
  <c r="K482" i="3"/>
  <c r="K481" i="3"/>
  <c r="K480" i="3"/>
  <c r="K479" i="3"/>
  <c r="K478" i="3"/>
  <c r="K477" i="3"/>
  <c r="K476" i="3"/>
  <c r="K475" i="3"/>
  <c r="K474" i="3"/>
  <c r="K473" i="3"/>
  <c r="K472" i="3"/>
  <c r="K471" i="3"/>
  <c r="K470" i="3"/>
  <c r="K469" i="3"/>
  <c r="K468" i="3"/>
  <c r="K467" i="3"/>
  <c r="K466" i="3"/>
  <c r="K465" i="3"/>
  <c r="K464" i="3"/>
  <c r="K463" i="3"/>
  <c r="K462" i="3"/>
  <c r="K461" i="3"/>
  <c r="K460" i="3"/>
  <c r="K459" i="3"/>
  <c r="K458" i="3"/>
  <c r="K457" i="3"/>
  <c r="K456" i="3"/>
  <c r="K455" i="3"/>
  <c r="K454" i="3"/>
  <c r="K453" i="3"/>
  <c r="K452" i="3"/>
  <c r="K451" i="3"/>
  <c r="K450" i="3"/>
  <c r="K449" i="3"/>
  <c r="K448" i="3"/>
  <c r="K447" i="3"/>
  <c r="K446" i="3"/>
  <c r="K445" i="3"/>
  <c r="K444" i="3"/>
  <c r="K443" i="3"/>
  <c r="K442" i="3"/>
  <c r="K441" i="3"/>
  <c r="K440" i="3"/>
  <c r="K439" i="3"/>
  <c r="K438" i="3"/>
  <c r="K437" i="3"/>
  <c r="K436" i="3"/>
  <c r="K435" i="3"/>
  <c r="K434" i="3"/>
  <c r="K433" i="3"/>
  <c r="K432" i="3"/>
  <c r="K431" i="3"/>
  <c r="K430" i="3"/>
  <c r="K429" i="3"/>
  <c r="K428" i="3"/>
  <c r="K427" i="3"/>
  <c r="K426" i="3"/>
  <c r="K425" i="3"/>
  <c r="K424" i="3"/>
  <c r="K423" i="3"/>
  <c r="K422" i="3"/>
  <c r="K421" i="3"/>
  <c r="K420" i="3"/>
  <c r="K419" i="3"/>
  <c r="K418" i="3"/>
  <c r="K417" i="3"/>
  <c r="K416" i="3"/>
  <c r="K415" i="3"/>
  <c r="K414" i="3"/>
  <c r="K413" i="3"/>
  <c r="K412" i="3"/>
  <c r="K411" i="3"/>
  <c r="K410" i="3"/>
  <c r="K409" i="3"/>
  <c r="K408" i="3"/>
  <c r="K407" i="3"/>
  <c r="K406" i="3"/>
  <c r="K405" i="3"/>
  <c r="K404" i="3"/>
  <c r="K403" i="3"/>
  <c r="K402" i="3"/>
  <c r="K401" i="3"/>
  <c r="K400" i="3"/>
  <c r="K399" i="3"/>
  <c r="K398" i="3"/>
  <c r="K397" i="3"/>
  <c r="K396" i="3"/>
  <c r="K395" i="3"/>
  <c r="K394" i="3"/>
  <c r="K393" i="3"/>
  <c r="K392" i="3"/>
  <c r="K391" i="3"/>
  <c r="K390" i="3"/>
  <c r="K389" i="3"/>
  <c r="K388" i="3"/>
  <c r="K387" i="3"/>
  <c r="K386" i="3"/>
  <c r="K385" i="3"/>
  <c r="K384" i="3"/>
  <c r="K383" i="3"/>
  <c r="K382" i="3"/>
  <c r="K381" i="3"/>
  <c r="K380" i="3"/>
  <c r="K379" i="3"/>
  <c r="K378" i="3"/>
  <c r="K377" i="3"/>
  <c r="K376" i="3"/>
  <c r="K375" i="3"/>
  <c r="K374" i="3"/>
  <c r="K373" i="3"/>
  <c r="K372" i="3"/>
  <c r="K371" i="3"/>
  <c r="K370" i="3"/>
  <c r="K369" i="3"/>
  <c r="K368" i="3"/>
  <c r="K367" i="3"/>
  <c r="K366" i="3"/>
  <c r="K365" i="3"/>
  <c r="K364" i="3"/>
  <c r="K363" i="3"/>
  <c r="K362" i="3"/>
  <c r="K361" i="3"/>
  <c r="K360" i="3"/>
  <c r="K359" i="3"/>
  <c r="K358" i="3"/>
  <c r="K357" i="3"/>
  <c r="K356" i="3"/>
  <c r="K355" i="3"/>
  <c r="K354" i="3"/>
  <c r="K353" i="3"/>
  <c r="K352" i="3"/>
  <c r="K351" i="3"/>
  <c r="K350" i="3"/>
  <c r="K349" i="3"/>
  <c r="K348" i="3"/>
  <c r="K347" i="3"/>
  <c r="K346" i="3"/>
  <c r="K345" i="3"/>
  <c r="K344" i="3"/>
  <c r="K343" i="3"/>
  <c r="K342" i="3"/>
  <c r="K341" i="3"/>
  <c r="K340" i="3"/>
  <c r="K339" i="3"/>
  <c r="K338" i="3"/>
  <c r="K337" i="3"/>
  <c r="K336" i="3"/>
  <c r="K335" i="3"/>
  <c r="K334" i="3"/>
  <c r="K333" i="3"/>
  <c r="K332" i="3"/>
  <c r="K331" i="3"/>
  <c r="K330" i="3"/>
  <c r="K329" i="3"/>
  <c r="K328" i="3"/>
  <c r="K327" i="3"/>
  <c r="K326" i="3"/>
  <c r="K325" i="3"/>
  <c r="K324" i="3"/>
  <c r="K323" i="3"/>
  <c r="K322" i="3"/>
  <c r="K321" i="3"/>
  <c r="K320" i="3"/>
  <c r="K319" i="3"/>
  <c r="K318" i="3"/>
  <c r="K317" i="3"/>
  <c r="K316" i="3"/>
  <c r="K315" i="3"/>
  <c r="K314" i="3"/>
  <c r="K313" i="3"/>
  <c r="K312" i="3"/>
  <c r="K311" i="3"/>
  <c r="K310" i="3"/>
  <c r="K309" i="3"/>
  <c r="K308" i="3"/>
  <c r="K307" i="3"/>
  <c r="K306" i="3"/>
  <c r="K305" i="3"/>
  <c r="K304" i="3"/>
  <c r="K303" i="3"/>
  <c r="K302" i="3"/>
  <c r="K301" i="3"/>
  <c r="K300" i="3"/>
  <c r="K299" i="3"/>
  <c r="K298" i="3"/>
  <c r="K297" i="3"/>
  <c r="K296" i="3"/>
  <c r="K295" i="3"/>
  <c r="K294" i="3"/>
  <c r="K293" i="3"/>
  <c r="K292" i="3"/>
  <c r="K291" i="3"/>
  <c r="K290" i="3"/>
  <c r="K289" i="3"/>
  <c r="K288" i="3"/>
  <c r="K287" i="3"/>
  <c r="K286" i="3"/>
  <c r="K285" i="3"/>
  <c r="K284" i="3"/>
  <c r="K283" i="3"/>
  <c r="K282" i="3"/>
  <c r="K281" i="3"/>
  <c r="K280" i="3"/>
  <c r="K279" i="3"/>
  <c r="K278" i="3"/>
  <c r="K277" i="3"/>
  <c r="K276" i="3"/>
  <c r="K275" i="3"/>
  <c r="K274" i="3"/>
  <c r="K273" i="3"/>
  <c r="K272" i="3"/>
  <c r="K271" i="3"/>
  <c r="K270" i="3"/>
  <c r="K269" i="3"/>
  <c r="K268" i="3"/>
  <c r="K267" i="3"/>
  <c r="K266" i="3"/>
  <c r="K265" i="3"/>
  <c r="K264" i="3"/>
  <c r="K263" i="3"/>
  <c r="K262" i="3"/>
  <c r="K261" i="3"/>
  <c r="K260" i="3"/>
  <c r="K259" i="3"/>
  <c r="K258" i="3"/>
  <c r="K257" i="3"/>
  <c r="K256" i="3"/>
  <c r="K255" i="3"/>
  <c r="K254" i="3"/>
  <c r="K253" i="3"/>
  <c r="K252" i="3"/>
  <c r="K251" i="3"/>
  <c r="K250" i="3"/>
  <c r="K249" i="3"/>
  <c r="K248" i="3"/>
  <c r="K247" i="3"/>
  <c r="K246" i="3"/>
  <c r="K245" i="3"/>
  <c r="K244" i="3"/>
  <c r="K243" i="3"/>
  <c r="K242" i="3"/>
  <c r="K241" i="3"/>
  <c r="K240" i="3"/>
  <c r="K239" i="3"/>
  <c r="K238" i="3"/>
  <c r="K237" i="3"/>
  <c r="K236" i="3"/>
  <c r="K235" i="3"/>
  <c r="K234" i="3"/>
  <c r="K233" i="3"/>
  <c r="K232" i="3"/>
  <c r="K231" i="3"/>
  <c r="K230" i="3"/>
  <c r="K229" i="3"/>
  <c r="K228" i="3"/>
  <c r="K227" i="3"/>
  <c r="K226" i="3"/>
  <c r="K225" i="3"/>
  <c r="K224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9" i="3"/>
  <c r="K198" i="3"/>
  <c r="K197" i="3"/>
  <c r="K196" i="3"/>
  <c r="K195" i="3"/>
  <c r="K194" i="3"/>
  <c r="K193" i="3"/>
  <c r="K192" i="3"/>
  <c r="K191" i="3"/>
  <c r="K190" i="3"/>
  <c r="K189" i="3"/>
  <c r="K188" i="3"/>
  <c r="K187" i="3"/>
  <c r="K186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2" i="3"/>
  <c r="K3" i="3"/>
  <c r="K4" i="3"/>
  <c r="K5" i="3"/>
  <c r="K6" i="3"/>
  <c r="K7" i="3"/>
  <c r="K8" i="3"/>
  <c r="K9" i="3"/>
  <c r="K10" i="3"/>
  <c r="K11" i="3"/>
  <c r="K12" i="3"/>
  <c r="K14" i="3"/>
  <c r="K15" i="3"/>
  <c r="K16" i="3"/>
  <c r="K17" i="3"/>
  <c r="K18" i="3"/>
  <c r="K19" i="3"/>
  <c r="K20" i="3"/>
  <c r="K21" i="3"/>
  <c r="K22" i="3"/>
  <c r="K23" i="3"/>
  <c r="K1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tc={63957DA6-7D21-48C0-B6D6-8857C60847FD}</author>
  </authors>
  <commentList>
    <comment ref="K1" authorId="0" shapeId="0" xr:uid="{63957DA6-7D21-48C0-B6D6-8857C60847F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Passengers per bus </t>
      </text>
    </comment>
  </commentList>
</comments>
</file>

<file path=xl/sharedStrings.xml><?xml version="1.0" encoding="utf-8"?>
<sst xmlns="http://schemas.openxmlformats.org/spreadsheetml/2006/main" count="2595" uniqueCount="49">
  <si>
    <t xml:space="preserve">Academy </t>
  </si>
  <si>
    <t xml:space="preserve">Greyhound </t>
  </si>
  <si>
    <t>Martz</t>
  </si>
  <si>
    <t>NJ Transit</t>
  </si>
  <si>
    <t xml:space="preserve">Lakeland </t>
  </si>
  <si>
    <t>Trailways</t>
  </si>
  <si>
    <t>Coach USA</t>
  </si>
  <si>
    <t xml:space="preserve">TransBridge </t>
  </si>
  <si>
    <t>Peter Pan/Bonanza</t>
  </si>
  <si>
    <t>HCEE - Community</t>
  </si>
  <si>
    <t>Week</t>
  </si>
  <si>
    <t>CarrierID</t>
  </si>
  <si>
    <t>CarrierName</t>
  </si>
  <si>
    <t>Carrier</t>
  </si>
  <si>
    <t>Departures_Current</t>
  </si>
  <si>
    <t>Departures_Previous</t>
  </si>
  <si>
    <t>Passengers_Current</t>
  </si>
  <si>
    <t>PPB</t>
  </si>
  <si>
    <t>Departures_2019</t>
  </si>
  <si>
    <t>Passengers_2019</t>
  </si>
  <si>
    <t>Description</t>
  </si>
  <si>
    <t>Fall 2019 Typical Weekday</t>
  </si>
  <si>
    <t>TotalDepartures</t>
  </si>
  <si>
    <t>TotalPassengers</t>
  </si>
  <si>
    <t>DeCamp</t>
  </si>
  <si>
    <t xml:space="preserve">Trans-Bridge </t>
  </si>
  <si>
    <t>October 10-14</t>
  </si>
  <si>
    <t xml:space="preserve">BUS </t>
  </si>
  <si>
    <t>DEPARTURES</t>
  </si>
  <si>
    <t>October 24-28</t>
  </si>
  <si>
    <t>d re</t>
  </si>
  <si>
    <t>Year</t>
  </si>
  <si>
    <t>Start Date</t>
  </si>
  <si>
    <t>End Date</t>
  </si>
  <si>
    <t>Row Labels</t>
  </si>
  <si>
    <t>Grand Total</t>
  </si>
  <si>
    <t>(All)</t>
  </si>
  <si>
    <t>Sum of TotalDepartures</t>
  </si>
  <si>
    <t>Sum of TotalPassengers</t>
  </si>
  <si>
    <t>Total</t>
  </si>
  <si>
    <t>Start_Date</t>
  </si>
  <si>
    <t>End_Date</t>
  </si>
  <si>
    <t>Start _Date</t>
  </si>
  <si>
    <t>End _Date</t>
  </si>
  <si>
    <t>Other</t>
  </si>
  <si>
    <t>Carrier_Category</t>
  </si>
  <si>
    <t>Intercity</t>
  </si>
  <si>
    <t>Commuter</t>
  </si>
  <si>
    <t>NJT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</si>
</sst>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[$-F800]dddd\,\ mmmm\ dd\,\ yyyy"/>
    <numFmt numFmtId="166" formatCode="[$-409]dd\-mmm\-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0" borderId="3" xfId="0" applyBorder="1"/>
    <xf numFmtId="164" fontId="0" fillId="0" borderId="0" xfId="1" applyNumberFormat="1" applyFont="1"/>
    <xf numFmtId="164" fontId="2" fillId="2" borderId="1" xfId="1" applyNumberFormat="1" applyFont="1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 vertical="center" wrapText="1"/>
    </xf>
    <xf numFmtId="166" fontId="0" fillId="0" borderId="0" xfId="0" applyNumberFormat="1"/>
    <xf numFmtId="0" fontId="2" fillId="2" borderId="1" xfId="0" applyFont="1" applyFill="1" applyBorder="1" applyAlignment="1">
      <alignment horizontal="right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" fontId="0" fillId="0" borderId="0" xfId="0" applyNumberFormat="1"/>
    <xf numFmtId="49" fontId="0" fillId="0" borderId="0" xfId="0" applyNumberFormat="1"/>
    <xf numFmtId="1" fontId="0" fillId="0" borderId="0" xfId="1" applyNumberFormat="1" applyFont="1"/>
    <xf numFmtId="1" fontId="0" fillId="3" borderId="1" xfId="0" applyNumberFormat="1" applyFill="1" applyBorder="1" applyAlignment="1">
      <alignment horizontal="center"/>
    </xf>
    <xf numFmtId="2" fontId="0" fillId="0" borderId="3" xfId="1" applyNumberFormat="1" applyFont="1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mine Akgul" id="{6B7CFB0F-2783-49D9-B90B-52922CB86AD3}" userId="82ee045ef63ef7be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ine Akgul" refreshedDate="45937.761571180556" createdVersion="8" refreshedVersion="8" minRefreshableVersion="3" recordCount="239" xr:uid="{735C6501-3299-4CA5-A8E4-A82A598F71ED}">
  <cacheSource type="worksheet">
    <worksheetSource ref="A1:E240" sheet="Totals_Terminal"/>
  </cacheSource>
  <cacheFields count="5">
    <cacheField name="Year" numFmtId="0">
      <sharedItems containsSemiMixedTypes="0" containsString="0" containsNumber="1" containsInteger="1" minValue="2020" maxValue="2025" count="6">
        <n v="2020"/>
        <n v="2021"/>
        <n v="2022"/>
        <n v="2023"/>
        <n v="2024"/>
        <n v="2025"/>
      </sharedItems>
    </cacheField>
    <cacheField name="Start Date" numFmtId="166">
      <sharedItems containsSemiMixedTypes="0" containsNonDate="0" containsDate="1" containsString="0" minDate="2020-11-30T00:00:00" maxDate="2025-07-29T00:00:00" count="239">
        <d v="2020-11-30T00:00:00"/>
        <d v="2020-12-07T00:00:00"/>
        <d v="2020-12-14T00:00:00"/>
        <d v="2020-12-21T00:00:00"/>
        <d v="2020-12-28T00:00:00"/>
        <d v="2021-01-04T00:00:00"/>
        <d v="2021-01-11T00:00:00"/>
        <d v="2021-01-18T00:00:00"/>
        <d v="2021-01-25T00:00:00"/>
        <d v="2021-02-01T00:00:00"/>
        <d v="2021-02-08T00:00:00"/>
        <d v="2021-02-15T00:00:00"/>
        <d v="2021-02-22T00:00:00"/>
        <d v="2021-03-02T00:00:00"/>
        <d v="2021-03-08T00:00:00"/>
        <d v="2021-03-15T00:00:00"/>
        <d v="2021-03-22T00:00:00"/>
        <d v="2021-03-29T00:00:00"/>
        <d v="2021-04-05T00:00:00"/>
        <d v="2021-04-12T00:00:00"/>
        <d v="2021-04-19T00:00:00"/>
        <d v="2021-04-26T00:00:00"/>
        <d v="2021-05-03T00:00:00"/>
        <d v="2021-05-10T00:00:00"/>
        <d v="2021-05-17T00:00:00"/>
        <d v="2021-05-24T00:00:00"/>
        <d v="2021-05-31T00:00:00"/>
        <d v="2021-06-07T00:00:00"/>
        <d v="2021-06-14T00:00:00"/>
        <d v="2021-06-21T00:00:00"/>
        <d v="2021-06-28T00:00:00"/>
        <d v="2021-07-05T00:00:00"/>
        <d v="2021-07-12T00:00:00"/>
        <d v="2021-07-19T00:00:00"/>
        <d v="2021-07-26T00:00:00"/>
        <d v="2021-08-02T00:00:00"/>
        <d v="2021-08-09T00:00:00"/>
        <d v="2021-08-16T00:00:00"/>
        <d v="2021-08-23T00:00:00"/>
        <d v="2021-08-30T00:00:00"/>
        <d v="2021-09-06T00:00:00"/>
        <d v="2021-09-13T00:00:00"/>
        <d v="2021-09-20T00:00:00"/>
        <d v="2021-09-27T00:00:00"/>
        <d v="2021-10-04T00:00:00"/>
        <d v="2021-10-11T00:00:00"/>
        <d v="2021-10-18T00:00:00"/>
        <d v="2021-10-25T00:00:00"/>
        <d v="2021-11-01T00:00:00"/>
        <d v="2021-11-08T00:00:00"/>
        <d v="2021-11-15T00:00:00"/>
        <d v="2021-11-29T00:00:00"/>
        <d v="2021-12-06T00:00:00"/>
        <d v="2021-12-13T00:00:00"/>
        <d v="2021-12-20T00:00:00"/>
        <d v="2022-01-03T00:00:00"/>
        <d v="2022-01-10T00:00:00"/>
        <d v="2022-01-17T00:00:00"/>
        <d v="2022-01-24T00:00:00"/>
        <d v="2022-01-31T00:00:00"/>
        <d v="2022-02-07T00:00:00"/>
        <d v="2022-02-14T00:00:00"/>
        <d v="2022-02-21T00:00:00"/>
        <d v="2022-02-28T00:00:00"/>
        <d v="2022-03-07T00:00:00"/>
        <d v="2022-03-14T00:00:00"/>
        <d v="2022-03-21T00:00:00"/>
        <d v="2022-03-28T00:00:00"/>
        <d v="2022-04-04T00:00:00"/>
        <d v="2022-04-11T00:00:00"/>
        <d v="2022-04-18T00:00:00"/>
        <d v="2022-04-25T00:00:00"/>
        <d v="2022-05-02T00:00:00"/>
        <d v="2022-05-09T00:00:00"/>
        <d v="2022-05-16T00:00:00"/>
        <d v="2022-05-23T00:00:00"/>
        <d v="2022-05-30T00:00:00"/>
        <d v="2022-06-06T00:00:00"/>
        <d v="2022-06-13T00:00:00"/>
        <d v="2022-06-20T00:00:00"/>
        <d v="2022-06-27T00:00:00"/>
        <d v="2022-07-04T00:00:00"/>
        <d v="2022-07-11T00:00:00"/>
        <d v="2022-07-18T00:00:00"/>
        <d v="2022-07-25T00:00:00"/>
        <d v="2022-08-01T00:00:00"/>
        <d v="2022-08-08T00:00:00"/>
        <d v="2022-08-15T00:00:00"/>
        <d v="2022-08-22T00:00:00"/>
        <d v="2022-08-29T00:00:00"/>
        <d v="2022-09-05T00:00:00"/>
        <d v="2022-09-12T00:00:00"/>
        <d v="2022-09-19T00:00:00"/>
        <d v="2022-09-26T00:00:00"/>
        <d v="2022-10-03T00:00:00"/>
        <d v="2022-10-10T00:00:00"/>
        <d v="2022-10-17T00:00:00"/>
        <d v="2022-10-24T00:00:00"/>
        <d v="2022-10-31T00:00:00"/>
        <d v="2022-11-07T00:00:00"/>
        <d v="2022-11-14T00:00:00"/>
        <d v="2022-11-28T00:00:00"/>
        <d v="2022-12-05T00:00:00"/>
        <d v="2022-12-12T00:00:00"/>
        <d v="2022-12-19T00:00:00"/>
        <d v="2022-12-26T00:00:00"/>
        <d v="2023-01-02T00:00:00"/>
        <d v="2023-01-09T00:00:00"/>
        <d v="2023-01-16T00:00:00"/>
        <d v="2023-01-23T00:00:00"/>
        <d v="2023-01-30T00:00:00"/>
        <d v="2023-02-06T00:00:00"/>
        <d v="2023-02-13T00:00:00"/>
        <d v="2023-02-20T00:00:00"/>
        <d v="2023-02-27T00:00:00"/>
        <d v="2023-03-06T00:00:00"/>
        <d v="2023-03-13T00:00:00"/>
        <d v="2023-03-20T00:00:00"/>
        <d v="2023-03-27T00:00:00"/>
        <d v="2023-04-03T00:00:00"/>
        <d v="2023-04-10T00:00:00"/>
        <d v="2023-04-17T00:00:00"/>
        <d v="2023-04-24T00:00:00"/>
        <d v="2023-05-01T00:00:00"/>
        <d v="2023-05-08T00:00:00"/>
        <d v="2023-05-15T00:00:00"/>
        <d v="2023-05-22T00:00:00"/>
        <d v="2023-05-29T00:00:00"/>
        <d v="2023-06-05T00:00:00"/>
        <d v="2023-06-12T00:00:00"/>
        <d v="2023-06-19T00:00:00"/>
        <d v="2023-06-26T00:00:00"/>
        <d v="2023-07-03T00:00:00"/>
        <d v="2023-07-10T00:00:00"/>
        <d v="2023-07-17T00:00:00"/>
        <d v="2023-07-24T00:00:00"/>
        <d v="2023-07-31T00:00:00"/>
        <d v="2023-08-07T00:00:00"/>
        <d v="2023-08-14T00:00:00"/>
        <d v="2023-08-21T00:00:00"/>
        <d v="2023-08-28T00:00:00"/>
        <d v="2023-09-04T00:00:00"/>
        <d v="2023-09-11T00:00:00"/>
        <d v="2023-09-18T00:00:00"/>
        <d v="2023-09-25T00:00:00"/>
        <d v="2023-10-02T00:00:00"/>
        <d v="2023-10-09T00:00:00"/>
        <d v="2023-10-16T00:00:00"/>
        <d v="2023-10-23T00:00:00"/>
        <d v="2023-10-30T00:00:00"/>
        <d v="2023-11-06T00:00:00"/>
        <d v="2023-11-13T00:00:00"/>
        <d v="2023-11-20T00:00:00"/>
        <d v="2023-11-27T00:00:00"/>
        <d v="2023-12-04T00:00:00"/>
        <d v="2023-12-11T00:00:00"/>
        <d v="2023-12-18T00:00:00"/>
        <d v="2023-12-25T00:00:00"/>
        <d v="2024-01-01T00:00:00"/>
        <d v="2024-01-08T00:00:00"/>
        <d v="2024-01-15T00:00:00"/>
        <d v="2024-01-22T00:00:00"/>
        <d v="2024-01-29T00:00:00"/>
        <d v="2024-02-05T00:00:00"/>
        <d v="2024-02-12T00:00:00"/>
        <d v="2024-02-19T00:00:00"/>
        <d v="2024-02-26T00:00:00"/>
        <d v="2024-03-04T00:00:00"/>
        <d v="2024-03-11T00:00:00"/>
        <d v="2024-03-18T00:00:00"/>
        <d v="2024-03-25T00:00:00"/>
        <d v="2024-04-01T00:00:00"/>
        <d v="2024-04-08T00:00:00"/>
        <d v="2024-04-15T00:00:00"/>
        <d v="2024-04-22T00:00:00"/>
        <d v="2024-04-29T00:00:00"/>
        <d v="2024-05-06T00:00:00"/>
        <d v="2024-05-13T00:00:00"/>
        <d v="2024-05-20T00:00:00"/>
        <d v="2024-05-27T00:00:00"/>
        <d v="2024-06-03T00:00:00"/>
        <d v="2024-06-10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  <d v="2025-05-19T00:00:00"/>
        <d v="2025-05-26T00:00:00"/>
        <d v="2025-06-02T00:00:00"/>
        <d v="2025-06-09T00:00:00"/>
        <d v="2025-06-16T00:00:00"/>
        <d v="2025-06-23T00:00:00"/>
        <d v="2025-07-01T00:00:00"/>
        <d v="2025-07-07T00:00:00"/>
        <d v="2025-07-14T00:00:00"/>
        <d v="2025-07-21T00:00:00"/>
        <d v="2025-07-28T00:00:00"/>
      </sharedItems>
    </cacheField>
    <cacheField name="End Date" numFmtId="166">
      <sharedItems containsSemiMixedTypes="0" containsNonDate="0" containsDate="1" containsString="0" minDate="2020-12-06T00:00:00" maxDate="2025-12-10T00:00:00" count="220">
        <d v="2020-12-06T00:00:00"/>
        <d v="2020-12-11T00:00:00"/>
        <d v="2020-12-18T00:00:00"/>
        <d v="2020-12-25T00:00:00"/>
        <d v="2020-12-31T00:00:00"/>
        <d v="2021-01-08T00:00:00"/>
        <d v="2021-01-15T00:00:00"/>
        <d v="2021-01-22T00:00:00"/>
        <d v="2021-01-29T00:00:00"/>
        <d v="2021-02-05T00:00:00"/>
        <d v="2021-02-12T00:00:00"/>
        <d v="2021-02-19T00:00:00"/>
        <d v="2021-02-26T00:00:00"/>
        <d v="2021-03-05T00:00:00"/>
        <d v="2021-03-12T00:00:00"/>
        <d v="2021-03-19T00:00:00"/>
        <d v="2021-03-26T00:00:00"/>
        <d v="2021-04-02T00:00:00"/>
        <d v="2021-04-09T00:00:00"/>
        <d v="2021-04-16T00:00:00"/>
        <d v="2021-04-23T00:00:00"/>
        <d v="2021-04-30T00:00:00"/>
        <d v="2021-05-07T00:00:00"/>
        <d v="2021-05-14T00:00:00"/>
        <d v="2021-05-21T00:00:00"/>
        <d v="2021-05-28T00:00:00"/>
        <d v="2021-06-04T00:00:00"/>
        <d v="2021-06-11T00:00:00"/>
        <d v="2021-06-18T00:00:00"/>
        <d v="2021-06-25T00:00:00"/>
        <d v="2021-07-02T00:00:00"/>
        <d v="2021-07-09T00:00:00"/>
        <d v="2021-07-16T00:00:00"/>
        <d v="2021-07-23T00:00:00"/>
        <d v="2021-07-30T00:00:00"/>
        <d v="2021-08-06T00:00:00"/>
        <d v="2021-08-13T00:00:00"/>
        <d v="2021-08-20T00:00:00"/>
        <d v="2021-08-27T00:00:00"/>
        <d v="2021-09-03T00:00:00"/>
        <d v="2021-09-10T00:00:00"/>
        <d v="2021-09-17T00:00:00"/>
        <d v="2021-09-24T00:00:00"/>
        <d v="2021-10-01T00:00:00"/>
        <d v="2021-10-08T00:00:00"/>
        <d v="2021-10-15T00:00:00"/>
        <d v="2021-10-22T00:00:00"/>
        <d v="2021-10-29T00:00:00"/>
        <d v="2021-11-05T00:00:00"/>
        <d v="2021-11-12T00:00:00"/>
        <d v="2021-11-19T00:00:00"/>
        <d v="2021-12-03T00:00:00"/>
        <d v="2021-12-10T00:00:00"/>
        <d v="2021-12-17T00:00:00"/>
        <d v="2021-12-24T00:00:00"/>
        <d v="2022-01-07T00:00:00"/>
        <d v="2022-01-14T00:00:00"/>
        <d v="2022-01-21T00:00:00"/>
        <d v="2022-01-28T00:00:00"/>
        <d v="2022-02-04T00:00:00"/>
        <d v="2022-02-11T00:00:00"/>
        <d v="2022-02-18T00:00:00"/>
        <d v="2022-02-25T00:00:00"/>
        <d v="2022-03-04T00:00:00"/>
        <d v="2022-03-11T00:00:00"/>
        <d v="2022-03-18T00:00:00"/>
        <d v="2022-03-25T00:00:00"/>
        <d v="2022-04-01T00:00:00"/>
        <d v="2022-04-08T00:00:00"/>
        <d v="2022-04-15T00:00:00"/>
        <d v="2022-04-22T00:00:00"/>
        <d v="2022-04-29T00:00:00"/>
        <d v="2022-05-06T00:00:00"/>
        <d v="2022-05-13T00:00:00"/>
        <d v="2022-05-20T00:00:00"/>
        <d v="2022-05-27T00:00:00"/>
        <d v="2022-06-03T00:00:00"/>
        <d v="2022-06-10T00:00:00"/>
        <d v="2022-06-17T00:00:00"/>
        <d v="2022-06-24T00:00:00"/>
        <d v="2022-07-01T00:00:00"/>
        <d v="2022-07-08T00:00:00"/>
        <d v="2022-07-15T00:00:00"/>
        <d v="2022-07-22T00:00:00"/>
        <d v="2022-07-29T00:00:00"/>
        <d v="2022-08-05T00:00:00"/>
        <d v="2022-08-12T00:00:00"/>
        <d v="2022-08-19T00:00:00"/>
        <d v="2022-08-26T00:00:00"/>
        <d v="2022-09-02T00:00:00"/>
        <d v="2022-09-09T00:00:00"/>
        <d v="2022-09-16T00:00:00"/>
        <d v="2022-09-23T00:00:00"/>
        <d v="2022-09-30T00:00:00"/>
        <d v="2022-10-07T00:00:00"/>
        <d v="2022-10-14T00:00:00"/>
        <d v="2022-10-21T00:00:00"/>
        <d v="2022-10-28T00:00:00"/>
        <d v="2022-11-04T00:00:00"/>
        <d v="2022-11-11T00:00:00"/>
        <d v="2022-11-18T00:00:00"/>
        <d v="2022-12-02T00:00:00"/>
        <d v="2022-12-09T00:00:00"/>
        <d v="2022-12-16T00:00:00"/>
        <d v="2022-12-23T00:00:00"/>
        <d v="2022-12-30T00:00:00"/>
        <d v="2023-01-06T00:00:00"/>
        <d v="2023-01-13T00:00:00"/>
        <d v="2023-01-20T00:00:00"/>
        <d v="2023-01-27T00:00:00"/>
        <d v="2023-02-03T00:00:00"/>
        <d v="2023-02-10T00:00:00"/>
        <d v="2023-02-17T00:00:00"/>
        <d v="2023-02-24T00:00:00"/>
        <d v="2023-03-03T00:00:00"/>
        <d v="2023-03-10T00:00:00"/>
        <d v="2023-03-17T00:00:00"/>
        <d v="2023-03-24T00:00:00"/>
        <d v="2023-03-31T00:00:00"/>
        <d v="2023-04-07T00:00:00"/>
        <d v="2023-04-14T00:00:00"/>
        <d v="2023-04-21T00:00:00"/>
        <d v="2023-04-28T00:00:00"/>
        <d v="2023-05-05T00:00:00"/>
        <d v="2023-05-12T00:00:00"/>
        <d v="2023-05-19T00:00:00"/>
        <d v="2023-05-26T00:00:00"/>
        <d v="2023-06-02T00:00:00"/>
        <d v="2023-06-09T00:00:00"/>
        <d v="2023-06-16T00:00:00"/>
        <d v="2023-06-23T00:00:00"/>
        <d v="2023-06-30T00:00:00"/>
        <d v="2023-07-07T00:00:00"/>
        <d v="2023-07-14T00:00:00"/>
        <d v="2023-07-21T00:00:00"/>
        <d v="2023-07-28T00:00:00"/>
        <d v="2023-08-04T00:00:00"/>
        <d v="2023-08-11T00:00:00"/>
        <d v="2023-08-18T00:00:00"/>
        <d v="2023-08-25T00:00:00"/>
        <d v="2023-09-01T00:00:00"/>
        <d v="2023-12-08T00:00:00"/>
        <d v="2023-12-05T00:00:00"/>
        <d v="2023-12-02T00:00:00"/>
        <d v="2023-12-09T00:00:00"/>
        <d v="2023-12-06T00:00:00"/>
        <d v="2023-12-03T00:00:00"/>
        <d v="2023-11-30T00:00:00"/>
        <d v="2023-12-07T00:00:00"/>
        <d v="2023-11-03T00:00:00"/>
        <d v="2023-12-01T00:00:00"/>
        <d v="2023-12-29T00:00:00"/>
        <d v="2024-01-05T00:00:00"/>
        <d v="2024-01-12T00:00:00"/>
        <d v="2024-01-19T00:00:00"/>
        <d v="2024-01-26T00:00:00"/>
        <d v="2024-02-02T00:00:00"/>
        <d v="2024-12-07T00:00:00"/>
        <d v="2024-12-04T00:00:00"/>
        <d v="2024-12-01T00:00:00"/>
        <d v="2024-03-01T00:00:00"/>
        <d v="2024-12-08T00:00:00"/>
        <d v="2024-12-05T00:00:00"/>
        <d v="2024-04-05T00:00:00"/>
        <d v="2024-04-12T00:00:00"/>
        <d v="2024-04-19T00:00:00"/>
        <d v="2024-04-26T00:00:00"/>
        <d v="2024-05-03T00:00:00"/>
        <d v="2024-05-10T00:00:00"/>
        <d v="2024-05-17T00:00:00"/>
        <d v="2024-05-24T00:00:00"/>
        <d v="2024-05-31T00:00:00"/>
        <d v="2024-06-07T00:00:00"/>
        <d v="2024-06-14T00:00:00"/>
        <d v="2024-06-28T00:00:00"/>
        <d v="2024-07-05T00:00:00"/>
        <d v="2024-07-12T00:00:00"/>
        <d v="2024-07-19T00:00:00"/>
        <d v="2024-07-26T00:00:00"/>
        <d v="2024-08-02T00:00:00"/>
        <d v="2024-08-09T00:00:00"/>
        <d v="2024-08-16T00:00:00"/>
        <d v="2024-08-23T00:00:00"/>
        <d v="2024-08-30T00:00:00"/>
        <d v="2024-12-06T00:00:00"/>
        <d v="2024-12-03T00:00:00"/>
        <d v="2024-11-30T00:00:00"/>
        <d v="2024-10-04T00:00:00"/>
        <d v="2024-11-01T00:00:00"/>
        <d v="2024-12-09T00:00:00"/>
        <d v="2025-12-07T00:00:00"/>
        <d v="2025-12-04T00:00:00"/>
        <d v="2025-12-01T00:00:00"/>
        <d v="2025-12-08T00:00:00"/>
        <d v="2025-12-05T00:00:00"/>
        <d v="2025-12-02T00:00:00"/>
        <d v="2025-12-09T00:00:00"/>
        <d v="2025-12-06T00:00:00"/>
        <d v="2025-03-07T00:00:00"/>
        <d v="2025-03-14T00:00:00"/>
        <d v="2025-03-21T00:00:00"/>
        <d v="2025-03-28T00:00:00"/>
        <d v="2025-04-04T00:00:00"/>
        <d v="2025-04-11T00:00:00"/>
        <d v="2025-04-18T00:00:00"/>
        <d v="2025-04-25T00:00:00"/>
        <d v="2025-05-02T00:00:00"/>
        <d v="2025-05-09T00:00:00"/>
        <d v="2025-05-16T00:00:00"/>
        <d v="2025-05-23T00:00:00"/>
        <d v="2025-05-30T00:00:00"/>
        <d v="2025-06-06T00:00:00"/>
        <d v="2025-06-13T00:00:00"/>
        <d v="2025-06-20T00:00:00"/>
        <d v="2025-06-27T00:00:00"/>
        <d v="2025-07-04T00:00:00"/>
        <d v="2025-07-11T00:00:00"/>
        <d v="2025-07-18T00:00:00"/>
        <d v="2025-07-25T00:00:00"/>
        <d v="2025-08-01T00:00:00"/>
      </sharedItems>
    </cacheField>
    <cacheField name="TotalDepartures" numFmtId="164">
      <sharedItems containsSemiMixedTypes="0" containsString="0" containsNumber="1" minValue="0" maxValue="3097"/>
    </cacheField>
    <cacheField name="TotalPassengers" numFmtId="164">
      <sharedItems containsSemiMixedTypes="0" containsString="0" containsNumber="1" minValue="0" maxValue="1059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">
  <r>
    <x v="0"/>
    <x v="0"/>
    <x v="0"/>
    <n v="2406"/>
    <n v="32301"/>
  </r>
  <r>
    <x v="0"/>
    <x v="1"/>
    <x v="1"/>
    <n v="2489"/>
    <n v="32805"/>
  </r>
  <r>
    <x v="0"/>
    <x v="2"/>
    <x v="2"/>
    <n v="2326"/>
    <n v="32046"/>
  </r>
  <r>
    <x v="0"/>
    <x v="3"/>
    <x v="3"/>
    <n v="2407"/>
    <n v="30884"/>
  </r>
  <r>
    <x v="0"/>
    <x v="4"/>
    <x v="4"/>
    <n v="2176"/>
    <n v="26124"/>
  </r>
  <r>
    <x v="1"/>
    <x v="5"/>
    <x v="5"/>
    <n v="2431"/>
    <n v="31629"/>
  </r>
  <r>
    <x v="1"/>
    <x v="6"/>
    <x v="6"/>
    <n v="2373"/>
    <n v="31777"/>
  </r>
  <r>
    <x v="1"/>
    <x v="7"/>
    <x v="7"/>
    <n v="2319"/>
    <n v="29413"/>
  </r>
  <r>
    <x v="1"/>
    <x v="8"/>
    <x v="8"/>
    <n v="2336"/>
    <n v="32199"/>
  </r>
  <r>
    <x v="1"/>
    <x v="9"/>
    <x v="9"/>
    <n v="2358"/>
    <n v="30725"/>
  </r>
  <r>
    <x v="1"/>
    <x v="10"/>
    <x v="10"/>
    <n v="2328"/>
    <n v="32185"/>
  </r>
  <r>
    <x v="1"/>
    <x v="11"/>
    <x v="11"/>
    <n v="2559"/>
    <n v="32827"/>
  </r>
  <r>
    <x v="1"/>
    <x v="12"/>
    <x v="12"/>
    <n v="2359"/>
    <n v="32990"/>
  </r>
  <r>
    <x v="1"/>
    <x v="13"/>
    <x v="13"/>
    <n v="2372"/>
    <n v="35070"/>
  </r>
  <r>
    <x v="1"/>
    <x v="14"/>
    <x v="14"/>
    <n v="2384"/>
    <n v="34906"/>
  </r>
  <r>
    <x v="1"/>
    <x v="15"/>
    <x v="15"/>
    <n v="2426"/>
    <n v="34201"/>
  </r>
  <r>
    <x v="1"/>
    <x v="16"/>
    <x v="16"/>
    <n v="2339"/>
    <n v="33989"/>
  </r>
  <r>
    <x v="1"/>
    <x v="17"/>
    <x v="17"/>
    <n v="2439"/>
    <n v="35640"/>
  </r>
  <r>
    <x v="1"/>
    <x v="18"/>
    <x v="18"/>
    <n v="2549"/>
    <n v="37202"/>
  </r>
  <r>
    <x v="1"/>
    <x v="19"/>
    <x v="19"/>
    <n v="2563"/>
    <n v="36468"/>
  </r>
  <r>
    <x v="1"/>
    <x v="20"/>
    <x v="20"/>
    <n v="2448"/>
    <n v="38491"/>
  </r>
  <r>
    <x v="1"/>
    <x v="21"/>
    <x v="21"/>
    <n v="2583"/>
    <n v="39306"/>
  </r>
  <r>
    <x v="1"/>
    <x v="22"/>
    <x v="22"/>
    <n v="2558"/>
    <n v="38612"/>
  </r>
  <r>
    <x v="1"/>
    <x v="23"/>
    <x v="23"/>
    <n v="2547"/>
    <n v="39775"/>
  </r>
  <r>
    <x v="1"/>
    <x v="24"/>
    <x v="24"/>
    <n v="2446"/>
    <n v="41467"/>
  </r>
  <r>
    <x v="1"/>
    <x v="25"/>
    <x v="25"/>
    <n v="2583"/>
    <n v="42550"/>
  </r>
  <r>
    <x v="1"/>
    <x v="26"/>
    <x v="26"/>
    <n v="2587.4"/>
    <n v="43933"/>
  </r>
  <r>
    <x v="1"/>
    <x v="27"/>
    <x v="27"/>
    <n v="2617"/>
    <n v="43798"/>
  </r>
  <r>
    <x v="1"/>
    <x v="28"/>
    <x v="28"/>
    <n v="2563"/>
    <n v="48078"/>
  </r>
  <r>
    <x v="1"/>
    <x v="29"/>
    <x v="29"/>
    <n v="2603"/>
    <n v="49076"/>
  </r>
  <r>
    <x v="1"/>
    <x v="30"/>
    <x v="30"/>
    <n v="2523"/>
    <n v="49183"/>
  </r>
  <r>
    <x v="1"/>
    <x v="31"/>
    <x v="31"/>
    <n v="2530"/>
    <n v="49242"/>
  </r>
  <r>
    <x v="1"/>
    <x v="32"/>
    <x v="32"/>
    <n v="2537"/>
    <n v="50581"/>
  </r>
  <r>
    <x v="1"/>
    <x v="33"/>
    <x v="33"/>
    <n v="2488"/>
    <n v="49407"/>
  </r>
  <r>
    <x v="1"/>
    <x v="34"/>
    <x v="34"/>
    <n v="2479"/>
    <n v="50066"/>
  </r>
  <r>
    <x v="1"/>
    <x v="35"/>
    <x v="35"/>
    <n v="2519"/>
    <n v="50193"/>
  </r>
  <r>
    <x v="1"/>
    <x v="36"/>
    <x v="36"/>
    <n v="2545"/>
    <n v="50556"/>
  </r>
  <r>
    <x v="1"/>
    <x v="37"/>
    <x v="37"/>
    <n v="2551"/>
    <n v="50244"/>
  </r>
  <r>
    <x v="1"/>
    <x v="38"/>
    <x v="38"/>
    <n v="2550"/>
    <n v="50786"/>
  </r>
  <r>
    <x v="1"/>
    <x v="39"/>
    <x v="39"/>
    <n v="2425"/>
    <n v="45835"/>
  </r>
  <r>
    <x v="1"/>
    <x v="40"/>
    <x v="40"/>
    <n v="2537"/>
    <n v="51359"/>
  </r>
  <r>
    <x v="1"/>
    <x v="41"/>
    <x v="41"/>
    <n v="2548"/>
    <n v="55607"/>
  </r>
  <r>
    <x v="1"/>
    <x v="42"/>
    <x v="42"/>
    <n v="2567"/>
    <n v="56204"/>
  </r>
  <r>
    <x v="1"/>
    <x v="43"/>
    <x v="43"/>
    <n v="2578"/>
    <n v="56404"/>
  </r>
  <r>
    <x v="1"/>
    <x v="44"/>
    <x v="44"/>
    <n v="2588"/>
    <n v="58791"/>
  </r>
  <r>
    <x v="1"/>
    <x v="45"/>
    <x v="45"/>
    <n v="2613"/>
    <n v="61052"/>
  </r>
  <r>
    <x v="1"/>
    <x v="46"/>
    <x v="46"/>
    <n v="2569"/>
    <n v="60672"/>
  </r>
  <r>
    <x v="1"/>
    <x v="47"/>
    <x v="47"/>
    <n v="2561"/>
    <n v="61213"/>
  </r>
  <r>
    <x v="1"/>
    <x v="48"/>
    <x v="48"/>
    <n v="2587"/>
    <n v="61593"/>
  </r>
  <r>
    <x v="1"/>
    <x v="49"/>
    <x v="49"/>
    <n v="2579"/>
    <n v="63555"/>
  </r>
  <r>
    <x v="1"/>
    <x v="50"/>
    <x v="50"/>
    <n v="2589"/>
    <n v="62952"/>
  </r>
  <r>
    <x v="1"/>
    <x v="51"/>
    <x v="51"/>
    <n v="2617"/>
    <n v="63695"/>
  </r>
  <r>
    <x v="1"/>
    <x v="52"/>
    <x v="52"/>
    <n v="2609"/>
    <n v="62716"/>
  </r>
  <r>
    <x v="1"/>
    <x v="53"/>
    <x v="53"/>
    <n v="2617"/>
    <n v="61137"/>
  </r>
  <r>
    <x v="1"/>
    <x v="54"/>
    <x v="54"/>
    <n v="2138"/>
    <n v="38741"/>
  </r>
  <r>
    <x v="2"/>
    <x v="55"/>
    <x v="55"/>
    <n v="2431"/>
    <n v="42023"/>
  </r>
  <r>
    <x v="2"/>
    <x v="56"/>
    <x v="56"/>
    <n v="2562"/>
    <n v="44766"/>
  </r>
  <r>
    <x v="2"/>
    <x v="57"/>
    <x v="57"/>
    <n v="2571"/>
    <n v="48573"/>
  </r>
  <r>
    <x v="2"/>
    <x v="58"/>
    <x v="58"/>
    <n v="2584"/>
    <n v="49246"/>
  </r>
  <r>
    <x v="2"/>
    <x v="59"/>
    <x v="59"/>
    <n v="2543"/>
    <n v="53876"/>
  </r>
  <r>
    <x v="2"/>
    <x v="60"/>
    <x v="60"/>
    <n v="2555"/>
    <n v="55347"/>
  </r>
  <r>
    <x v="2"/>
    <x v="61"/>
    <x v="61"/>
    <n v="2544"/>
    <n v="57132"/>
  </r>
  <r>
    <x v="2"/>
    <x v="62"/>
    <x v="62"/>
    <n v="2548"/>
    <n v="58881"/>
  </r>
  <r>
    <x v="2"/>
    <x v="63"/>
    <x v="63"/>
    <n v="2583"/>
    <n v="62023"/>
  </r>
  <r>
    <x v="2"/>
    <x v="64"/>
    <x v="64"/>
    <n v="2592"/>
    <n v="60655"/>
  </r>
  <r>
    <x v="2"/>
    <x v="65"/>
    <x v="65"/>
    <n v="2596"/>
    <n v="66386"/>
  </r>
  <r>
    <x v="2"/>
    <x v="66"/>
    <x v="66"/>
    <n v="2600"/>
    <n v="65959"/>
  </r>
  <r>
    <x v="2"/>
    <x v="67"/>
    <x v="67"/>
    <n v="2581"/>
    <n v="65991"/>
  </r>
  <r>
    <x v="2"/>
    <x v="68"/>
    <x v="68"/>
    <n v="2588"/>
    <n v="66279"/>
  </r>
  <r>
    <x v="2"/>
    <x v="69"/>
    <x v="69"/>
    <n v="2610"/>
    <n v="67754"/>
  </r>
  <r>
    <x v="2"/>
    <x v="70"/>
    <x v="70"/>
    <n v="2617"/>
    <n v="68073"/>
  </r>
  <r>
    <x v="2"/>
    <x v="71"/>
    <x v="71"/>
    <n v="2598"/>
    <n v="68097"/>
  </r>
  <r>
    <x v="2"/>
    <x v="72"/>
    <x v="72"/>
    <n v="2591"/>
    <n v="67687"/>
  </r>
  <r>
    <x v="2"/>
    <x v="73"/>
    <x v="73"/>
    <n v="2601"/>
    <n v="69696.2"/>
  </r>
  <r>
    <x v="2"/>
    <x v="74"/>
    <x v="74"/>
    <n v="2586"/>
    <n v="71224"/>
  </r>
  <r>
    <x v="2"/>
    <x v="75"/>
    <x v="75"/>
    <n v="2601"/>
    <n v="70002"/>
  </r>
  <r>
    <x v="2"/>
    <x v="76"/>
    <x v="76"/>
    <n v="2622"/>
    <n v="71240"/>
  </r>
  <r>
    <x v="2"/>
    <x v="77"/>
    <x v="77"/>
    <n v="2610"/>
    <n v="72706"/>
  </r>
  <r>
    <x v="2"/>
    <x v="78"/>
    <x v="78"/>
    <n v="2605"/>
    <n v="73707"/>
  </r>
  <r>
    <x v="2"/>
    <x v="79"/>
    <x v="79"/>
    <n v="2616"/>
    <n v="73009"/>
  </r>
  <r>
    <x v="2"/>
    <x v="80"/>
    <x v="80"/>
    <n v="2630"/>
    <n v="73801"/>
  </r>
  <r>
    <x v="2"/>
    <x v="81"/>
    <x v="81"/>
    <n v="2641"/>
    <n v="70974"/>
  </r>
  <r>
    <x v="2"/>
    <x v="82"/>
    <x v="82"/>
    <n v="2640"/>
    <n v="72757"/>
  </r>
  <r>
    <x v="2"/>
    <x v="83"/>
    <x v="83"/>
    <n v="2643"/>
    <n v="73543"/>
  </r>
  <r>
    <x v="2"/>
    <x v="84"/>
    <x v="84"/>
    <n v="2652"/>
    <n v="75619"/>
  </r>
  <r>
    <x v="2"/>
    <x v="85"/>
    <x v="85"/>
    <n v="2671"/>
    <n v="74592"/>
  </r>
  <r>
    <x v="2"/>
    <x v="86"/>
    <x v="86"/>
    <n v="2658"/>
    <n v="74099"/>
  </r>
  <r>
    <x v="2"/>
    <x v="87"/>
    <x v="87"/>
    <n v="2654"/>
    <n v="73844"/>
  </r>
  <r>
    <x v="2"/>
    <x v="88"/>
    <x v="88"/>
    <n v="2658"/>
    <n v="72565"/>
  </r>
  <r>
    <x v="2"/>
    <x v="89"/>
    <x v="89"/>
    <n v="2642"/>
    <n v="71059"/>
  </r>
  <r>
    <x v="2"/>
    <x v="90"/>
    <x v="90"/>
    <n v="2638"/>
    <n v="76784"/>
  </r>
  <r>
    <x v="2"/>
    <x v="91"/>
    <x v="91"/>
    <n v="2666"/>
    <n v="81574"/>
  </r>
  <r>
    <x v="2"/>
    <x v="92"/>
    <x v="92"/>
    <n v="2621"/>
    <n v="82375"/>
  </r>
  <r>
    <x v="2"/>
    <x v="93"/>
    <x v="93"/>
    <n v="2678"/>
    <n v="79263"/>
  </r>
  <r>
    <x v="2"/>
    <x v="94"/>
    <x v="94"/>
    <n v="2681"/>
    <n v="72118"/>
  </r>
  <r>
    <x v="2"/>
    <x v="95"/>
    <x v="95"/>
    <n v="2654"/>
    <n v="81695"/>
  </r>
  <r>
    <x v="2"/>
    <x v="96"/>
    <x v="96"/>
    <n v="2681"/>
    <n v="82929"/>
  </r>
  <r>
    <x v="2"/>
    <x v="97"/>
    <x v="97"/>
    <n v="2683"/>
    <n v="80974"/>
  </r>
  <r>
    <x v="2"/>
    <x v="98"/>
    <x v="98"/>
    <n v="2679"/>
    <n v="82310"/>
  </r>
  <r>
    <x v="2"/>
    <x v="99"/>
    <x v="99"/>
    <n v="2684"/>
    <n v="80445"/>
  </r>
  <r>
    <x v="2"/>
    <x v="100"/>
    <x v="100"/>
    <n v="2674"/>
    <n v="78620"/>
  </r>
  <r>
    <x v="2"/>
    <x v="101"/>
    <x v="101"/>
    <n v="2698"/>
    <n v="78424"/>
  </r>
  <r>
    <x v="2"/>
    <x v="102"/>
    <x v="102"/>
    <n v="2660"/>
    <n v="80527"/>
  </r>
  <r>
    <x v="2"/>
    <x v="103"/>
    <x v="103"/>
    <n v="2656"/>
    <n v="79636"/>
  </r>
  <r>
    <x v="2"/>
    <x v="104"/>
    <x v="104"/>
    <n v="2661"/>
    <n v="73751"/>
  </r>
  <r>
    <x v="2"/>
    <x v="105"/>
    <x v="105"/>
    <n v="2604"/>
    <n v="67812"/>
  </r>
  <r>
    <x v="3"/>
    <x v="106"/>
    <x v="106"/>
    <n v="2654"/>
    <n v="78352"/>
  </r>
  <r>
    <x v="3"/>
    <x v="107"/>
    <x v="107"/>
    <n v="2665"/>
    <n v="78701"/>
  </r>
  <r>
    <x v="3"/>
    <x v="108"/>
    <x v="108"/>
    <n v="2677"/>
    <n v="79625"/>
  </r>
  <r>
    <x v="3"/>
    <x v="109"/>
    <x v="109"/>
    <n v="2702"/>
    <n v="76450.399999999994"/>
  </r>
  <r>
    <x v="3"/>
    <x v="110"/>
    <x v="110"/>
    <n v="2694"/>
    <n v="80020"/>
  </r>
  <r>
    <x v="3"/>
    <x v="111"/>
    <x v="111"/>
    <n v="2738"/>
    <n v="80689"/>
  </r>
  <r>
    <x v="3"/>
    <x v="112"/>
    <x v="112"/>
    <n v="2735"/>
    <n v="80260"/>
  </r>
  <r>
    <x v="3"/>
    <x v="113"/>
    <x v="113"/>
    <n v="2675"/>
    <n v="78098"/>
  </r>
  <r>
    <x v="3"/>
    <x v="114"/>
    <x v="114"/>
    <n v="2712"/>
    <n v="80271"/>
  </r>
  <r>
    <x v="3"/>
    <x v="115"/>
    <x v="115"/>
    <n v="2720"/>
    <n v="81732"/>
  </r>
  <r>
    <x v="3"/>
    <x v="116"/>
    <x v="116"/>
    <n v="2715"/>
    <n v="83269"/>
  </r>
  <r>
    <x v="3"/>
    <x v="117"/>
    <x v="117"/>
    <n v="2730"/>
    <n v="84119"/>
  </r>
  <r>
    <x v="3"/>
    <x v="118"/>
    <x v="118"/>
    <n v="2728"/>
    <n v="83498"/>
  </r>
  <r>
    <x v="3"/>
    <x v="119"/>
    <x v="119"/>
    <n v="2700"/>
    <n v="82635"/>
  </r>
  <r>
    <x v="3"/>
    <x v="120"/>
    <x v="120"/>
    <n v="2750"/>
    <n v="83126"/>
  </r>
  <r>
    <x v="3"/>
    <x v="121"/>
    <x v="121"/>
    <n v="2777"/>
    <n v="84436"/>
  </r>
  <r>
    <x v="3"/>
    <x v="122"/>
    <x v="122"/>
    <n v="2784"/>
    <n v="86046"/>
  </r>
  <r>
    <x v="3"/>
    <x v="123"/>
    <x v="123"/>
    <n v="2775"/>
    <n v="90444"/>
  </r>
  <r>
    <x v="3"/>
    <x v="124"/>
    <x v="124"/>
    <n v="2767"/>
    <n v="87201"/>
  </r>
  <r>
    <x v="3"/>
    <x v="125"/>
    <x v="125"/>
    <n v="2767"/>
    <n v="89591"/>
  </r>
  <r>
    <x v="3"/>
    <x v="126"/>
    <x v="126"/>
    <n v="2783"/>
    <n v="88749"/>
  </r>
  <r>
    <x v="3"/>
    <x v="127"/>
    <x v="127"/>
    <n v="2753"/>
    <n v="87179"/>
  </r>
  <r>
    <x v="3"/>
    <x v="128"/>
    <x v="128"/>
    <n v="2774"/>
    <n v="86906"/>
  </r>
  <r>
    <x v="3"/>
    <x v="129"/>
    <x v="129"/>
    <n v="2786"/>
    <n v="89429"/>
  </r>
  <r>
    <x v="3"/>
    <x v="130"/>
    <x v="130"/>
    <n v="2772"/>
    <n v="89431"/>
  </r>
  <r>
    <x v="3"/>
    <x v="131"/>
    <x v="131"/>
    <n v="2806"/>
    <n v="88936"/>
  </r>
  <r>
    <x v="3"/>
    <x v="132"/>
    <x v="132"/>
    <n v="2769"/>
    <n v="79458"/>
  </r>
  <r>
    <x v="3"/>
    <x v="133"/>
    <x v="133"/>
    <n v="2820"/>
    <n v="88866"/>
  </r>
  <r>
    <x v="3"/>
    <x v="134"/>
    <x v="134"/>
    <n v="2829"/>
    <n v="89731"/>
  </r>
  <r>
    <x v="3"/>
    <x v="135"/>
    <x v="135"/>
    <n v="2722"/>
    <n v="88605"/>
  </r>
  <r>
    <x v="3"/>
    <x v="136"/>
    <x v="136"/>
    <n v="2838"/>
    <n v="90059"/>
  </r>
  <r>
    <x v="3"/>
    <x v="137"/>
    <x v="137"/>
    <n v="2839"/>
    <n v="90071"/>
  </r>
  <r>
    <x v="3"/>
    <x v="138"/>
    <x v="138"/>
    <n v="2822"/>
    <n v="89043"/>
  </r>
  <r>
    <x v="3"/>
    <x v="139"/>
    <x v="139"/>
    <n v="2851"/>
    <n v="86621"/>
  </r>
  <r>
    <x v="3"/>
    <x v="140"/>
    <x v="140"/>
    <n v="2827"/>
    <n v="83505"/>
  </r>
  <r>
    <x v="3"/>
    <x v="141"/>
    <x v="141"/>
    <n v="2834"/>
    <n v="89818"/>
  </r>
  <r>
    <x v="3"/>
    <x v="142"/>
    <x v="142"/>
    <n v="2894"/>
    <n v="92744"/>
  </r>
  <r>
    <x v="3"/>
    <x v="143"/>
    <x v="143"/>
    <n v="2909"/>
    <n v="95514"/>
  </r>
  <r>
    <x v="3"/>
    <x v="144"/>
    <x v="144"/>
    <n v="2885"/>
    <n v="93858"/>
  </r>
  <r>
    <x v="3"/>
    <x v="145"/>
    <x v="145"/>
    <n v="2908"/>
    <n v="92766"/>
  </r>
  <r>
    <x v="3"/>
    <x v="146"/>
    <x v="146"/>
    <n v="2913"/>
    <n v="94602"/>
  </r>
  <r>
    <x v="3"/>
    <x v="147"/>
    <x v="147"/>
    <n v="2904"/>
    <n v="94683"/>
  </r>
  <r>
    <x v="3"/>
    <x v="148"/>
    <x v="148"/>
    <n v="2903"/>
    <n v="96023"/>
  </r>
  <r>
    <x v="3"/>
    <x v="149"/>
    <x v="149"/>
    <n v="2811"/>
    <n v="94473"/>
  </r>
  <r>
    <x v="3"/>
    <x v="150"/>
    <x v="150"/>
    <n v="2863"/>
    <n v="94948"/>
  </r>
  <r>
    <x v="3"/>
    <x v="151"/>
    <x v="141"/>
    <n v="2864"/>
    <n v="92774"/>
  </r>
  <r>
    <x v="3"/>
    <x v="152"/>
    <x v="142"/>
    <n v="2812"/>
    <n v="77455"/>
  </r>
  <r>
    <x v="3"/>
    <x v="153"/>
    <x v="150"/>
    <n v="2909"/>
    <n v="93449"/>
  </r>
  <r>
    <x v="3"/>
    <x v="154"/>
    <x v="144"/>
    <n v="2906"/>
    <n v="97608"/>
  </r>
  <r>
    <x v="3"/>
    <x v="155"/>
    <x v="145"/>
    <n v="2901"/>
    <n v="94491"/>
  </r>
  <r>
    <x v="3"/>
    <x v="156"/>
    <x v="146"/>
    <n v="2870"/>
    <n v="86873"/>
  </r>
  <r>
    <x v="3"/>
    <x v="157"/>
    <x v="151"/>
    <n v="2775"/>
    <n v="73177"/>
  </r>
  <r>
    <x v="4"/>
    <x v="158"/>
    <x v="152"/>
    <n v="2856"/>
    <n v="89705"/>
  </r>
  <r>
    <x v="4"/>
    <x v="159"/>
    <x v="153"/>
    <n v="2902"/>
    <n v="84847"/>
  </r>
  <r>
    <x v="4"/>
    <x v="160"/>
    <x v="154"/>
    <n v="2889"/>
    <n v="87290"/>
  </r>
  <r>
    <x v="4"/>
    <x v="161"/>
    <x v="155"/>
    <n v="2921"/>
    <n v="89698"/>
  </r>
  <r>
    <x v="4"/>
    <x v="162"/>
    <x v="156"/>
    <n v="2936"/>
    <n v="92472"/>
  </r>
  <r>
    <x v="4"/>
    <x v="163"/>
    <x v="157"/>
    <n v="2916"/>
    <n v="93204"/>
  </r>
  <r>
    <x v="4"/>
    <x v="164"/>
    <x v="158"/>
    <n v="2878"/>
    <n v="91768"/>
  </r>
  <r>
    <x v="4"/>
    <x v="165"/>
    <x v="159"/>
    <n v="2897"/>
    <n v="91546"/>
  </r>
  <r>
    <x v="4"/>
    <x v="166"/>
    <x v="160"/>
    <n v="2912"/>
    <n v="90847"/>
  </r>
  <r>
    <x v="4"/>
    <x v="167"/>
    <x v="158"/>
    <n v="2896"/>
    <n v="90838"/>
  </r>
  <r>
    <x v="4"/>
    <x v="168"/>
    <x v="159"/>
    <n v="2950"/>
    <n v="94668"/>
  </r>
  <r>
    <x v="4"/>
    <x v="169"/>
    <x v="161"/>
    <n v="2927"/>
    <n v="93254"/>
  </r>
  <r>
    <x v="4"/>
    <x v="170"/>
    <x v="162"/>
    <n v="2924"/>
    <n v="95144"/>
  </r>
  <r>
    <x v="4"/>
    <x v="171"/>
    <x v="163"/>
    <n v="2909"/>
    <n v="87035"/>
  </r>
  <r>
    <x v="4"/>
    <x v="172"/>
    <x v="164"/>
    <n v="2918"/>
    <n v="92216"/>
  </r>
  <r>
    <x v="4"/>
    <x v="173"/>
    <x v="165"/>
    <n v="2932"/>
    <n v="96004"/>
  </r>
  <r>
    <x v="4"/>
    <x v="174"/>
    <x v="166"/>
    <n v="2909"/>
    <n v="92952"/>
  </r>
  <r>
    <x v="4"/>
    <x v="175"/>
    <x v="167"/>
    <n v="2864"/>
    <n v="95659"/>
  </r>
  <r>
    <x v="4"/>
    <x v="176"/>
    <x v="168"/>
    <n v="2897"/>
    <n v="96886"/>
  </r>
  <r>
    <x v="4"/>
    <x v="177"/>
    <x v="169"/>
    <n v="2937"/>
    <n v="96829"/>
  </r>
  <r>
    <x v="4"/>
    <x v="178"/>
    <x v="170"/>
    <n v="2885"/>
    <n v="101712"/>
  </r>
  <r>
    <x v="4"/>
    <x v="179"/>
    <x v="171"/>
    <n v="2906"/>
    <n v="95210"/>
  </r>
  <r>
    <x v="4"/>
    <x v="180"/>
    <x v="172"/>
    <n v="2893"/>
    <n v="100770"/>
  </r>
  <r>
    <x v="4"/>
    <x v="181"/>
    <x v="173"/>
    <n v="2927"/>
    <n v="97158"/>
  </r>
  <r>
    <x v="4"/>
    <x v="182"/>
    <x v="174"/>
    <n v="2918"/>
    <n v="100493"/>
  </r>
  <r>
    <x v="4"/>
    <x v="183"/>
    <x v="175"/>
    <n v="2905"/>
    <n v="87067"/>
  </r>
  <r>
    <x v="4"/>
    <x v="184"/>
    <x v="176"/>
    <n v="2908"/>
    <n v="97341"/>
  </r>
  <r>
    <x v="4"/>
    <x v="185"/>
    <x v="177"/>
    <n v="2920"/>
    <n v="96831"/>
  </r>
  <r>
    <x v="4"/>
    <x v="186"/>
    <x v="178"/>
    <n v="2927"/>
    <n v="97261"/>
  </r>
  <r>
    <x v="4"/>
    <x v="187"/>
    <x v="179"/>
    <n v="2906"/>
    <n v="96046"/>
  </r>
  <r>
    <x v="4"/>
    <x v="188"/>
    <x v="180"/>
    <n v="2936"/>
    <n v="93448"/>
  </r>
  <r>
    <x v="4"/>
    <x v="189"/>
    <x v="181"/>
    <n v="2949"/>
    <n v="93525"/>
  </r>
  <r>
    <x v="4"/>
    <x v="190"/>
    <x v="182"/>
    <n v="2929"/>
    <n v="94169"/>
  </r>
  <r>
    <x v="4"/>
    <x v="191"/>
    <x v="183"/>
    <n v="2900"/>
    <n v="100522"/>
  </r>
  <r>
    <x v="4"/>
    <x v="192"/>
    <x v="184"/>
    <n v="2879"/>
    <n v="99396"/>
  </r>
  <r>
    <x v="4"/>
    <x v="193"/>
    <x v="185"/>
    <n v="2946"/>
    <n v="103176"/>
  </r>
  <r>
    <x v="4"/>
    <x v="194"/>
    <x v="186"/>
    <n v="2945"/>
    <n v="102637"/>
  </r>
  <r>
    <x v="4"/>
    <x v="195"/>
    <x v="157"/>
    <n v="2938"/>
    <n v="104177"/>
  </r>
  <r>
    <x v="4"/>
    <x v="196"/>
    <x v="187"/>
    <n v="2957"/>
    <n v="99551"/>
  </r>
  <r>
    <x v="4"/>
    <x v="197"/>
    <x v="159"/>
    <n v="2964"/>
    <n v="103183"/>
  </r>
  <r>
    <x v="4"/>
    <x v="198"/>
    <x v="161"/>
    <n v="2927"/>
    <n v="101639"/>
  </r>
  <r>
    <x v="4"/>
    <x v="199"/>
    <x v="162"/>
    <n v="2942"/>
    <n v="102173"/>
  </r>
  <r>
    <x v="4"/>
    <x v="200"/>
    <x v="188"/>
    <n v="2948"/>
    <n v="103931"/>
  </r>
  <r>
    <x v="4"/>
    <x v="201"/>
    <x v="189"/>
    <n v="2949"/>
    <n v="96688"/>
  </r>
  <r>
    <x v="4"/>
    <x v="202"/>
    <x v="184"/>
    <n v="2950"/>
    <n v="100670"/>
  </r>
  <r>
    <x v="4"/>
    <x v="203"/>
    <x v="185"/>
    <n v="2969"/>
    <n v="99528"/>
  </r>
  <r>
    <x v="4"/>
    <x v="204"/>
    <x v="186"/>
    <n v="0"/>
    <n v="0"/>
  </r>
  <r>
    <x v="4"/>
    <x v="205"/>
    <x v="157"/>
    <n v="2942"/>
    <n v="101916"/>
  </r>
  <r>
    <x v="4"/>
    <x v="206"/>
    <x v="158"/>
    <n v="2978"/>
    <n v="98911"/>
  </r>
  <r>
    <x v="4"/>
    <x v="207"/>
    <x v="159"/>
    <n v="2922"/>
    <n v="95860"/>
  </r>
  <r>
    <x v="4"/>
    <x v="208"/>
    <x v="161"/>
    <n v="0"/>
    <n v="0"/>
  </r>
  <r>
    <x v="5"/>
    <x v="209"/>
    <x v="190"/>
    <n v="2900"/>
    <n v="92775"/>
  </r>
  <r>
    <x v="5"/>
    <x v="210"/>
    <x v="191"/>
    <n v="2954"/>
    <n v="93320"/>
  </r>
  <r>
    <x v="5"/>
    <x v="211"/>
    <x v="192"/>
    <n v="2868"/>
    <n v="88550"/>
  </r>
  <r>
    <x v="5"/>
    <x v="212"/>
    <x v="193"/>
    <n v="2946"/>
    <n v="91065"/>
  </r>
  <r>
    <x v="5"/>
    <x v="213"/>
    <x v="194"/>
    <n v="3061"/>
    <n v="97834"/>
  </r>
  <r>
    <x v="5"/>
    <x v="214"/>
    <x v="195"/>
    <n v="3097"/>
    <n v="91132"/>
  </r>
  <r>
    <x v="5"/>
    <x v="215"/>
    <x v="196"/>
    <n v="3020"/>
    <n v="94740"/>
  </r>
  <r>
    <x v="5"/>
    <x v="216"/>
    <x v="197"/>
    <n v="2939"/>
    <n v="96829"/>
  </r>
  <r>
    <x v="5"/>
    <x v="217"/>
    <x v="198"/>
    <n v="2936"/>
    <n v="97154"/>
  </r>
  <r>
    <x v="5"/>
    <x v="218"/>
    <x v="199"/>
    <n v="2955"/>
    <n v="100275"/>
  </r>
  <r>
    <x v="5"/>
    <x v="219"/>
    <x v="200"/>
    <n v="2945"/>
    <n v="99716"/>
  </r>
  <r>
    <x v="5"/>
    <x v="220"/>
    <x v="201"/>
    <n v="2964"/>
    <n v="98921"/>
  </r>
  <r>
    <x v="5"/>
    <x v="221"/>
    <x v="202"/>
    <n v="2948"/>
    <n v="100146"/>
  </r>
  <r>
    <x v="5"/>
    <x v="222"/>
    <x v="203"/>
    <n v="2992"/>
    <n v="101469"/>
  </r>
  <r>
    <x v="5"/>
    <x v="223"/>
    <x v="204"/>
    <n v="2965"/>
    <n v="98755"/>
  </r>
  <r>
    <x v="5"/>
    <x v="224"/>
    <x v="205"/>
    <n v="2974"/>
    <n v="104813"/>
  </r>
  <r>
    <x v="5"/>
    <x v="225"/>
    <x v="206"/>
    <n v="2962"/>
    <n v="103472"/>
  </r>
  <r>
    <x v="5"/>
    <x v="226"/>
    <x v="207"/>
    <n v="2920"/>
    <n v="102056"/>
  </r>
  <r>
    <x v="5"/>
    <x v="227"/>
    <x v="208"/>
    <n v="2938"/>
    <n v="102617"/>
  </r>
  <r>
    <x v="5"/>
    <x v="228"/>
    <x v="209"/>
    <n v="2977"/>
    <n v="102373"/>
  </r>
  <r>
    <x v="5"/>
    <x v="229"/>
    <x v="210"/>
    <n v="2985"/>
    <n v="104671"/>
  </r>
  <r>
    <x v="5"/>
    <x v="230"/>
    <x v="211"/>
    <n v="2969"/>
    <n v="103458"/>
  </r>
  <r>
    <x v="5"/>
    <x v="231"/>
    <x v="212"/>
    <n v="2971"/>
    <n v="105165"/>
  </r>
  <r>
    <x v="5"/>
    <x v="232"/>
    <x v="213"/>
    <n v="2953"/>
    <n v="104184"/>
  </r>
  <r>
    <x v="5"/>
    <x v="233"/>
    <x v="214"/>
    <n v="2935"/>
    <n v="101541"/>
  </r>
  <r>
    <x v="5"/>
    <x v="234"/>
    <x v="215"/>
    <n v="2755"/>
    <n v="88529"/>
  </r>
  <r>
    <x v="5"/>
    <x v="235"/>
    <x v="216"/>
    <n v="2914"/>
    <n v="101389"/>
  </r>
  <r>
    <x v="5"/>
    <x v="236"/>
    <x v="217"/>
    <n v="3020"/>
    <n v="105129"/>
  </r>
  <r>
    <x v="5"/>
    <x v="237"/>
    <x v="218"/>
    <n v="3028"/>
    <n v="105934"/>
  </r>
  <r>
    <x v="5"/>
    <x v="238"/>
    <x v="219"/>
    <n v="3035"/>
    <n v="1018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47FDDF-B417-4709-BD4A-4D844760FD7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5:J12" firstHeaderRow="0" firstDataRow="1" firstDataCol="1" rowPageCount="2" colPageCount="1"/>
  <pivotFields count="5">
    <pivotField axis="axisRow" multipleItemSelectionAllowed="1" showAll="0">
      <items count="7">
        <item x="0"/>
        <item x="1"/>
        <item x="2"/>
        <item x="3"/>
        <item x="4"/>
        <item x="5"/>
        <item t="default"/>
      </items>
    </pivotField>
    <pivotField axis="axisPage" multipleItemSelectionAllowed="1" showAll="0">
      <items count="2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t="default"/>
      </items>
    </pivotField>
    <pivotField axis="axisPage" showAll="0">
      <items count="2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9"/>
        <item x="147"/>
        <item x="150"/>
        <item x="143"/>
        <item x="146"/>
        <item x="142"/>
        <item x="145"/>
        <item x="148"/>
        <item x="141"/>
        <item x="144"/>
        <item x="151"/>
        <item x="152"/>
        <item x="153"/>
        <item x="154"/>
        <item x="155"/>
        <item x="156"/>
        <item x="160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7"/>
        <item x="188"/>
        <item x="186"/>
        <item x="159"/>
        <item x="185"/>
        <item x="158"/>
        <item x="162"/>
        <item x="184"/>
        <item x="157"/>
        <item x="161"/>
        <item x="189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192"/>
        <item x="195"/>
        <item x="191"/>
        <item x="194"/>
        <item x="197"/>
        <item x="190"/>
        <item x="193"/>
        <item x="196"/>
        <item t="default"/>
      </items>
    </pivotField>
    <pivotField dataField="1" numFmtId="164" showAll="0"/>
    <pivotField dataField="1" numFmtId="164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2">
    <pageField fld="1" hier="-1"/>
    <pageField fld="2" hier="-1"/>
  </pageFields>
  <dataFields count="2">
    <dataField name="Sum of TotalDepartures" fld="3" baseField="0" baseItem="0" numFmtId="164"/>
    <dataField name="Sum of TotalPassengers" fld="4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" dT="2025-10-03T17:42:38.72" personId="{6B7CFB0F-2783-49D9-B90B-52922CB86AD3}" id="{63957DA6-7D21-48C0-B6D6-8857C60847FD}">
    <text xml:space="preserve">Passengers per bus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CC17-11E4-42E3-973D-12DCD90C1513}">
  <sheetPr>
    <tabColor theme="4" tint="0.39997558519241921"/>
  </sheetPr>
  <dimension ref="A1:O252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3" max="3" width="13.77734375" style="9" bestFit="1" customWidth="1"/>
    <col min="4" max="4" width="13" style="9" bestFit="1" customWidth="1"/>
    <col min="5" max="5" width="9.6640625" customWidth="1"/>
    <col min="6" max="6" width="16.6640625" bestFit="1" customWidth="1"/>
    <col min="7" max="7" width="19.6640625" bestFit="1" customWidth="1"/>
    <col min="8" max="8" width="21.44140625" style="5" bestFit="1" customWidth="1"/>
    <col min="9" max="9" width="18.6640625" style="3" bestFit="1" customWidth="1"/>
    <col min="10" max="10" width="21.44140625" style="5" bestFit="1" customWidth="1"/>
    <col min="11" max="11" width="11" style="4" customWidth="1"/>
    <col min="13" max="13" width="10.33203125" bestFit="1" customWidth="1"/>
  </cols>
  <sheetData>
    <row r="1" spans="1:11" x14ac:dyDescent="0.3">
      <c r="A1" s="1" t="s">
        <v>31</v>
      </c>
      <c r="B1" s="1" t="s">
        <v>10</v>
      </c>
      <c r="C1" s="8" t="s">
        <v>40</v>
      </c>
      <c r="D1" s="8" t="s">
        <v>41</v>
      </c>
      <c r="E1" s="1" t="s">
        <v>11</v>
      </c>
      <c r="F1" s="1" t="s">
        <v>13</v>
      </c>
      <c r="G1" s="1" t="s">
        <v>45</v>
      </c>
      <c r="H1" s="6" t="s">
        <v>14</v>
      </c>
      <c r="I1" s="2" t="s">
        <v>15</v>
      </c>
      <c r="J1" s="6" t="s">
        <v>16</v>
      </c>
      <c r="K1" s="1" t="s">
        <v>17</v>
      </c>
    </row>
    <row r="2" spans="1:11" x14ac:dyDescent="0.3">
      <c r="A2" s="14">
        <v>2020</v>
      </c>
      <c r="B2" s="14">
        <f>_xlfn.ISOWEEKNUM(C2)</f>
        <v>49</v>
      </c>
      <c r="C2" s="9">
        <v>44165</v>
      </c>
      <c r="D2" s="9">
        <v>44171</v>
      </c>
      <c r="E2" s="14">
        <f>VLOOKUP(F2,CarrierID!A:B,2,0)</f>
        <v>1</v>
      </c>
      <c r="F2" s="15" t="s">
        <v>0</v>
      </c>
      <c r="G2" t="str">
        <f>VLOOKUP(F2,Carrier_Category!A:B,2,0)</f>
        <v>Commuter</v>
      </c>
      <c r="H2" s="5">
        <v>37</v>
      </c>
      <c r="I2" s="3">
        <v>0</v>
      </c>
      <c r="J2" s="5">
        <v>615</v>
      </c>
      <c r="K2" s="18">
        <f t="shared" ref="K2:K4" si="0">J2/H2</f>
        <v>16.621621621621621</v>
      </c>
    </row>
    <row r="3" spans="1:11" x14ac:dyDescent="0.3">
      <c r="A3" s="14">
        <v>2020</v>
      </c>
      <c r="B3" s="14">
        <f t="shared" ref="B3:B4" si="1">_xlfn.ISOWEEKNUM(C3)</f>
        <v>49</v>
      </c>
      <c r="C3" s="9">
        <v>44165</v>
      </c>
      <c r="D3" s="9">
        <v>44171</v>
      </c>
      <c r="E3" s="14">
        <f>VLOOKUP(F3,CarrierID!A:B,2,0)</f>
        <v>5</v>
      </c>
      <c r="F3" s="15" t="s">
        <v>1</v>
      </c>
      <c r="G3" t="str">
        <f>VLOOKUP(F3,Carrier_Category!A:B,2,0)</f>
        <v>Intercity</v>
      </c>
      <c r="H3" s="5">
        <v>36</v>
      </c>
      <c r="I3" s="3">
        <v>0</v>
      </c>
      <c r="J3" s="5">
        <v>750</v>
      </c>
      <c r="K3" s="18">
        <f t="shared" si="0"/>
        <v>20.833333333333332</v>
      </c>
    </row>
    <row r="4" spans="1:11" x14ac:dyDescent="0.3">
      <c r="A4" s="14">
        <v>2020</v>
      </c>
      <c r="B4" s="14">
        <f t="shared" si="1"/>
        <v>49</v>
      </c>
      <c r="C4" s="9">
        <v>44165</v>
      </c>
      <c r="D4" s="9">
        <v>44171</v>
      </c>
      <c r="E4" s="14">
        <f>VLOOKUP(F4,CarrierID!A:B,2,0)</f>
        <v>8</v>
      </c>
      <c r="F4" s="15" t="s">
        <v>2</v>
      </c>
      <c r="G4" t="str">
        <f>VLOOKUP(F4,Carrier_Category!A:B,2,0)</f>
        <v>Commuter</v>
      </c>
      <c r="H4" s="5">
        <v>17</v>
      </c>
      <c r="I4" s="3">
        <v>0</v>
      </c>
      <c r="J4" s="5">
        <v>486</v>
      </c>
      <c r="K4" s="18">
        <f t="shared" si="0"/>
        <v>28.588235294117649</v>
      </c>
    </row>
    <row r="5" spans="1:11" x14ac:dyDescent="0.3">
      <c r="A5" s="14">
        <v>2020</v>
      </c>
      <c r="B5" s="14">
        <f t="shared" ref="B5:B68" si="2">_xlfn.ISOWEEKNUM(C5)</f>
        <v>49</v>
      </c>
      <c r="C5" s="9">
        <v>44165</v>
      </c>
      <c r="D5" s="9">
        <v>44171</v>
      </c>
      <c r="E5" s="14">
        <f>VLOOKUP(F5,CarrierID!A:B,2,0)</f>
        <v>9</v>
      </c>
      <c r="F5" s="15" t="s">
        <v>3</v>
      </c>
      <c r="G5" t="str">
        <f>VLOOKUP(F5,Carrier_Category!A:B,2,0)</f>
        <v>NJT</v>
      </c>
      <c r="H5" s="5">
        <v>2108</v>
      </c>
      <c r="I5" s="3">
        <v>0</v>
      </c>
      <c r="J5" s="5">
        <v>26512</v>
      </c>
      <c r="K5" s="18">
        <f t="shared" ref="K5:K68" si="3">J5/H5</f>
        <v>12.57685009487666</v>
      </c>
    </row>
    <row r="6" spans="1:11" x14ac:dyDescent="0.3">
      <c r="A6" s="14">
        <v>2020</v>
      </c>
      <c r="B6" s="14">
        <f t="shared" si="2"/>
        <v>49</v>
      </c>
      <c r="C6" s="9">
        <v>44165</v>
      </c>
      <c r="D6" s="9">
        <v>44171</v>
      </c>
      <c r="E6" s="14">
        <f>VLOOKUP(F6,CarrierID!A:B,2,0)</f>
        <v>7</v>
      </c>
      <c r="F6" s="15" t="s">
        <v>4</v>
      </c>
      <c r="G6" t="str">
        <f>VLOOKUP(F6,Carrier_Category!A:B,2,0)</f>
        <v>Commuter</v>
      </c>
      <c r="H6" s="5">
        <v>13</v>
      </c>
      <c r="I6" s="3">
        <v>0</v>
      </c>
      <c r="J6" s="5">
        <v>274</v>
      </c>
      <c r="K6" s="18">
        <f t="shared" si="3"/>
        <v>21.076923076923077</v>
      </c>
    </row>
    <row r="7" spans="1:11" x14ac:dyDescent="0.3">
      <c r="A7" s="14">
        <v>2020</v>
      </c>
      <c r="B7" s="14">
        <f t="shared" si="2"/>
        <v>49</v>
      </c>
      <c r="C7" s="9">
        <v>44165</v>
      </c>
      <c r="D7" s="9">
        <v>44171</v>
      </c>
      <c r="E7" s="14">
        <f>VLOOKUP(F7,CarrierID!A:B,2,0)</f>
        <v>11</v>
      </c>
      <c r="F7" s="15" t="s">
        <v>5</v>
      </c>
      <c r="G7" t="str">
        <f>VLOOKUP(F7,Carrier_Category!A:B,2,0)</f>
        <v>Intercity</v>
      </c>
      <c r="H7" s="5">
        <v>11</v>
      </c>
      <c r="I7" s="3">
        <v>0</v>
      </c>
      <c r="J7" s="5">
        <v>212</v>
      </c>
      <c r="K7" s="18">
        <f t="shared" si="3"/>
        <v>19.272727272727273</v>
      </c>
    </row>
    <row r="8" spans="1:11" x14ac:dyDescent="0.3">
      <c r="A8" s="14">
        <v>2020</v>
      </c>
      <c r="B8" s="14">
        <f t="shared" si="2"/>
        <v>49</v>
      </c>
      <c r="C8" s="9">
        <v>44165</v>
      </c>
      <c r="D8" s="9">
        <v>44171</v>
      </c>
      <c r="E8" s="14">
        <f>VLOOKUP(F8,CarrierID!A:B,2,0)</f>
        <v>3</v>
      </c>
      <c r="F8" s="15" t="s">
        <v>6</v>
      </c>
      <c r="G8" t="str">
        <f>VLOOKUP(F8,Carrier_Category!A:B,2,0)</f>
        <v>Commuter</v>
      </c>
      <c r="H8" s="5">
        <v>83</v>
      </c>
      <c r="I8" s="3">
        <v>0</v>
      </c>
      <c r="J8" s="5">
        <v>1626</v>
      </c>
      <c r="K8" s="18">
        <f t="shared" si="3"/>
        <v>19.590361445783131</v>
      </c>
    </row>
    <row r="9" spans="1:11" x14ac:dyDescent="0.3">
      <c r="A9" s="14">
        <v>2020</v>
      </c>
      <c r="B9" s="14">
        <f t="shared" si="2"/>
        <v>49</v>
      </c>
      <c r="C9" s="9">
        <v>44165</v>
      </c>
      <c r="D9" s="9">
        <v>44171</v>
      </c>
      <c r="E9" s="14">
        <f>VLOOKUP(F9,CarrierID!A:B,2,0)</f>
        <v>12</v>
      </c>
      <c r="F9" s="15" t="s">
        <v>25</v>
      </c>
      <c r="G9" t="str">
        <f>VLOOKUP(F9,Carrier_Category!A:B,2,0)</f>
        <v>Commuter</v>
      </c>
      <c r="H9" s="5">
        <v>12</v>
      </c>
      <c r="I9" s="3">
        <v>0</v>
      </c>
      <c r="J9" s="5">
        <v>319</v>
      </c>
      <c r="K9" s="18">
        <f t="shared" si="3"/>
        <v>26.583333333333332</v>
      </c>
    </row>
    <row r="10" spans="1:11" x14ac:dyDescent="0.3">
      <c r="A10" s="14">
        <v>2020</v>
      </c>
      <c r="B10" s="14">
        <f t="shared" si="2"/>
        <v>49</v>
      </c>
      <c r="C10" s="9">
        <v>44165</v>
      </c>
      <c r="D10" s="9">
        <v>44171</v>
      </c>
      <c r="E10" s="14">
        <f>VLOOKUP(F10,CarrierID!A:B,2,0)</f>
        <v>10</v>
      </c>
      <c r="F10" s="15" t="s">
        <v>8</v>
      </c>
      <c r="G10" t="str">
        <f>VLOOKUP(F10,Carrier_Category!A:B,2,0)</f>
        <v>Intercity</v>
      </c>
      <c r="H10" s="5">
        <v>14</v>
      </c>
      <c r="I10" s="3">
        <v>0</v>
      </c>
      <c r="J10" s="5">
        <v>301</v>
      </c>
      <c r="K10" s="18">
        <f t="shared" si="3"/>
        <v>21.5</v>
      </c>
    </row>
    <row r="11" spans="1:11" x14ac:dyDescent="0.3">
      <c r="A11" s="14">
        <v>2020</v>
      </c>
      <c r="B11" s="14">
        <f t="shared" si="2"/>
        <v>49</v>
      </c>
      <c r="C11" s="9">
        <v>44165</v>
      </c>
      <c r="D11" s="9">
        <v>44171</v>
      </c>
      <c r="E11" s="14">
        <f>VLOOKUP(F11,CarrierID!A:B,2,0)</f>
        <v>2</v>
      </c>
      <c r="F11" s="15" t="s">
        <v>44</v>
      </c>
      <c r="G11" t="str">
        <f>VLOOKUP(F11,Carrier_Category!A:B,2,0)</f>
        <v>Other</v>
      </c>
      <c r="H11" s="5">
        <v>1</v>
      </c>
      <c r="I11" s="3">
        <v>0</v>
      </c>
      <c r="J11" s="5">
        <v>7</v>
      </c>
      <c r="K11" s="18">
        <f t="shared" si="3"/>
        <v>7</v>
      </c>
    </row>
    <row r="12" spans="1:11" x14ac:dyDescent="0.3">
      <c r="A12" s="14">
        <v>2020</v>
      </c>
      <c r="B12" s="14">
        <f t="shared" si="2"/>
        <v>49</v>
      </c>
      <c r="C12" s="9">
        <v>44165</v>
      </c>
      <c r="D12" s="9">
        <v>44171</v>
      </c>
      <c r="E12" s="14">
        <f>VLOOKUP(F12,CarrierID!A:B,2,0)</f>
        <v>6</v>
      </c>
      <c r="F12" s="15" t="s">
        <v>9</v>
      </c>
      <c r="G12" t="str">
        <f>VLOOKUP(F12,Carrier_Category!A:B,2,0)</f>
        <v>Commuter</v>
      </c>
      <c r="H12" s="5">
        <v>74</v>
      </c>
      <c r="I12" s="3">
        <v>0</v>
      </c>
      <c r="J12" s="5">
        <v>1199</v>
      </c>
      <c r="K12" s="18">
        <f t="shared" si="3"/>
        <v>16.202702702702702</v>
      </c>
    </row>
    <row r="13" spans="1:11" x14ac:dyDescent="0.3">
      <c r="A13" s="14">
        <v>2020</v>
      </c>
      <c r="B13" s="14">
        <f t="shared" si="2"/>
        <v>50</v>
      </c>
      <c r="C13" s="9">
        <v>44172</v>
      </c>
      <c r="D13" s="9">
        <v>44176</v>
      </c>
      <c r="E13" s="14">
        <f>VLOOKUP(F13,CarrierID!A:B,2,0)</f>
        <v>1</v>
      </c>
      <c r="F13" s="15" t="s">
        <v>0</v>
      </c>
      <c r="G13" t="str">
        <f>VLOOKUP(F13,Carrier_Category!A:B,2,0)</f>
        <v>Commuter</v>
      </c>
      <c r="H13" s="5">
        <v>37</v>
      </c>
      <c r="I13" s="7">
        <f t="shared" ref="I13:I76" si="4">H2</f>
        <v>37</v>
      </c>
      <c r="J13" s="5">
        <v>613</v>
      </c>
      <c r="K13" s="18">
        <f t="shared" si="3"/>
        <v>16.567567567567568</v>
      </c>
    </row>
    <row r="14" spans="1:11" x14ac:dyDescent="0.3">
      <c r="A14" s="14">
        <v>2020</v>
      </c>
      <c r="B14" s="14">
        <f t="shared" si="2"/>
        <v>50</v>
      </c>
      <c r="C14" s="9">
        <v>44172</v>
      </c>
      <c r="D14" s="9">
        <v>44176</v>
      </c>
      <c r="E14" s="14">
        <f>VLOOKUP(F14,CarrierID!A:B,2,0)</f>
        <v>5</v>
      </c>
      <c r="F14" s="15" t="s">
        <v>1</v>
      </c>
      <c r="G14" t="str">
        <f>VLOOKUP(F14,Carrier_Category!A:B,2,0)</f>
        <v>Intercity</v>
      </c>
      <c r="H14" s="5">
        <v>33</v>
      </c>
      <c r="I14" s="7">
        <f t="shared" si="4"/>
        <v>36</v>
      </c>
      <c r="J14" s="5">
        <v>702</v>
      </c>
      <c r="K14" s="18">
        <f t="shared" si="3"/>
        <v>21.272727272727273</v>
      </c>
    </row>
    <row r="15" spans="1:11" x14ac:dyDescent="0.3">
      <c r="A15" s="14">
        <v>2020</v>
      </c>
      <c r="B15" s="14">
        <f t="shared" si="2"/>
        <v>50</v>
      </c>
      <c r="C15" s="9">
        <v>44172</v>
      </c>
      <c r="D15" s="9">
        <v>44176</v>
      </c>
      <c r="E15" s="14">
        <f>VLOOKUP(F15,CarrierID!A:B,2,0)</f>
        <v>8</v>
      </c>
      <c r="F15" s="15" t="s">
        <v>2</v>
      </c>
      <c r="G15" t="str">
        <f>VLOOKUP(F15,Carrier_Category!A:B,2,0)</f>
        <v>Commuter</v>
      </c>
      <c r="H15" s="5">
        <v>14</v>
      </c>
      <c r="I15" s="7">
        <f t="shared" si="4"/>
        <v>17</v>
      </c>
      <c r="J15" s="5">
        <v>475</v>
      </c>
      <c r="K15" s="18">
        <f t="shared" si="3"/>
        <v>33.928571428571431</v>
      </c>
    </row>
    <row r="16" spans="1:11" x14ac:dyDescent="0.3">
      <c r="A16" s="14">
        <v>2020</v>
      </c>
      <c r="B16" s="14">
        <f t="shared" si="2"/>
        <v>50</v>
      </c>
      <c r="C16" s="9">
        <v>44172</v>
      </c>
      <c r="D16" s="9">
        <v>44176</v>
      </c>
      <c r="E16" s="14">
        <f>VLOOKUP(F16,CarrierID!A:B,2,0)</f>
        <v>9</v>
      </c>
      <c r="F16" s="15" t="s">
        <v>3</v>
      </c>
      <c r="G16" t="str">
        <f>VLOOKUP(F16,Carrier_Category!A:B,2,0)</f>
        <v>NJT</v>
      </c>
      <c r="H16" s="5">
        <v>2199</v>
      </c>
      <c r="I16" s="7">
        <f t="shared" si="4"/>
        <v>2108</v>
      </c>
      <c r="J16" s="5">
        <v>27174</v>
      </c>
      <c r="K16" s="18">
        <f t="shared" si="3"/>
        <v>12.357435197817189</v>
      </c>
    </row>
    <row r="17" spans="1:11" x14ac:dyDescent="0.3">
      <c r="A17" s="14">
        <v>2020</v>
      </c>
      <c r="B17" s="14">
        <f t="shared" si="2"/>
        <v>50</v>
      </c>
      <c r="C17" s="9">
        <v>44172</v>
      </c>
      <c r="D17" s="9">
        <v>44176</v>
      </c>
      <c r="E17" s="14">
        <f>VLOOKUP(F17,CarrierID!A:B,2,0)</f>
        <v>7</v>
      </c>
      <c r="F17" s="15" t="s">
        <v>4</v>
      </c>
      <c r="G17" t="str">
        <f>VLOOKUP(F17,Carrier_Category!A:B,2,0)</f>
        <v>Commuter</v>
      </c>
      <c r="H17" s="5">
        <v>13</v>
      </c>
      <c r="I17" s="7">
        <f t="shared" si="4"/>
        <v>13</v>
      </c>
      <c r="J17" s="5">
        <v>280</v>
      </c>
      <c r="K17" s="18">
        <f t="shared" si="3"/>
        <v>21.53846153846154</v>
      </c>
    </row>
    <row r="18" spans="1:11" x14ac:dyDescent="0.3">
      <c r="A18" s="14">
        <v>2020</v>
      </c>
      <c r="B18" s="14">
        <f t="shared" si="2"/>
        <v>50</v>
      </c>
      <c r="C18" s="9">
        <v>44172</v>
      </c>
      <c r="D18" s="9">
        <v>44176</v>
      </c>
      <c r="E18" s="14">
        <f>VLOOKUP(F18,CarrierID!A:B,2,0)</f>
        <v>11</v>
      </c>
      <c r="F18" s="15" t="s">
        <v>5</v>
      </c>
      <c r="G18" t="str">
        <f>VLOOKUP(F18,Carrier_Category!A:B,2,0)</f>
        <v>Intercity</v>
      </c>
      <c r="H18" s="5">
        <v>11</v>
      </c>
      <c r="I18" s="7">
        <f t="shared" si="4"/>
        <v>11</v>
      </c>
      <c r="J18" s="5">
        <v>188</v>
      </c>
      <c r="K18" s="18">
        <f t="shared" si="3"/>
        <v>17.09090909090909</v>
      </c>
    </row>
    <row r="19" spans="1:11" x14ac:dyDescent="0.3">
      <c r="A19" s="14">
        <v>2020</v>
      </c>
      <c r="B19" s="14">
        <f t="shared" si="2"/>
        <v>50</v>
      </c>
      <c r="C19" s="9">
        <v>44172</v>
      </c>
      <c r="D19" s="9">
        <v>44176</v>
      </c>
      <c r="E19" s="14">
        <f>VLOOKUP(F19,CarrierID!A:B,2,0)</f>
        <v>3</v>
      </c>
      <c r="F19" s="15" t="s">
        <v>6</v>
      </c>
      <c r="G19" t="str">
        <f>VLOOKUP(F19,Carrier_Category!A:B,2,0)</f>
        <v>Commuter</v>
      </c>
      <c r="H19" s="5">
        <v>83</v>
      </c>
      <c r="I19" s="7">
        <f t="shared" si="4"/>
        <v>83</v>
      </c>
      <c r="J19" s="5">
        <v>1605</v>
      </c>
      <c r="K19" s="18">
        <f t="shared" si="3"/>
        <v>19.337349397590362</v>
      </c>
    </row>
    <row r="20" spans="1:11" x14ac:dyDescent="0.3">
      <c r="A20" s="14">
        <v>2020</v>
      </c>
      <c r="B20" s="14">
        <f t="shared" si="2"/>
        <v>50</v>
      </c>
      <c r="C20" s="9">
        <v>44172</v>
      </c>
      <c r="D20" s="9">
        <v>44176</v>
      </c>
      <c r="E20" s="14">
        <f>VLOOKUP(F20,CarrierID!A:B,2,0)</f>
        <v>12</v>
      </c>
      <c r="F20" s="15" t="s">
        <v>25</v>
      </c>
      <c r="G20" t="str">
        <f>VLOOKUP(F20,Carrier_Category!A:B,2,0)</f>
        <v>Commuter</v>
      </c>
      <c r="H20" s="5">
        <v>12</v>
      </c>
      <c r="I20" s="7">
        <f t="shared" si="4"/>
        <v>12</v>
      </c>
      <c r="J20" s="5">
        <v>310</v>
      </c>
      <c r="K20" s="18">
        <f t="shared" si="3"/>
        <v>25.833333333333332</v>
      </c>
    </row>
    <row r="21" spans="1:11" x14ac:dyDescent="0.3">
      <c r="A21" s="14">
        <v>2020</v>
      </c>
      <c r="B21" s="14">
        <f t="shared" si="2"/>
        <v>50</v>
      </c>
      <c r="C21" s="9">
        <v>44172</v>
      </c>
      <c r="D21" s="9">
        <v>44176</v>
      </c>
      <c r="E21" s="14">
        <f>VLOOKUP(F21,CarrierID!A:B,2,0)</f>
        <v>10</v>
      </c>
      <c r="F21" s="15" t="s">
        <v>8</v>
      </c>
      <c r="G21" t="str">
        <f>VLOOKUP(F21,Carrier_Category!A:B,2,0)</f>
        <v>Intercity</v>
      </c>
      <c r="H21" s="5">
        <v>12</v>
      </c>
      <c r="I21" s="7">
        <f t="shared" si="4"/>
        <v>14</v>
      </c>
      <c r="J21" s="5">
        <v>251</v>
      </c>
      <c r="K21" s="18">
        <f t="shared" si="3"/>
        <v>20.916666666666668</v>
      </c>
    </row>
    <row r="22" spans="1:11" x14ac:dyDescent="0.3">
      <c r="A22" s="14">
        <v>2020</v>
      </c>
      <c r="B22" s="14">
        <f t="shared" si="2"/>
        <v>50</v>
      </c>
      <c r="C22" s="9">
        <v>44172</v>
      </c>
      <c r="D22" s="9">
        <v>44176</v>
      </c>
      <c r="E22" s="14">
        <f>VLOOKUP(F22,CarrierID!A:B,2,0)</f>
        <v>2</v>
      </c>
      <c r="F22" s="15" t="s">
        <v>44</v>
      </c>
      <c r="G22" t="str">
        <f>VLOOKUP(F22,Carrier_Category!A:B,2,0)</f>
        <v>Other</v>
      </c>
      <c r="H22" s="5">
        <v>1</v>
      </c>
      <c r="I22" s="7">
        <f t="shared" si="4"/>
        <v>1</v>
      </c>
      <c r="J22" s="5">
        <v>8</v>
      </c>
      <c r="K22" s="18">
        <f t="shared" si="3"/>
        <v>8</v>
      </c>
    </row>
    <row r="23" spans="1:11" x14ac:dyDescent="0.3">
      <c r="A23" s="14">
        <v>2020</v>
      </c>
      <c r="B23" s="14">
        <f t="shared" si="2"/>
        <v>50</v>
      </c>
      <c r="C23" s="9">
        <v>44172</v>
      </c>
      <c r="D23" s="9">
        <v>44176</v>
      </c>
      <c r="E23" s="14">
        <f>VLOOKUP(F23,CarrierID!A:B,2,0)</f>
        <v>6</v>
      </c>
      <c r="F23" s="15" t="s">
        <v>9</v>
      </c>
      <c r="G23" t="str">
        <f>VLOOKUP(F23,Carrier_Category!A:B,2,0)</f>
        <v>Commuter</v>
      </c>
      <c r="H23" s="5">
        <v>74</v>
      </c>
      <c r="I23" s="7">
        <f t="shared" si="4"/>
        <v>74</v>
      </c>
      <c r="J23" s="5">
        <v>1199</v>
      </c>
      <c r="K23" s="18">
        <f t="shared" si="3"/>
        <v>16.202702702702702</v>
      </c>
    </row>
    <row r="24" spans="1:11" x14ac:dyDescent="0.3">
      <c r="A24" s="14">
        <v>2020</v>
      </c>
      <c r="B24" s="14">
        <f t="shared" si="2"/>
        <v>51</v>
      </c>
      <c r="C24" s="9">
        <v>44179</v>
      </c>
      <c r="D24" s="9">
        <v>44183</v>
      </c>
      <c r="E24" s="14">
        <f>VLOOKUP(F24,CarrierID!A:B,2,0)</f>
        <v>1</v>
      </c>
      <c r="F24" s="15" t="s">
        <v>0</v>
      </c>
      <c r="G24" t="str">
        <f>VLOOKUP(F24,Carrier_Category!A:B,2,0)</f>
        <v>Commuter</v>
      </c>
      <c r="H24" s="5">
        <v>37</v>
      </c>
      <c r="I24" s="7">
        <f t="shared" si="4"/>
        <v>37</v>
      </c>
      <c r="J24" s="5">
        <v>581</v>
      </c>
      <c r="K24" s="18">
        <f t="shared" si="3"/>
        <v>15.702702702702704</v>
      </c>
    </row>
    <row r="25" spans="1:11" x14ac:dyDescent="0.3">
      <c r="A25" s="14">
        <v>2020</v>
      </c>
      <c r="B25" s="14">
        <f t="shared" si="2"/>
        <v>51</v>
      </c>
      <c r="C25" s="9">
        <v>44179</v>
      </c>
      <c r="D25" s="9">
        <v>44183</v>
      </c>
      <c r="E25" s="14">
        <f>VLOOKUP(F25,CarrierID!A:B,2,0)</f>
        <v>5</v>
      </c>
      <c r="F25" s="15" t="s">
        <v>1</v>
      </c>
      <c r="G25" t="str">
        <f>VLOOKUP(F25,Carrier_Category!A:B,2,0)</f>
        <v>Intercity</v>
      </c>
      <c r="H25" s="5">
        <v>34</v>
      </c>
      <c r="I25" s="7">
        <f t="shared" si="4"/>
        <v>33</v>
      </c>
      <c r="J25" s="5">
        <v>771</v>
      </c>
      <c r="K25" s="18">
        <f t="shared" si="3"/>
        <v>22.676470588235293</v>
      </c>
    </row>
    <row r="26" spans="1:11" x14ac:dyDescent="0.3">
      <c r="A26" s="14">
        <v>2020</v>
      </c>
      <c r="B26" s="14">
        <f t="shared" si="2"/>
        <v>51</v>
      </c>
      <c r="C26" s="9">
        <v>44179</v>
      </c>
      <c r="D26" s="9">
        <v>44183</v>
      </c>
      <c r="E26" s="14">
        <f>VLOOKUP(F26,CarrierID!A:B,2,0)</f>
        <v>8</v>
      </c>
      <c r="F26" s="15" t="s">
        <v>2</v>
      </c>
      <c r="G26" t="str">
        <f>VLOOKUP(F26,Carrier_Category!A:B,2,0)</f>
        <v>Commuter</v>
      </c>
      <c r="H26" s="5">
        <v>13</v>
      </c>
      <c r="I26" s="7">
        <f t="shared" si="4"/>
        <v>14</v>
      </c>
      <c r="J26" s="5">
        <v>466</v>
      </c>
      <c r="K26" s="18">
        <f t="shared" si="3"/>
        <v>35.846153846153847</v>
      </c>
    </row>
    <row r="27" spans="1:11" x14ac:dyDescent="0.3">
      <c r="A27" s="14">
        <v>2020</v>
      </c>
      <c r="B27" s="14">
        <f t="shared" si="2"/>
        <v>51</v>
      </c>
      <c r="C27" s="9">
        <v>44179</v>
      </c>
      <c r="D27" s="9">
        <v>44183</v>
      </c>
      <c r="E27" s="14">
        <f>VLOOKUP(F27,CarrierID!A:B,2,0)</f>
        <v>9</v>
      </c>
      <c r="F27" s="15" t="s">
        <v>3</v>
      </c>
      <c r="G27" t="str">
        <f>VLOOKUP(F27,Carrier_Category!A:B,2,0)</f>
        <v>NJT</v>
      </c>
      <c r="H27" s="5">
        <v>2039</v>
      </c>
      <c r="I27" s="7">
        <f t="shared" si="4"/>
        <v>2199</v>
      </c>
      <c r="J27" s="5">
        <v>26444</v>
      </c>
      <c r="K27" s="18">
        <f t="shared" si="3"/>
        <v>12.969102501226091</v>
      </c>
    </row>
    <row r="28" spans="1:11" x14ac:dyDescent="0.3">
      <c r="A28" s="14">
        <v>2020</v>
      </c>
      <c r="B28" s="14">
        <f t="shared" si="2"/>
        <v>51</v>
      </c>
      <c r="C28" s="9">
        <v>44179</v>
      </c>
      <c r="D28" s="9">
        <v>44183</v>
      </c>
      <c r="E28" s="14">
        <f>VLOOKUP(F28,CarrierID!A:B,2,0)</f>
        <v>7</v>
      </c>
      <c r="F28" s="15" t="s">
        <v>4</v>
      </c>
      <c r="G28" t="str">
        <f>VLOOKUP(F28,Carrier_Category!A:B,2,0)</f>
        <v>Commuter</v>
      </c>
      <c r="H28" s="5">
        <v>12</v>
      </c>
      <c r="I28" s="7">
        <f t="shared" si="4"/>
        <v>13</v>
      </c>
      <c r="J28" s="5">
        <v>271</v>
      </c>
      <c r="K28" s="18">
        <f t="shared" si="3"/>
        <v>22.583333333333332</v>
      </c>
    </row>
    <row r="29" spans="1:11" x14ac:dyDescent="0.3">
      <c r="A29" s="14">
        <v>2020</v>
      </c>
      <c r="B29" s="14">
        <f t="shared" si="2"/>
        <v>51</v>
      </c>
      <c r="C29" s="9">
        <v>44179</v>
      </c>
      <c r="D29" s="9">
        <v>44183</v>
      </c>
      <c r="E29" s="14">
        <f>VLOOKUP(F29,CarrierID!A:B,2,0)</f>
        <v>11</v>
      </c>
      <c r="F29" s="15" t="s">
        <v>5</v>
      </c>
      <c r="G29" t="str">
        <f>VLOOKUP(F29,Carrier_Category!A:B,2,0)</f>
        <v>Intercity</v>
      </c>
      <c r="H29" s="5">
        <v>11</v>
      </c>
      <c r="I29" s="7">
        <f t="shared" si="4"/>
        <v>11</v>
      </c>
      <c r="J29" s="5">
        <v>197</v>
      </c>
      <c r="K29" s="18">
        <f t="shared" si="3"/>
        <v>17.90909090909091</v>
      </c>
    </row>
    <row r="30" spans="1:11" x14ac:dyDescent="0.3">
      <c r="A30" s="14">
        <v>2020</v>
      </c>
      <c r="B30" s="14">
        <f t="shared" si="2"/>
        <v>51</v>
      </c>
      <c r="C30" s="9">
        <v>44179</v>
      </c>
      <c r="D30" s="9">
        <v>44183</v>
      </c>
      <c r="E30" s="14">
        <f>VLOOKUP(F30,CarrierID!A:B,2,0)</f>
        <v>3</v>
      </c>
      <c r="F30" s="15" t="s">
        <v>6</v>
      </c>
      <c r="G30" t="str">
        <f>VLOOKUP(F30,Carrier_Category!A:B,2,0)</f>
        <v>Commuter</v>
      </c>
      <c r="H30" s="5">
        <v>83</v>
      </c>
      <c r="I30" s="7">
        <f t="shared" si="4"/>
        <v>83</v>
      </c>
      <c r="J30" s="5">
        <v>1604</v>
      </c>
      <c r="K30" s="18">
        <f t="shared" si="3"/>
        <v>19.325301204819276</v>
      </c>
    </row>
    <row r="31" spans="1:11" x14ac:dyDescent="0.3">
      <c r="A31" s="14">
        <v>2020</v>
      </c>
      <c r="B31" s="14">
        <f t="shared" si="2"/>
        <v>51</v>
      </c>
      <c r="C31" s="9">
        <v>44179</v>
      </c>
      <c r="D31" s="9">
        <v>44183</v>
      </c>
      <c r="E31" s="14">
        <f>VLOOKUP(F31,CarrierID!A:B,2,0)</f>
        <v>12</v>
      </c>
      <c r="F31" s="15" t="s">
        <v>25</v>
      </c>
      <c r="G31" t="str">
        <f>VLOOKUP(F31,Carrier_Category!A:B,2,0)</f>
        <v>Commuter</v>
      </c>
      <c r="H31" s="5">
        <v>12</v>
      </c>
      <c r="I31" s="7">
        <f t="shared" si="4"/>
        <v>12</v>
      </c>
      <c r="J31" s="5">
        <v>307</v>
      </c>
      <c r="K31" s="18">
        <f t="shared" si="3"/>
        <v>25.583333333333332</v>
      </c>
    </row>
    <row r="32" spans="1:11" x14ac:dyDescent="0.3">
      <c r="A32" s="14">
        <v>2020</v>
      </c>
      <c r="B32" s="14">
        <f t="shared" si="2"/>
        <v>51</v>
      </c>
      <c r="C32" s="9">
        <v>44179</v>
      </c>
      <c r="D32" s="9">
        <v>44183</v>
      </c>
      <c r="E32" s="14">
        <f>VLOOKUP(F32,CarrierID!A:B,2,0)</f>
        <v>10</v>
      </c>
      <c r="F32" s="15" t="s">
        <v>8</v>
      </c>
      <c r="G32" t="str">
        <f>VLOOKUP(F32,Carrier_Category!A:B,2,0)</f>
        <v>Intercity</v>
      </c>
      <c r="H32" s="5">
        <v>9</v>
      </c>
      <c r="I32" s="7">
        <f t="shared" si="4"/>
        <v>12</v>
      </c>
      <c r="J32" s="5">
        <v>244</v>
      </c>
      <c r="K32" s="18">
        <f t="shared" si="3"/>
        <v>27.111111111111111</v>
      </c>
    </row>
    <row r="33" spans="1:11" x14ac:dyDescent="0.3">
      <c r="A33" s="14">
        <v>2020</v>
      </c>
      <c r="B33" s="14">
        <f t="shared" si="2"/>
        <v>51</v>
      </c>
      <c r="C33" s="9">
        <v>44179</v>
      </c>
      <c r="D33" s="9">
        <v>44183</v>
      </c>
      <c r="E33" s="14">
        <f>VLOOKUP(F33,CarrierID!A:B,2,0)</f>
        <v>2</v>
      </c>
      <c r="F33" s="15" t="s">
        <v>44</v>
      </c>
      <c r="G33" t="str">
        <f>VLOOKUP(F33,Carrier_Category!A:B,2,0)</f>
        <v>Other</v>
      </c>
      <c r="H33" s="5">
        <v>1</v>
      </c>
      <c r="I33" s="7">
        <f t="shared" si="4"/>
        <v>1</v>
      </c>
      <c r="J33" s="5">
        <v>8</v>
      </c>
      <c r="K33" s="18">
        <f t="shared" si="3"/>
        <v>8</v>
      </c>
    </row>
    <row r="34" spans="1:11" x14ac:dyDescent="0.3">
      <c r="A34" s="14">
        <v>2020</v>
      </c>
      <c r="B34" s="14">
        <f t="shared" si="2"/>
        <v>51</v>
      </c>
      <c r="C34" s="9">
        <v>44179</v>
      </c>
      <c r="D34" s="9">
        <v>44183</v>
      </c>
      <c r="E34" s="14">
        <f>VLOOKUP(F34,CarrierID!A:B,2,0)</f>
        <v>6</v>
      </c>
      <c r="F34" s="15" t="s">
        <v>9</v>
      </c>
      <c r="G34" t="str">
        <f>VLOOKUP(F34,Carrier_Category!A:B,2,0)</f>
        <v>Commuter</v>
      </c>
      <c r="H34" s="5">
        <v>75</v>
      </c>
      <c r="I34" s="7">
        <f t="shared" si="4"/>
        <v>74</v>
      </c>
      <c r="J34" s="5">
        <v>1153</v>
      </c>
      <c r="K34" s="18">
        <f t="shared" si="3"/>
        <v>15.373333333333333</v>
      </c>
    </row>
    <row r="35" spans="1:11" x14ac:dyDescent="0.3">
      <c r="A35" s="14">
        <v>2020</v>
      </c>
      <c r="B35" s="14">
        <f t="shared" si="2"/>
        <v>52</v>
      </c>
      <c r="C35" s="9">
        <v>44186</v>
      </c>
      <c r="D35" s="9">
        <v>44190</v>
      </c>
      <c r="E35" s="14">
        <f>VLOOKUP(F35,CarrierID!A:B,2,0)</f>
        <v>1</v>
      </c>
      <c r="F35" s="15" t="s">
        <v>0</v>
      </c>
      <c r="G35" t="str">
        <f>VLOOKUP(F35,Carrier_Category!A:B,2,0)</f>
        <v>Commuter</v>
      </c>
      <c r="H35" s="5">
        <v>31</v>
      </c>
      <c r="I35" s="7">
        <f t="shared" si="4"/>
        <v>37</v>
      </c>
      <c r="J35" s="5">
        <v>568</v>
      </c>
      <c r="K35" s="18">
        <f t="shared" si="3"/>
        <v>18.322580645161292</v>
      </c>
    </row>
    <row r="36" spans="1:11" x14ac:dyDescent="0.3">
      <c r="A36" s="14">
        <v>2020</v>
      </c>
      <c r="B36" s="14">
        <f t="shared" si="2"/>
        <v>52</v>
      </c>
      <c r="C36" s="9">
        <v>44186</v>
      </c>
      <c r="D36" s="9">
        <v>44190</v>
      </c>
      <c r="E36" s="14">
        <f>VLOOKUP(F36,CarrierID!A:B,2,0)</f>
        <v>5</v>
      </c>
      <c r="F36" s="15" t="s">
        <v>1</v>
      </c>
      <c r="G36" t="str">
        <f>VLOOKUP(F36,Carrier_Category!A:B,2,0)</f>
        <v>Intercity</v>
      </c>
      <c r="H36" s="5">
        <v>40</v>
      </c>
      <c r="I36" s="7">
        <f t="shared" si="4"/>
        <v>34</v>
      </c>
      <c r="J36" s="5">
        <v>1072</v>
      </c>
      <c r="K36" s="18">
        <f t="shared" si="3"/>
        <v>26.8</v>
      </c>
    </row>
    <row r="37" spans="1:11" x14ac:dyDescent="0.3">
      <c r="A37" s="14">
        <v>2020</v>
      </c>
      <c r="B37" s="14">
        <f t="shared" si="2"/>
        <v>52</v>
      </c>
      <c r="C37" s="9">
        <v>44186</v>
      </c>
      <c r="D37" s="9">
        <v>44190</v>
      </c>
      <c r="E37" s="14">
        <f>VLOOKUP(F37,CarrierID!A:B,2,0)</f>
        <v>8</v>
      </c>
      <c r="F37" s="15" t="s">
        <v>2</v>
      </c>
      <c r="G37" t="str">
        <f>VLOOKUP(F37,Carrier_Category!A:B,2,0)</f>
        <v>Commuter</v>
      </c>
      <c r="H37" s="5">
        <v>13</v>
      </c>
      <c r="I37" s="7">
        <f t="shared" si="4"/>
        <v>13</v>
      </c>
      <c r="J37" s="5">
        <v>487</v>
      </c>
      <c r="K37" s="18">
        <f t="shared" si="3"/>
        <v>37.46153846153846</v>
      </c>
    </row>
    <row r="38" spans="1:11" x14ac:dyDescent="0.3">
      <c r="A38" s="14">
        <v>2020</v>
      </c>
      <c r="B38" s="14">
        <f t="shared" si="2"/>
        <v>52</v>
      </c>
      <c r="C38" s="9">
        <v>44186</v>
      </c>
      <c r="D38" s="9">
        <v>44190</v>
      </c>
      <c r="E38" s="14">
        <f>VLOOKUP(F38,CarrierID!A:B,2,0)</f>
        <v>9</v>
      </c>
      <c r="F38" s="15" t="s">
        <v>3</v>
      </c>
      <c r="G38" t="str">
        <f>VLOOKUP(F38,Carrier_Category!A:B,2,0)</f>
        <v>NJT</v>
      </c>
      <c r="H38" s="5">
        <v>2125</v>
      </c>
      <c r="I38" s="7">
        <f t="shared" si="4"/>
        <v>2039</v>
      </c>
      <c r="J38" s="5">
        <v>25008</v>
      </c>
      <c r="K38" s="18">
        <f t="shared" si="3"/>
        <v>11.768470588235294</v>
      </c>
    </row>
    <row r="39" spans="1:11" x14ac:dyDescent="0.3">
      <c r="A39" s="14">
        <v>2020</v>
      </c>
      <c r="B39" s="14">
        <f t="shared" si="2"/>
        <v>52</v>
      </c>
      <c r="C39" s="9">
        <v>44186</v>
      </c>
      <c r="D39" s="9">
        <v>44190</v>
      </c>
      <c r="E39" s="14">
        <f>VLOOKUP(F39,CarrierID!A:B,2,0)</f>
        <v>7</v>
      </c>
      <c r="F39" s="15" t="s">
        <v>4</v>
      </c>
      <c r="G39" t="str">
        <f>VLOOKUP(F39,Carrier_Category!A:B,2,0)</f>
        <v>Commuter</v>
      </c>
      <c r="H39" s="5">
        <v>13</v>
      </c>
      <c r="I39" s="7">
        <f t="shared" si="4"/>
        <v>12</v>
      </c>
      <c r="J39" s="5">
        <v>263</v>
      </c>
      <c r="K39" s="18">
        <f t="shared" si="3"/>
        <v>20.23076923076923</v>
      </c>
    </row>
    <row r="40" spans="1:11" x14ac:dyDescent="0.3">
      <c r="A40" s="14">
        <v>2020</v>
      </c>
      <c r="B40" s="14">
        <f t="shared" si="2"/>
        <v>52</v>
      </c>
      <c r="C40" s="9">
        <v>44186</v>
      </c>
      <c r="D40" s="9">
        <v>44190</v>
      </c>
      <c r="E40" s="14">
        <f>VLOOKUP(F40,CarrierID!A:B,2,0)</f>
        <v>11</v>
      </c>
      <c r="F40" s="15" t="s">
        <v>5</v>
      </c>
      <c r="G40" t="str">
        <f>VLOOKUP(F40,Carrier_Category!A:B,2,0)</f>
        <v>Intercity</v>
      </c>
      <c r="H40" s="5">
        <v>11</v>
      </c>
      <c r="I40" s="7">
        <f t="shared" si="4"/>
        <v>11</v>
      </c>
      <c r="J40" s="5">
        <v>249</v>
      </c>
      <c r="K40" s="18">
        <f t="shared" si="3"/>
        <v>22.636363636363637</v>
      </c>
    </row>
    <row r="41" spans="1:11" x14ac:dyDescent="0.3">
      <c r="A41" s="14">
        <v>2020</v>
      </c>
      <c r="B41" s="14">
        <f t="shared" si="2"/>
        <v>52</v>
      </c>
      <c r="C41" s="9">
        <v>44186</v>
      </c>
      <c r="D41" s="9">
        <v>44190</v>
      </c>
      <c r="E41" s="14">
        <f>VLOOKUP(F41,CarrierID!A:B,2,0)</f>
        <v>3</v>
      </c>
      <c r="F41" s="15" t="s">
        <v>6</v>
      </c>
      <c r="G41" t="str">
        <f>VLOOKUP(F41,Carrier_Category!A:B,2,0)</f>
        <v>Commuter</v>
      </c>
      <c r="H41" s="5">
        <v>83</v>
      </c>
      <c r="I41" s="7">
        <f t="shared" si="4"/>
        <v>83</v>
      </c>
      <c r="J41" s="5">
        <v>1475</v>
      </c>
      <c r="K41" s="18">
        <f t="shared" si="3"/>
        <v>17.771084337349397</v>
      </c>
    </row>
    <row r="42" spans="1:11" x14ac:dyDescent="0.3">
      <c r="A42" s="14">
        <v>2020</v>
      </c>
      <c r="B42" s="14">
        <f t="shared" si="2"/>
        <v>52</v>
      </c>
      <c r="C42" s="9">
        <v>44186</v>
      </c>
      <c r="D42" s="9">
        <v>44190</v>
      </c>
      <c r="E42" s="14">
        <f>VLOOKUP(F42,CarrierID!A:B,2,0)</f>
        <v>12</v>
      </c>
      <c r="F42" s="15" t="s">
        <v>25</v>
      </c>
      <c r="G42" t="str">
        <f>VLOOKUP(F42,Carrier_Category!A:B,2,0)</f>
        <v>Commuter</v>
      </c>
      <c r="H42" s="5">
        <v>12</v>
      </c>
      <c r="I42" s="7">
        <f t="shared" si="4"/>
        <v>12</v>
      </c>
      <c r="J42" s="5">
        <v>340</v>
      </c>
      <c r="K42" s="18">
        <f t="shared" si="3"/>
        <v>28.333333333333332</v>
      </c>
    </row>
    <row r="43" spans="1:11" x14ac:dyDescent="0.3">
      <c r="A43" s="14">
        <v>2020</v>
      </c>
      <c r="B43" s="14">
        <f t="shared" si="2"/>
        <v>52</v>
      </c>
      <c r="C43" s="9">
        <v>44186</v>
      </c>
      <c r="D43" s="9">
        <v>44190</v>
      </c>
      <c r="E43" s="14">
        <f>VLOOKUP(F43,CarrierID!A:B,2,0)</f>
        <v>10</v>
      </c>
      <c r="F43" s="15" t="s">
        <v>8</v>
      </c>
      <c r="G43" t="str">
        <f>VLOOKUP(F43,Carrier_Category!A:B,2,0)</f>
        <v>Intercity</v>
      </c>
      <c r="H43" s="5">
        <v>9</v>
      </c>
      <c r="I43" s="7">
        <f t="shared" si="4"/>
        <v>9</v>
      </c>
      <c r="J43" s="5">
        <v>244</v>
      </c>
      <c r="K43" s="18">
        <f t="shared" si="3"/>
        <v>27.111111111111111</v>
      </c>
    </row>
    <row r="44" spans="1:11" x14ac:dyDescent="0.3">
      <c r="A44" s="14">
        <v>2020</v>
      </c>
      <c r="B44" s="14">
        <f t="shared" si="2"/>
        <v>52</v>
      </c>
      <c r="C44" s="9">
        <v>44186</v>
      </c>
      <c r="D44" s="9">
        <v>44190</v>
      </c>
      <c r="E44" s="14">
        <f>VLOOKUP(F44,CarrierID!A:B,2,0)</f>
        <v>2</v>
      </c>
      <c r="F44" s="15" t="s">
        <v>44</v>
      </c>
      <c r="G44" t="str">
        <f>VLOOKUP(F44,Carrier_Category!A:B,2,0)</f>
        <v>Other</v>
      </c>
      <c r="H44" s="5">
        <v>1</v>
      </c>
      <c r="I44" s="7">
        <f t="shared" si="4"/>
        <v>1</v>
      </c>
      <c r="J44" s="5">
        <v>6</v>
      </c>
      <c r="K44" s="18">
        <f t="shared" si="3"/>
        <v>6</v>
      </c>
    </row>
    <row r="45" spans="1:11" x14ac:dyDescent="0.3">
      <c r="A45" s="14">
        <v>2020</v>
      </c>
      <c r="B45" s="14">
        <f t="shared" si="2"/>
        <v>52</v>
      </c>
      <c r="C45" s="9">
        <v>44186</v>
      </c>
      <c r="D45" s="9">
        <v>44190</v>
      </c>
      <c r="E45" s="14">
        <f>VLOOKUP(F45,CarrierID!A:B,2,0)</f>
        <v>6</v>
      </c>
      <c r="F45" s="15" t="s">
        <v>9</v>
      </c>
      <c r="G45" t="str">
        <f>VLOOKUP(F45,Carrier_Category!A:B,2,0)</f>
        <v>Commuter</v>
      </c>
      <c r="H45" s="5">
        <v>69</v>
      </c>
      <c r="I45" s="7">
        <f t="shared" si="4"/>
        <v>75</v>
      </c>
      <c r="J45" s="5">
        <v>1172</v>
      </c>
      <c r="K45" s="18">
        <f t="shared" si="3"/>
        <v>16.985507246376812</v>
      </c>
    </row>
    <row r="46" spans="1:11" x14ac:dyDescent="0.3">
      <c r="A46" s="14">
        <v>2020</v>
      </c>
      <c r="B46" s="14">
        <f t="shared" si="2"/>
        <v>53</v>
      </c>
      <c r="C46" s="9">
        <v>44193</v>
      </c>
      <c r="D46" s="9">
        <v>44196</v>
      </c>
      <c r="E46" s="14">
        <f>VLOOKUP(F46,CarrierID!A:B,2,0)</f>
        <v>1</v>
      </c>
      <c r="F46" s="15" t="s">
        <v>0</v>
      </c>
      <c r="G46" t="str">
        <f>VLOOKUP(F46,Carrier_Category!A:B,2,0)</f>
        <v>Commuter</v>
      </c>
      <c r="I46" s="7">
        <f t="shared" si="4"/>
        <v>31</v>
      </c>
      <c r="K46" s="18" t="e">
        <f t="shared" si="3"/>
        <v>#DIV/0!</v>
      </c>
    </row>
    <row r="47" spans="1:11" x14ac:dyDescent="0.3">
      <c r="A47" s="14">
        <v>2020</v>
      </c>
      <c r="B47" s="14">
        <f t="shared" si="2"/>
        <v>53</v>
      </c>
      <c r="C47" s="9">
        <v>44193</v>
      </c>
      <c r="D47" s="9">
        <v>44196</v>
      </c>
      <c r="E47" s="14">
        <f>VLOOKUP(F47,CarrierID!A:B,2,0)</f>
        <v>5</v>
      </c>
      <c r="F47" s="15" t="s">
        <v>1</v>
      </c>
      <c r="G47" t="str">
        <f>VLOOKUP(F47,Carrier_Category!A:B,2,0)</f>
        <v>Intercity</v>
      </c>
      <c r="H47" s="5">
        <v>36</v>
      </c>
      <c r="I47" s="7">
        <f t="shared" si="4"/>
        <v>40</v>
      </c>
      <c r="J47" s="5">
        <v>977</v>
      </c>
      <c r="K47" s="18">
        <f t="shared" si="3"/>
        <v>27.138888888888889</v>
      </c>
    </row>
    <row r="48" spans="1:11" x14ac:dyDescent="0.3">
      <c r="A48" s="14">
        <v>2020</v>
      </c>
      <c r="B48" s="14">
        <f t="shared" si="2"/>
        <v>53</v>
      </c>
      <c r="C48" s="9">
        <v>44193</v>
      </c>
      <c r="D48" s="9">
        <v>44196</v>
      </c>
      <c r="E48" s="14">
        <f>VLOOKUP(F48,CarrierID!A:B,2,0)</f>
        <v>8</v>
      </c>
      <c r="F48" s="15" t="s">
        <v>2</v>
      </c>
      <c r="G48" t="str">
        <f>VLOOKUP(F48,Carrier_Category!A:B,2,0)</f>
        <v>Commuter</v>
      </c>
      <c r="H48" s="5">
        <v>13</v>
      </c>
      <c r="I48" s="7">
        <f t="shared" si="4"/>
        <v>13</v>
      </c>
      <c r="J48" s="5">
        <v>429</v>
      </c>
      <c r="K48" s="18">
        <f t="shared" si="3"/>
        <v>33</v>
      </c>
    </row>
    <row r="49" spans="1:11" x14ac:dyDescent="0.3">
      <c r="A49" s="14">
        <v>2020</v>
      </c>
      <c r="B49" s="14">
        <f t="shared" si="2"/>
        <v>53</v>
      </c>
      <c r="C49" s="9">
        <v>44193</v>
      </c>
      <c r="D49" s="9">
        <v>44196</v>
      </c>
      <c r="E49" s="14">
        <f>VLOOKUP(F49,CarrierID!A:B,2,0)</f>
        <v>9</v>
      </c>
      <c r="F49" s="15" t="s">
        <v>3</v>
      </c>
      <c r="G49" t="str">
        <f>VLOOKUP(F49,Carrier_Category!A:B,2,0)</f>
        <v>NJT</v>
      </c>
      <c r="H49" s="5">
        <v>2001</v>
      </c>
      <c r="I49" s="7">
        <f t="shared" si="4"/>
        <v>2125</v>
      </c>
      <c r="J49" s="5">
        <v>22446</v>
      </c>
      <c r="K49" s="18">
        <f t="shared" si="3"/>
        <v>11.217391304347826</v>
      </c>
    </row>
    <row r="50" spans="1:11" x14ac:dyDescent="0.3">
      <c r="A50" s="14">
        <v>2020</v>
      </c>
      <c r="B50" s="14">
        <f t="shared" si="2"/>
        <v>53</v>
      </c>
      <c r="C50" s="9">
        <v>44193</v>
      </c>
      <c r="D50" s="9">
        <v>44196</v>
      </c>
      <c r="E50" s="14">
        <f>VLOOKUP(F50,CarrierID!A:B,2,0)</f>
        <v>7</v>
      </c>
      <c r="F50" s="15" t="s">
        <v>4</v>
      </c>
      <c r="G50" t="str">
        <f>VLOOKUP(F50,Carrier_Category!A:B,2,0)</f>
        <v>Commuter</v>
      </c>
      <c r="H50" s="5">
        <v>12</v>
      </c>
      <c r="I50" s="7">
        <f t="shared" si="4"/>
        <v>13</v>
      </c>
      <c r="J50" s="5">
        <v>224</v>
      </c>
      <c r="K50" s="18">
        <f t="shared" si="3"/>
        <v>18.666666666666668</v>
      </c>
    </row>
    <row r="51" spans="1:11" x14ac:dyDescent="0.3">
      <c r="A51" s="14">
        <v>2020</v>
      </c>
      <c r="B51" s="14">
        <f t="shared" si="2"/>
        <v>53</v>
      </c>
      <c r="C51" s="9">
        <v>44193</v>
      </c>
      <c r="D51" s="9">
        <v>44196</v>
      </c>
      <c r="E51" s="14">
        <f>VLOOKUP(F51,CarrierID!A:B,2,0)</f>
        <v>11</v>
      </c>
      <c r="F51" s="15" t="s">
        <v>5</v>
      </c>
      <c r="G51" t="str">
        <f>VLOOKUP(F51,Carrier_Category!A:B,2,0)</f>
        <v>Intercity</v>
      </c>
      <c r="H51" s="5">
        <v>11</v>
      </c>
      <c r="I51" s="7">
        <f t="shared" si="4"/>
        <v>11</v>
      </c>
      <c r="J51" s="5">
        <v>227</v>
      </c>
      <c r="K51" s="18">
        <f t="shared" si="3"/>
        <v>20.636363636363637</v>
      </c>
    </row>
    <row r="52" spans="1:11" x14ac:dyDescent="0.3">
      <c r="A52" s="14">
        <v>2020</v>
      </c>
      <c r="B52" s="14">
        <f t="shared" si="2"/>
        <v>53</v>
      </c>
      <c r="C52" s="9">
        <v>44193</v>
      </c>
      <c r="D52" s="9">
        <v>44196</v>
      </c>
      <c r="E52" s="14">
        <f>VLOOKUP(F52,CarrierID!A:B,2,0)</f>
        <v>3</v>
      </c>
      <c r="F52" s="15" t="s">
        <v>6</v>
      </c>
      <c r="G52" t="str">
        <f>VLOOKUP(F52,Carrier_Category!A:B,2,0)</f>
        <v>Commuter</v>
      </c>
      <c r="H52" s="5">
        <v>80</v>
      </c>
      <c r="I52" s="7">
        <f t="shared" si="4"/>
        <v>83</v>
      </c>
      <c r="J52" s="5">
        <v>1316</v>
      </c>
      <c r="K52" s="18">
        <f t="shared" si="3"/>
        <v>16.45</v>
      </c>
    </row>
    <row r="53" spans="1:11" x14ac:dyDescent="0.3">
      <c r="A53" s="14">
        <v>2020</v>
      </c>
      <c r="B53" s="14">
        <f t="shared" si="2"/>
        <v>53</v>
      </c>
      <c r="C53" s="9">
        <v>44193</v>
      </c>
      <c r="D53" s="9">
        <v>44196</v>
      </c>
      <c r="E53" s="14">
        <f>VLOOKUP(F53,CarrierID!A:B,2,0)</f>
        <v>12</v>
      </c>
      <c r="F53" s="15" t="s">
        <v>25</v>
      </c>
      <c r="G53" t="str">
        <f>VLOOKUP(F53,Carrier_Category!A:B,2,0)</f>
        <v>Commuter</v>
      </c>
      <c r="H53" s="5">
        <v>12</v>
      </c>
      <c r="I53" s="7">
        <f t="shared" si="4"/>
        <v>12</v>
      </c>
      <c r="J53" s="5">
        <v>224</v>
      </c>
      <c r="K53" s="18">
        <f t="shared" si="3"/>
        <v>18.666666666666668</v>
      </c>
    </row>
    <row r="54" spans="1:11" x14ac:dyDescent="0.3">
      <c r="A54" s="14">
        <v>2020</v>
      </c>
      <c r="B54" s="14">
        <f t="shared" si="2"/>
        <v>53</v>
      </c>
      <c r="C54" s="9">
        <v>44193</v>
      </c>
      <c r="D54" s="9">
        <v>44196</v>
      </c>
      <c r="E54" s="14">
        <f>VLOOKUP(F54,CarrierID!A:B,2,0)</f>
        <v>10</v>
      </c>
      <c r="F54" s="15" t="s">
        <v>8</v>
      </c>
      <c r="G54" t="str">
        <f>VLOOKUP(F54,Carrier_Category!A:B,2,0)</f>
        <v>Intercity</v>
      </c>
      <c r="H54" s="5">
        <v>10</v>
      </c>
      <c r="I54" s="7">
        <f t="shared" si="4"/>
        <v>9</v>
      </c>
      <c r="J54" s="5">
        <v>275</v>
      </c>
      <c r="K54" s="18">
        <f t="shared" si="3"/>
        <v>27.5</v>
      </c>
    </row>
    <row r="55" spans="1:11" x14ac:dyDescent="0.3">
      <c r="A55" s="14">
        <v>2020</v>
      </c>
      <c r="B55" s="14">
        <f t="shared" si="2"/>
        <v>53</v>
      </c>
      <c r="C55" s="9">
        <v>44193</v>
      </c>
      <c r="D55" s="9">
        <v>44196</v>
      </c>
      <c r="E55" s="14">
        <f>VLOOKUP(F55,CarrierID!A:B,2,0)</f>
        <v>2</v>
      </c>
      <c r="F55" s="15" t="s">
        <v>44</v>
      </c>
      <c r="G55" t="str">
        <f>VLOOKUP(F55,Carrier_Category!A:B,2,0)</f>
        <v>Other</v>
      </c>
      <c r="H55" s="5">
        <v>1</v>
      </c>
      <c r="I55" s="7">
        <f t="shared" si="4"/>
        <v>1</v>
      </c>
      <c r="J55" s="5">
        <v>6</v>
      </c>
      <c r="K55" s="18">
        <f t="shared" si="3"/>
        <v>6</v>
      </c>
    </row>
    <row r="56" spans="1:11" x14ac:dyDescent="0.3">
      <c r="A56" s="14">
        <v>2020</v>
      </c>
      <c r="B56" s="14">
        <f t="shared" si="2"/>
        <v>53</v>
      </c>
      <c r="C56" s="9">
        <v>44193</v>
      </c>
      <c r="D56" s="9">
        <v>44196</v>
      </c>
      <c r="E56" s="14">
        <f>VLOOKUP(F56,CarrierID!A:B,2,0)</f>
        <v>6</v>
      </c>
      <c r="F56" s="15" t="s">
        <v>9</v>
      </c>
      <c r="G56" t="str">
        <f>VLOOKUP(F56,Carrier_Category!A:B,2,0)</f>
        <v>Commuter</v>
      </c>
      <c r="I56" s="7">
        <f t="shared" si="4"/>
        <v>69</v>
      </c>
      <c r="K56" s="18" t="e">
        <f t="shared" si="3"/>
        <v>#DIV/0!</v>
      </c>
    </row>
    <row r="57" spans="1:11" x14ac:dyDescent="0.3">
      <c r="A57" s="14">
        <v>2021</v>
      </c>
      <c r="B57" s="14">
        <f t="shared" si="2"/>
        <v>1</v>
      </c>
      <c r="C57" s="9">
        <v>44200</v>
      </c>
      <c r="D57" s="9">
        <v>44204</v>
      </c>
      <c r="E57" s="14">
        <f>VLOOKUP(F57,CarrierID!A:B,2,0)</f>
        <v>1</v>
      </c>
      <c r="F57" s="15" t="s">
        <v>0</v>
      </c>
      <c r="G57" t="str">
        <f>VLOOKUP(F57,Carrier_Category!A:B,2,0)</f>
        <v>Commuter</v>
      </c>
      <c r="H57" s="5">
        <v>37</v>
      </c>
      <c r="I57" s="7">
        <f t="shared" si="4"/>
        <v>0</v>
      </c>
      <c r="J57" s="5">
        <v>590</v>
      </c>
      <c r="K57" s="18">
        <f t="shared" si="3"/>
        <v>15.945945945945946</v>
      </c>
    </row>
    <row r="58" spans="1:11" x14ac:dyDescent="0.3">
      <c r="A58" s="14">
        <v>2021</v>
      </c>
      <c r="B58" s="14">
        <f t="shared" si="2"/>
        <v>1</v>
      </c>
      <c r="C58" s="9">
        <v>44200</v>
      </c>
      <c r="D58" s="9">
        <v>44204</v>
      </c>
      <c r="E58" s="14">
        <f>VLOOKUP(F58,CarrierID!A:B,2,0)</f>
        <v>5</v>
      </c>
      <c r="F58" s="15" t="s">
        <v>1</v>
      </c>
      <c r="G58" t="str">
        <f>VLOOKUP(F58,Carrier_Category!A:B,2,0)</f>
        <v>Intercity</v>
      </c>
      <c r="H58" s="5">
        <v>34</v>
      </c>
      <c r="I58" s="7">
        <f t="shared" si="4"/>
        <v>36</v>
      </c>
      <c r="J58" s="5">
        <v>900</v>
      </c>
      <c r="K58" s="18">
        <f t="shared" si="3"/>
        <v>26.470588235294116</v>
      </c>
    </row>
    <row r="59" spans="1:11" x14ac:dyDescent="0.3">
      <c r="A59" s="14">
        <v>2021</v>
      </c>
      <c r="B59" s="14">
        <f t="shared" si="2"/>
        <v>1</v>
      </c>
      <c r="C59" s="9">
        <v>44200</v>
      </c>
      <c r="D59" s="9">
        <v>44204</v>
      </c>
      <c r="E59" s="14">
        <f>VLOOKUP(F59,CarrierID!A:B,2,0)</f>
        <v>8</v>
      </c>
      <c r="F59" s="15" t="s">
        <v>2</v>
      </c>
      <c r="G59" t="str">
        <f>VLOOKUP(F59,Carrier_Category!A:B,2,0)</f>
        <v>Commuter</v>
      </c>
      <c r="H59" s="5">
        <v>13</v>
      </c>
      <c r="I59" s="7">
        <f t="shared" si="4"/>
        <v>13</v>
      </c>
      <c r="J59" s="5">
        <v>456</v>
      </c>
      <c r="K59" s="18">
        <f t="shared" si="3"/>
        <v>35.07692307692308</v>
      </c>
    </row>
    <row r="60" spans="1:11" x14ac:dyDescent="0.3">
      <c r="A60" s="14">
        <v>2021</v>
      </c>
      <c r="B60" s="14">
        <f t="shared" si="2"/>
        <v>1</v>
      </c>
      <c r="C60" s="9">
        <v>44200</v>
      </c>
      <c r="D60" s="9">
        <v>44204</v>
      </c>
      <c r="E60" s="14">
        <f>VLOOKUP(F60,CarrierID!A:B,2,0)</f>
        <v>9</v>
      </c>
      <c r="F60" s="15" t="s">
        <v>3</v>
      </c>
      <c r="G60" t="str">
        <f>VLOOKUP(F60,Carrier_Category!A:B,2,0)</f>
        <v>NJT</v>
      </c>
      <c r="H60" s="5">
        <v>2146</v>
      </c>
      <c r="I60" s="7">
        <f t="shared" si="4"/>
        <v>2001</v>
      </c>
      <c r="J60" s="5">
        <v>25865</v>
      </c>
      <c r="K60" s="18">
        <f t="shared" si="3"/>
        <v>12.052656104380242</v>
      </c>
    </row>
    <row r="61" spans="1:11" x14ac:dyDescent="0.3">
      <c r="A61" s="14">
        <v>2021</v>
      </c>
      <c r="B61" s="14">
        <f t="shared" si="2"/>
        <v>1</v>
      </c>
      <c r="C61" s="9">
        <v>44200</v>
      </c>
      <c r="D61" s="9">
        <v>44204</v>
      </c>
      <c r="E61" s="14">
        <f>VLOOKUP(F61,CarrierID!A:B,2,0)</f>
        <v>7</v>
      </c>
      <c r="F61" s="15" t="s">
        <v>4</v>
      </c>
      <c r="G61" t="str">
        <f>VLOOKUP(F61,Carrier_Category!A:B,2,0)</f>
        <v>Commuter</v>
      </c>
      <c r="H61" s="5">
        <v>12</v>
      </c>
      <c r="I61" s="7">
        <f t="shared" si="4"/>
        <v>12</v>
      </c>
      <c r="J61" s="5">
        <v>272</v>
      </c>
      <c r="K61" s="18">
        <f t="shared" si="3"/>
        <v>22.666666666666668</v>
      </c>
    </row>
    <row r="62" spans="1:11" x14ac:dyDescent="0.3">
      <c r="A62" s="14">
        <v>2021</v>
      </c>
      <c r="B62" s="14">
        <f t="shared" si="2"/>
        <v>1</v>
      </c>
      <c r="C62" s="9">
        <v>44200</v>
      </c>
      <c r="D62" s="9">
        <v>44204</v>
      </c>
      <c r="E62" s="14">
        <f>VLOOKUP(F62,CarrierID!A:B,2,0)</f>
        <v>11</v>
      </c>
      <c r="F62" s="15" t="s">
        <v>5</v>
      </c>
      <c r="G62" t="str">
        <f>VLOOKUP(F62,Carrier_Category!A:B,2,0)</f>
        <v>Intercity</v>
      </c>
      <c r="H62" s="5">
        <v>10</v>
      </c>
      <c r="I62" s="7">
        <f t="shared" si="4"/>
        <v>11</v>
      </c>
      <c r="J62" s="5">
        <v>214</v>
      </c>
      <c r="K62" s="18">
        <f t="shared" si="3"/>
        <v>21.4</v>
      </c>
    </row>
    <row r="63" spans="1:11" x14ac:dyDescent="0.3">
      <c r="A63" s="14">
        <v>2021</v>
      </c>
      <c r="B63" s="14">
        <f t="shared" si="2"/>
        <v>1</v>
      </c>
      <c r="C63" s="9">
        <v>44200</v>
      </c>
      <c r="D63" s="9">
        <v>44204</v>
      </c>
      <c r="E63" s="14">
        <f>VLOOKUP(F63,CarrierID!A:B,2,0)</f>
        <v>3</v>
      </c>
      <c r="F63" s="15" t="s">
        <v>6</v>
      </c>
      <c r="G63" t="str">
        <f>VLOOKUP(F63,Carrier_Category!A:B,2,0)</f>
        <v>Commuter</v>
      </c>
      <c r="H63" s="5">
        <v>83</v>
      </c>
      <c r="I63" s="7">
        <f t="shared" si="4"/>
        <v>80</v>
      </c>
      <c r="J63" s="5">
        <v>1604</v>
      </c>
      <c r="K63" s="18">
        <f t="shared" si="3"/>
        <v>19.325301204819276</v>
      </c>
    </row>
    <row r="64" spans="1:11" x14ac:dyDescent="0.3">
      <c r="A64" s="14">
        <v>2021</v>
      </c>
      <c r="B64" s="14">
        <f t="shared" si="2"/>
        <v>1</v>
      </c>
      <c r="C64" s="9">
        <v>44200</v>
      </c>
      <c r="D64" s="9">
        <v>44204</v>
      </c>
      <c r="E64" s="14">
        <f>VLOOKUP(F64,CarrierID!A:B,2,0)</f>
        <v>12</v>
      </c>
      <c r="F64" s="15" t="s">
        <v>25</v>
      </c>
      <c r="G64" t="str">
        <f>VLOOKUP(F64,Carrier_Category!A:B,2,0)</f>
        <v>Commuter</v>
      </c>
      <c r="H64" s="5">
        <v>12</v>
      </c>
      <c r="I64" s="7">
        <f t="shared" si="4"/>
        <v>12</v>
      </c>
      <c r="J64" s="5">
        <v>315</v>
      </c>
      <c r="K64" s="18">
        <f t="shared" si="3"/>
        <v>26.25</v>
      </c>
    </row>
    <row r="65" spans="1:11" x14ac:dyDescent="0.3">
      <c r="A65" s="14">
        <v>2021</v>
      </c>
      <c r="B65" s="14">
        <f t="shared" si="2"/>
        <v>1</v>
      </c>
      <c r="C65" s="9">
        <v>44200</v>
      </c>
      <c r="D65" s="9">
        <v>44204</v>
      </c>
      <c r="E65" s="14">
        <f>VLOOKUP(F65,CarrierID!A:B,2,0)</f>
        <v>10</v>
      </c>
      <c r="F65" s="15" t="s">
        <v>8</v>
      </c>
      <c r="G65" t="str">
        <f>VLOOKUP(F65,Carrier_Category!A:B,2,0)</f>
        <v>Intercity</v>
      </c>
      <c r="H65" s="5">
        <v>9</v>
      </c>
      <c r="I65" s="7">
        <f t="shared" si="4"/>
        <v>10</v>
      </c>
      <c r="J65" s="5">
        <v>260</v>
      </c>
      <c r="K65" s="18">
        <f t="shared" si="3"/>
        <v>28.888888888888889</v>
      </c>
    </row>
    <row r="66" spans="1:11" x14ac:dyDescent="0.3">
      <c r="A66" s="14">
        <v>2021</v>
      </c>
      <c r="B66" s="14">
        <f t="shared" si="2"/>
        <v>1</v>
      </c>
      <c r="C66" s="9">
        <v>44200</v>
      </c>
      <c r="D66" s="9">
        <v>44204</v>
      </c>
      <c r="E66" s="14">
        <f>VLOOKUP(F66,CarrierID!A:B,2,0)</f>
        <v>6</v>
      </c>
      <c r="F66" s="15" t="s">
        <v>9</v>
      </c>
      <c r="G66" t="str">
        <f>VLOOKUP(F66,Carrier_Category!A:B,2,0)</f>
        <v>Commuter</v>
      </c>
      <c r="H66" s="5">
        <v>75</v>
      </c>
      <c r="I66" s="7">
        <f t="shared" si="4"/>
        <v>1</v>
      </c>
      <c r="J66" s="5">
        <v>1153</v>
      </c>
      <c r="K66" s="18">
        <f t="shared" si="3"/>
        <v>15.373333333333333</v>
      </c>
    </row>
    <row r="67" spans="1:11" x14ac:dyDescent="0.3">
      <c r="A67" s="14">
        <v>2021</v>
      </c>
      <c r="B67" s="14">
        <f t="shared" si="2"/>
        <v>2</v>
      </c>
      <c r="C67" s="9">
        <v>44207</v>
      </c>
      <c r="D67" s="9">
        <v>44211</v>
      </c>
      <c r="E67" s="14">
        <f>VLOOKUP(F67,CarrierID!A:B,2,0)</f>
        <v>1</v>
      </c>
      <c r="F67" s="15" t="s">
        <v>0</v>
      </c>
      <c r="G67" t="str">
        <f>VLOOKUP(F67,Carrier_Category!A:B,2,0)</f>
        <v>Commuter</v>
      </c>
      <c r="H67" s="5">
        <v>37</v>
      </c>
      <c r="I67" s="7">
        <f t="shared" si="4"/>
        <v>0</v>
      </c>
      <c r="J67" s="5">
        <v>564</v>
      </c>
      <c r="K67" s="18">
        <f t="shared" si="3"/>
        <v>15.243243243243244</v>
      </c>
    </row>
    <row r="68" spans="1:11" x14ac:dyDescent="0.3">
      <c r="A68" s="14">
        <v>2021</v>
      </c>
      <c r="B68" s="14">
        <f t="shared" si="2"/>
        <v>2</v>
      </c>
      <c r="C68" s="9">
        <v>44207</v>
      </c>
      <c r="D68" s="9">
        <v>44211</v>
      </c>
      <c r="E68" s="14">
        <f>VLOOKUP(F68,CarrierID!A:B,2,0)</f>
        <v>5</v>
      </c>
      <c r="F68" s="15" t="s">
        <v>1</v>
      </c>
      <c r="G68" t="str">
        <f>VLOOKUP(F68,Carrier_Category!A:B,2,0)</f>
        <v>Intercity</v>
      </c>
      <c r="H68" s="5">
        <v>32</v>
      </c>
      <c r="I68" s="7">
        <f t="shared" si="4"/>
        <v>37</v>
      </c>
      <c r="J68" s="5">
        <v>810</v>
      </c>
      <c r="K68" s="18">
        <f t="shared" si="3"/>
        <v>25.3125</v>
      </c>
    </row>
    <row r="69" spans="1:11" x14ac:dyDescent="0.3">
      <c r="A69" s="14">
        <v>2021</v>
      </c>
      <c r="B69" s="14">
        <f t="shared" ref="B69:B132" si="5">_xlfn.ISOWEEKNUM(C69)</f>
        <v>2</v>
      </c>
      <c r="C69" s="9">
        <v>44207</v>
      </c>
      <c r="D69" s="9">
        <v>44211</v>
      </c>
      <c r="E69" s="14">
        <f>VLOOKUP(F69,CarrierID!A:B,2,0)</f>
        <v>8</v>
      </c>
      <c r="F69" s="15" t="s">
        <v>2</v>
      </c>
      <c r="G69" t="str">
        <f>VLOOKUP(F69,Carrier_Category!A:B,2,0)</f>
        <v>Commuter</v>
      </c>
      <c r="H69" s="5">
        <v>13</v>
      </c>
      <c r="I69" s="7">
        <f t="shared" si="4"/>
        <v>34</v>
      </c>
      <c r="J69" s="5">
        <v>470</v>
      </c>
      <c r="K69" s="18">
        <f t="shared" ref="K69:K132" si="6">J69/H69</f>
        <v>36.153846153846153</v>
      </c>
    </row>
    <row r="70" spans="1:11" x14ac:dyDescent="0.3">
      <c r="A70" s="14">
        <v>2021</v>
      </c>
      <c r="B70" s="14">
        <f t="shared" si="5"/>
        <v>2</v>
      </c>
      <c r="C70" s="9">
        <v>44207</v>
      </c>
      <c r="D70" s="9">
        <v>44211</v>
      </c>
      <c r="E70" s="14">
        <f>VLOOKUP(F70,CarrierID!A:B,2,0)</f>
        <v>9</v>
      </c>
      <c r="F70" s="15" t="s">
        <v>3</v>
      </c>
      <c r="G70" t="str">
        <f>VLOOKUP(F70,Carrier_Category!A:B,2,0)</f>
        <v>NJT</v>
      </c>
      <c r="H70" s="5">
        <v>2078</v>
      </c>
      <c r="I70" s="7">
        <f t="shared" si="4"/>
        <v>13</v>
      </c>
      <c r="J70" s="5">
        <v>26156</v>
      </c>
      <c r="K70" s="18">
        <f t="shared" si="6"/>
        <v>12.587102983638113</v>
      </c>
    </row>
    <row r="71" spans="1:11" x14ac:dyDescent="0.3">
      <c r="A71" s="14">
        <v>2021</v>
      </c>
      <c r="B71" s="14">
        <f t="shared" si="5"/>
        <v>2</v>
      </c>
      <c r="C71" s="9">
        <v>44207</v>
      </c>
      <c r="D71" s="9">
        <v>44211</v>
      </c>
      <c r="E71" s="14">
        <f>VLOOKUP(F71,CarrierID!A:B,2,0)</f>
        <v>7</v>
      </c>
      <c r="F71" s="15" t="s">
        <v>4</v>
      </c>
      <c r="G71" t="str">
        <f>VLOOKUP(F71,Carrier_Category!A:B,2,0)</f>
        <v>Commuter</v>
      </c>
      <c r="H71" s="5">
        <v>12</v>
      </c>
      <c r="I71" s="7">
        <f t="shared" si="4"/>
        <v>2146</v>
      </c>
      <c r="J71" s="5">
        <v>276</v>
      </c>
      <c r="K71" s="18">
        <f t="shared" si="6"/>
        <v>23</v>
      </c>
    </row>
    <row r="72" spans="1:11" x14ac:dyDescent="0.3">
      <c r="A72" s="14">
        <v>2021</v>
      </c>
      <c r="B72" s="14">
        <f t="shared" si="5"/>
        <v>2</v>
      </c>
      <c r="C72" s="9">
        <v>44207</v>
      </c>
      <c r="D72" s="9">
        <v>44211</v>
      </c>
      <c r="E72" s="14">
        <f>VLOOKUP(F72,CarrierID!A:B,2,0)</f>
        <v>11</v>
      </c>
      <c r="F72" s="15" t="s">
        <v>5</v>
      </c>
      <c r="G72" t="str">
        <f>VLOOKUP(F72,Carrier_Category!A:B,2,0)</f>
        <v>Intercity</v>
      </c>
      <c r="H72" s="5">
        <v>10</v>
      </c>
      <c r="I72" s="7">
        <f t="shared" si="4"/>
        <v>12</v>
      </c>
      <c r="J72" s="5">
        <v>190</v>
      </c>
      <c r="K72" s="18">
        <f t="shared" si="6"/>
        <v>19</v>
      </c>
    </row>
    <row r="73" spans="1:11" x14ac:dyDescent="0.3">
      <c r="A73" s="14">
        <v>2021</v>
      </c>
      <c r="B73" s="14">
        <f t="shared" si="5"/>
        <v>2</v>
      </c>
      <c r="C73" s="9">
        <v>44207</v>
      </c>
      <c r="D73" s="9">
        <v>44211</v>
      </c>
      <c r="E73" s="14">
        <f>VLOOKUP(F73,CarrierID!A:B,2,0)</f>
        <v>3</v>
      </c>
      <c r="F73" s="15" t="s">
        <v>6</v>
      </c>
      <c r="G73" t="str">
        <f>VLOOKUP(F73,Carrier_Category!A:B,2,0)</f>
        <v>Commuter</v>
      </c>
      <c r="H73" s="5">
        <v>84</v>
      </c>
      <c r="I73" s="7">
        <f t="shared" si="4"/>
        <v>10</v>
      </c>
      <c r="J73" s="5">
        <v>1611</v>
      </c>
      <c r="K73" s="18">
        <f t="shared" si="6"/>
        <v>19.178571428571427</v>
      </c>
    </row>
    <row r="74" spans="1:11" x14ac:dyDescent="0.3">
      <c r="A74" s="14">
        <v>2021</v>
      </c>
      <c r="B74" s="14">
        <f t="shared" si="5"/>
        <v>2</v>
      </c>
      <c r="C74" s="9">
        <v>44207</v>
      </c>
      <c r="D74" s="9">
        <v>44211</v>
      </c>
      <c r="E74" s="14">
        <f>VLOOKUP(F74,CarrierID!A:B,2,0)</f>
        <v>12</v>
      </c>
      <c r="F74" s="15" t="s">
        <v>25</v>
      </c>
      <c r="G74" t="str">
        <f>VLOOKUP(F74,Carrier_Category!A:B,2,0)</f>
        <v>Commuter</v>
      </c>
      <c r="H74" s="5">
        <v>12</v>
      </c>
      <c r="I74" s="7">
        <f t="shared" si="4"/>
        <v>83</v>
      </c>
      <c r="J74" s="5">
        <v>319</v>
      </c>
      <c r="K74" s="18">
        <f t="shared" si="6"/>
        <v>26.583333333333332</v>
      </c>
    </row>
    <row r="75" spans="1:11" x14ac:dyDescent="0.3">
      <c r="A75" s="14">
        <v>2021</v>
      </c>
      <c r="B75" s="14">
        <f t="shared" si="5"/>
        <v>2</v>
      </c>
      <c r="C75" s="9">
        <v>44207</v>
      </c>
      <c r="D75" s="9">
        <v>44211</v>
      </c>
      <c r="E75" s="14">
        <f>VLOOKUP(F75,CarrierID!A:B,2,0)</f>
        <v>10</v>
      </c>
      <c r="F75" s="15" t="s">
        <v>8</v>
      </c>
      <c r="G75" t="str">
        <f>VLOOKUP(F75,Carrier_Category!A:B,2,0)</f>
        <v>Intercity</v>
      </c>
      <c r="H75" s="5">
        <v>9</v>
      </c>
      <c r="I75" s="7">
        <f t="shared" si="4"/>
        <v>12</v>
      </c>
      <c r="J75" s="5">
        <v>236</v>
      </c>
      <c r="K75" s="18">
        <f t="shared" si="6"/>
        <v>26.222222222222221</v>
      </c>
    </row>
    <row r="76" spans="1:11" x14ac:dyDescent="0.3">
      <c r="A76" s="14">
        <v>2021</v>
      </c>
      <c r="B76" s="14">
        <f t="shared" si="5"/>
        <v>2</v>
      </c>
      <c r="C76" s="9">
        <v>44207</v>
      </c>
      <c r="D76" s="9">
        <v>44211</v>
      </c>
      <c r="E76" s="14">
        <f>VLOOKUP(F76,CarrierID!A:B,2,0)</f>
        <v>6</v>
      </c>
      <c r="F76" s="15" t="s">
        <v>9</v>
      </c>
      <c r="G76" t="str">
        <f>VLOOKUP(F76,Carrier_Category!A:B,2,0)</f>
        <v>Commuter</v>
      </c>
      <c r="H76" s="5">
        <v>86</v>
      </c>
      <c r="I76" s="7">
        <f t="shared" si="4"/>
        <v>9</v>
      </c>
      <c r="J76" s="5">
        <v>1145</v>
      </c>
      <c r="K76" s="18">
        <f t="shared" si="6"/>
        <v>13.313953488372093</v>
      </c>
    </row>
    <row r="77" spans="1:11" x14ac:dyDescent="0.3">
      <c r="A77" s="14">
        <v>2021</v>
      </c>
      <c r="B77" s="14">
        <f t="shared" si="5"/>
        <v>3</v>
      </c>
      <c r="C77" s="9">
        <v>44214</v>
      </c>
      <c r="D77" s="9">
        <v>44218</v>
      </c>
      <c r="E77" s="14">
        <f>VLOOKUP(F77,CarrierID!A:B,2,0)</f>
        <v>1</v>
      </c>
      <c r="F77" s="15" t="s">
        <v>0</v>
      </c>
      <c r="G77" t="str">
        <f>VLOOKUP(F77,Carrier_Category!A:B,2,0)</f>
        <v>Commuter</v>
      </c>
      <c r="H77" s="5">
        <v>36</v>
      </c>
      <c r="I77" s="7">
        <f t="shared" ref="I77:I140" si="7">H66</f>
        <v>75</v>
      </c>
      <c r="J77" s="5">
        <v>578</v>
      </c>
      <c r="K77" s="18">
        <f t="shared" si="6"/>
        <v>16.055555555555557</v>
      </c>
    </row>
    <row r="78" spans="1:11" x14ac:dyDescent="0.3">
      <c r="A78" s="14">
        <v>2021</v>
      </c>
      <c r="B78" s="14">
        <f t="shared" si="5"/>
        <v>3</v>
      </c>
      <c r="C78" s="9">
        <v>44214</v>
      </c>
      <c r="D78" s="9">
        <v>44218</v>
      </c>
      <c r="E78" s="14">
        <f>VLOOKUP(F78,CarrierID!A:B,2,0)</f>
        <v>5</v>
      </c>
      <c r="F78" s="15" t="s">
        <v>1</v>
      </c>
      <c r="G78" t="str">
        <f>VLOOKUP(F78,Carrier_Category!A:B,2,0)</f>
        <v>Intercity</v>
      </c>
      <c r="H78" s="5">
        <v>34</v>
      </c>
      <c r="I78" s="7">
        <f t="shared" si="7"/>
        <v>37</v>
      </c>
      <c r="J78" s="5">
        <v>875</v>
      </c>
      <c r="K78" s="18">
        <f t="shared" si="6"/>
        <v>25.735294117647058</v>
      </c>
    </row>
    <row r="79" spans="1:11" x14ac:dyDescent="0.3">
      <c r="A79" s="14">
        <v>2021</v>
      </c>
      <c r="B79" s="14">
        <f t="shared" si="5"/>
        <v>3</v>
      </c>
      <c r="C79" s="9">
        <v>44214</v>
      </c>
      <c r="D79" s="9">
        <v>44218</v>
      </c>
      <c r="E79" s="14">
        <f>VLOOKUP(F79,CarrierID!A:B,2,0)</f>
        <v>8</v>
      </c>
      <c r="F79" s="15" t="s">
        <v>2</v>
      </c>
      <c r="G79" t="str">
        <f>VLOOKUP(F79,Carrier_Category!A:B,2,0)</f>
        <v>Commuter</v>
      </c>
      <c r="H79" s="5">
        <v>13</v>
      </c>
      <c r="I79" s="7">
        <f t="shared" si="7"/>
        <v>32</v>
      </c>
      <c r="J79" s="5">
        <v>470</v>
      </c>
      <c r="K79" s="18">
        <f t="shared" si="6"/>
        <v>36.153846153846153</v>
      </c>
    </row>
    <row r="80" spans="1:11" x14ac:dyDescent="0.3">
      <c r="A80" s="14">
        <v>2021</v>
      </c>
      <c r="B80" s="14">
        <f t="shared" si="5"/>
        <v>3</v>
      </c>
      <c r="C80" s="9">
        <v>44214</v>
      </c>
      <c r="D80" s="9">
        <v>44218</v>
      </c>
      <c r="E80" s="14">
        <f>VLOOKUP(F80,CarrierID!A:B,2,0)</f>
        <v>9</v>
      </c>
      <c r="F80" s="15" t="s">
        <v>3</v>
      </c>
      <c r="G80" t="str">
        <f>VLOOKUP(F80,Carrier_Category!A:B,2,0)</f>
        <v>NJT</v>
      </c>
      <c r="H80" s="5">
        <v>2033</v>
      </c>
      <c r="I80" s="7">
        <f t="shared" si="7"/>
        <v>13</v>
      </c>
      <c r="J80" s="5">
        <v>23777</v>
      </c>
      <c r="K80" s="18">
        <f t="shared" si="6"/>
        <v>11.695523856369897</v>
      </c>
    </row>
    <row r="81" spans="1:11" x14ac:dyDescent="0.3">
      <c r="A81" s="14">
        <v>2021</v>
      </c>
      <c r="B81" s="14">
        <f t="shared" si="5"/>
        <v>3</v>
      </c>
      <c r="C81" s="9">
        <v>44214</v>
      </c>
      <c r="D81" s="9">
        <v>44218</v>
      </c>
      <c r="E81" s="14">
        <f>VLOOKUP(F81,CarrierID!A:B,2,0)</f>
        <v>7</v>
      </c>
      <c r="F81" s="15" t="s">
        <v>4</v>
      </c>
      <c r="G81" t="str">
        <f>VLOOKUP(F81,Carrier_Category!A:B,2,0)</f>
        <v>Commuter</v>
      </c>
      <c r="H81" s="5">
        <v>12</v>
      </c>
      <c r="I81" s="7">
        <f t="shared" si="7"/>
        <v>2078</v>
      </c>
      <c r="J81" s="5">
        <v>268</v>
      </c>
      <c r="K81" s="18">
        <f t="shared" si="6"/>
        <v>22.333333333333332</v>
      </c>
    </row>
    <row r="82" spans="1:11" x14ac:dyDescent="0.3">
      <c r="A82" s="14">
        <v>2021</v>
      </c>
      <c r="B82" s="14">
        <f t="shared" si="5"/>
        <v>3</v>
      </c>
      <c r="C82" s="9">
        <v>44214</v>
      </c>
      <c r="D82" s="9">
        <v>44218</v>
      </c>
      <c r="E82" s="14">
        <f>VLOOKUP(F82,CarrierID!A:B,2,0)</f>
        <v>11</v>
      </c>
      <c r="F82" s="15" t="s">
        <v>5</v>
      </c>
      <c r="G82" t="str">
        <f>VLOOKUP(F82,Carrier_Category!A:B,2,0)</f>
        <v>Intercity</v>
      </c>
      <c r="H82" s="5">
        <v>10</v>
      </c>
      <c r="I82" s="7">
        <f t="shared" si="7"/>
        <v>12</v>
      </c>
      <c r="J82" s="5">
        <v>194</v>
      </c>
      <c r="K82" s="18">
        <f t="shared" si="6"/>
        <v>19.399999999999999</v>
      </c>
    </row>
    <row r="83" spans="1:11" x14ac:dyDescent="0.3">
      <c r="A83" s="14">
        <v>2021</v>
      </c>
      <c r="B83" s="14">
        <f t="shared" si="5"/>
        <v>3</v>
      </c>
      <c r="C83" s="9">
        <v>44214</v>
      </c>
      <c r="D83" s="9">
        <v>44218</v>
      </c>
      <c r="E83" s="14">
        <f>VLOOKUP(F83,CarrierID!A:B,2,0)</f>
        <v>3</v>
      </c>
      <c r="F83" s="15" t="s">
        <v>6</v>
      </c>
      <c r="G83" t="str">
        <f>VLOOKUP(F83,Carrier_Category!A:B,2,0)</f>
        <v>Commuter</v>
      </c>
      <c r="H83" s="5">
        <v>84</v>
      </c>
      <c r="I83" s="7">
        <f t="shared" si="7"/>
        <v>10</v>
      </c>
      <c r="J83" s="5">
        <v>1540</v>
      </c>
      <c r="K83" s="18">
        <f t="shared" si="6"/>
        <v>18.333333333333332</v>
      </c>
    </row>
    <row r="84" spans="1:11" x14ac:dyDescent="0.3">
      <c r="A84" s="14">
        <v>2021</v>
      </c>
      <c r="B84" s="14">
        <f t="shared" si="5"/>
        <v>3</v>
      </c>
      <c r="C84" s="9">
        <v>44214</v>
      </c>
      <c r="D84" s="9">
        <v>44218</v>
      </c>
      <c r="E84" s="14">
        <f>VLOOKUP(F84,CarrierID!A:B,2,0)</f>
        <v>12</v>
      </c>
      <c r="F84" s="15" t="s">
        <v>25</v>
      </c>
      <c r="G84" t="str">
        <f>VLOOKUP(F84,Carrier_Category!A:B,2,0)</f>
        <v>Commuter</v>
      </c>
      <c r="H84" s="5">
        <v>12</v>
      </c>
      <c r="I84" s="7">
        <f t="shared" si="7"/>
        <v>84</v>
      </c>
      <c r="J84" s="5">
        <v>331</v>
      </c>
      <c r="K84" s="18">
        <f t="shared" si="6"/>
        <v>27.583333333333332</v>
      </c>
    </row>
    <row r="85" spans="1:11" x14ac:dyDescent="0.3">
      <c r="A85" s="14">
        <v>2021</v>
      </c>
      <c r="B85" s="14">
        <f t="shared" si="5"/>
        <v>3</v>
      </c>
      <c r="C85" s="9">
        <v>44214</v>
      </c>
      <c r="D85" s="9">
        <v>44218</v>
      </c>
      <c r="E85" s="14">
        <f>VLOOKUP(F85,CarrierID!A:B,2,0)</f>
        <v>10</v>
      </c>
      <c r="F85" s="15" t="s">
        <v>8</v>
      </c>
      <c r="G85" t="str">
        <f>VLOOKUP(F85,Carrier_Category!A:B,2,0)</f>
        <v>Intercity</v>
      </c>
      <c r="H85" s="5">
        <v>9</v>
      </c>
      <c r="I85" s="7">
        <f t="shared" si="7"/>
        <v>12</v>
      </c>
      <c r="J85" s="5">
        <v>257</v>
      </c>
      <c r="K85" s="18">
        <f t="shared" si="6"/>
        <v>28.555555555555557</v>
      </c>
    </row>
    <row r="86" spans="1:11" x14ac:dyDescent="0.3">
      <c r="A86" s="14">
        <v>2021</v>
      </c>
      <c r="B86" s="14">
        <f t="shared" si="5"/>
        <v>3</v>
      </c>
      <c r="C86" s="9">
        <v>44214</v>
      </c>
      <c r="D86" s="9">
        <v>44218</v>
      </c>
      <c r="E86" s="14">
        <f>VLOOKUP(F86,CarrierID!A:B,2,0)</f>
        <v>6</v>
      </c>
      <c r="F86" s="15" t="s">
        <v>9</v>
      </c>
      <c r="G86" t="str">
        <f>VLOOKUP(F86,Carrier_Category!A:B,2,0)</f>
        <v>Commuter</v>
      </c>
      <c r="H86" s="5">
        <v>76</v>
      </c>
      <c r="I86" s="7">
        <f t="shared" si="7"/>
        <v>9</v>
      </c>
      <c r="J86" s="5">
        <v>1123</v>
      </c>
      <c r="K86" s="18">
        <f t="shared" si="6"/>
        <v>14.776315789473685</v>
      </c>
    </row>
    <row r="87" spans="1:11" x14ac:dyDescent="0.3">
      <c r="A87" s="14">
        <v>2021</v>
      </c>
      <c r="B87" s="14">
        <f t="shared" si="5"/>
        <v>4</v>
      </c>
      <c r="C87" s="9">
        <v>44221</v>
      </c>
      <c r="D87" s="9">
        <v>44225</v>
      </c>
      <c r="E87" s="14">
        <f>VLOOKUP(F87,CarrierID!A:B,2,0)</f>
        <v>1</v>
      </c>
      <c r="F87" s="15" t="s">
        <v>0</v>
      </c>
      <c r="G87" t="str">
        <f>VLOOKUP(F87,Carrier_Category!A:B,2,0)</f>
        <v>Commuter</v>
      </c>
      <c r="H87" s="5">
        <v>35</v>
      </c>
      <c r="I87" s="7">
        <f t="shared" si="7"/>
        <v>86</v>
      </c>
      <c r="J87" s="5">
        <v>569</v>
      </c>
      <c r="K87" s="18">
        <f t="shared" si="6"/>
        <v>16.257142857142856</v>
      </c>
    </row>
    <row r="88" spans="1:11" x14ac:dyDescent="0.3">
      <c r="A88" s="14">
        <v>2021</v>
      </c>
      <c r="B88" s="14">
        <f t="shared" si="5"/>
        <v>4</v>
      </c>
      <c r="C88" s="9">
        <v>44221</v>
      </c>
      <c r="D88" s="9">
        <v>44225</v>
      </c>
      <c r="E88" s="14">
        <f>VLOOKUP(F88,CarrierID!A:B,2,0)</f>
        <v>5</v>
      </c>
      <c r="F88" s="15" t="s">
        <v>1</v>
      </c>
      <c r="G88" t="str">
        <f>VLOOKUP(F88,Carrier_Category!A:B,2,0)</f>
        <v>Intercity</v>
      </c>
      <c r="H88" s="5">
        <v>33</v>
      </c>
      <c r="I88" s="7">
        <f t="shared" si="7"/>
        <v>36</v>
      </c>
      <c r="J88" s="5">
        <v>881</v>
      </c>
      <c r="K88" s="18">
        <f t="shared" si="6"/>
        <v>26.696969696969695</v>
      </c>
    </row>
    <row r="89" spans="1:11" x14ac:dyDescent="0.3">
      <c r="A89" s="14">
        <v>2021</v>
      </c>
      <c r="B89" s="14">
        <f t="shared" si="5"/>
        <v>4</v>
      </c>
      <c r="C89" s="9">
        <v>44221</v>
      </c>
      <c r="D89" s="9">
        <v>44225</v>
      </c>
      <c r="E89" s="14">
        <f>VLOOKUP(F89,CarrierID!A:B,2,0)</f>
        <v>8</v>
      </c>
      <c r="F89" s="15" t="s">
        <v>2</v>
      </c>
      <c r="G89" t="str">
        <f>VLOOKUP(F89,Carrier_Category!A:B,2,0)</f>
        <v>Commuter</v>
      </c>
      <c r="H89" s="5">
        <v>13</v>
      </c>
      <c r="I89" s="7">
        <f t="shared" si="7"/>
        <v>34</v>
      </c>
      <c r="J89" s="5">
        <v>434</v>
      </c>
      <c r="K89" s="18">
        <f t="shared" si="6"/>
        <v>33.384615384615387</v>
      </c>
    </row>
    <row r="90" spans="1:11" x14ac:dyDescent="0.3">
      <c r="A90" s="14">
        <v>2021</v>
      </c>
      <c r="B90" s="14">
        <f t="shared" si="5"/>
        <v>4</v>
      </c>
      <c r="C90" s="9">
        <v>44221</v>
      </c>
      <c r="D90" s="9">
        <v>44225</v>
      </c>
      <c r="E90" s="14">
        <f>VLOOKUP(F90,CarrierID!A:B,2,0)</f>
        <v>9</v>
      </c>
      <c r="F90" s="15" t="s">
        <v>3</v>
      </c>
      <c r="G90" t="str">
        <f>VLOOKUP(F90,Carrier_Category!A:B,2,0)</f>
        <v>NJT</v>
      </c>
      <c r="H90" s="5">
        <v>2052</v>
      </c>
      <c r="I90" s="7">
        <f t="shared" si="7"/>
        <v>13</v>
      </c>
      <c r="J90" s="5">
        <v>26578</v>
      </c>
      <c r="K90" s="18">
        <f t="shared" si="6"/>
        <v>12.952241715399611</v>
      </c>
    </row>
    <row r="91" spans="1:11" x14ac:dyDescent="0.3">
      <c r="A91" s="14">
        <v>2021</v>
      </c>
      <c r="B91" s="14">
        <f t="shared" si="5"/>
        <v>4</v>
      </c>
      <c r="C91" s="9">
        <v>44221</v>
      </c>
      <c r="D91" s="9">
        <v>44225</v>
      </c>
      <c r="E91" s="14">
        <f>VLOOKUP(F91,CarrierID!A:B,2,0)</f>
        <v>7</v>
      </c>
      <c r="F91" s="15" t="s">
        <v>4</v>
      </c>
      <c r="G91" t="str">
        <f>VLOOKUP(F91,Carrier_Category!A:B,2,0)</f>
        <v>Commuter</v>
      </c>
      <c r="H91" s="5">
        <v>12</v>
      </c>
      <c r="I91" s="7">
        <f t="shared" si="7"/>
        <v>2033</v>
      </c>
      <c r="J91" s="5">
        <v>272</v>
      </c>
      <c r="K91" s="18">
        <f t="shared" si="6"/>
        <v>22.666666666666668</v>
      </c>
    </row>
    <row r="92" spans="1:11" x14ac:dyDescent="0.3">
      <c r="A92" s="14">
        <v>2021</v>
      </c>
      <c r="B92" s="14">
        <f t="shared" si="5"/>
        <v>4</v>
      </c>
      <c r="C92" s="9">
        <v>44221</v>
      </c>
      <c r="D92" s="9">
        <v>44225</v>
      </c>
      <c r="E92" s="14">
        <f>VLOOKUP(F92,CarrierID!A:B,2,0)</f>
        <v>11</v>
      </c>
      <c r="F92" s="15" t="s">
        <v>5</v>
      </c>
      <c r="G92" t="str">
        <f>VLOOKUP(F92,Carrier_Category!A:B,2,0)</f>
        <v>Intercity</v>
      </c>
      <c r="H92" s="5">
        <v>10</v>
      </c>
      <c r="I92" s="7">
        <f t="shared" si="7"/>
        <v>12</v>
      </c>
      <c r="J92" s="5">
        <v>203</v>
      </c>
      <c r="K92" s="18">
        <f t="shared" si="6"/>
        <v>20.3</v>
      </c>
    </row>
    <row r="93" spans="1:11" x14ac:dyDescent="0.3">
      <c r="A93" s="14">
        <v>2021</v>
      </c>
      <c r="B93" s="14">
        <f t="shared" si="5"/>
        <v>4</v>
      </c>
      <c r="C93" s="9">
        <v>44221</v>
      </c>
      <c r="D93" s="9">
        <v>44225</v>
      </c>
      <c r="E93" s="14">
        <f>VLOOKUP(F93,CarrierID!A:B,2,0)</f>
        <v>3</v>
      </c>
      <c r="F93" s="15" t="s">
        <v>6</v>
      </c>
      <c r="G93" t="str">
        <f>VLOOKUP(F93,Carrier_Category!A:B,2,0)</f>
        <v>Commuter</v>
      </c>
      <c r="H93" s="5">
        <v>84</v>
      </c>
      <c r="I93" s="7">
        <f t="shared" si="7"/>
        <v>10</v>
      </c>
      <c r="J93" s="5">
        <v>1597</v>
      </c>
      <c r="K93" s="18">
        <f t="shared" si="6"/>
        <v>19.011904761904763</v>
      </c>
    </row>
    <row r="94" spans="1:11" x14ac:dyDescent="0.3">
      <c r="A94" s="14">
        <v>2021</v>
      </c>
      <c r="B94" s="14">
        <f t="shared" si="5"/>
        <v>4</v>
      </c>
      <c r="C94" s="9">
        <v>44221</v>
      </c>
      <c r="D94" s="9">
        <v>44225</v>
      </c>
      <c r="E94" s="14">
        <f>VLOOKUP(F94,CarrierID!A:B,2,0)</f>
        <v>12</v>
      </c>
      <c r="F94" s="15" t="s">
        <v>25</v>
      </c>
      <c r="G94" t="str">
        <f>VLOOKUP(F94,Carrier_Category!A:B,2,0)</f>
        <v>Commuter</v>
      </c>
      <c r="H94" s="5">
        <v>12</v>
      </c>
      <c r="I94" s="7">
        <f t="shared" si="7"/>
        <v>84</v>
      </c>
      <c r="J94" s="5">
        <v>315</v>
      </c>
      <c r="K94" s="18">
        <f t="shared" si="6"/>
        <v>26.25</v>
      </c>
    </row>
    <row r="95" spans="1:11" x14ac:dyDescent="0.3">
      <c r="A95" s="14">
        <v>2021</v>
      </c>
      <c r="B95" s="14">
        <f t="shared" si="5"/>
        <v>4</v>
      </c>
      <c r="C95" s="9">
        <v>44221</v>
      </c>
      <c r="D95" s="9">
        <v>44225</v>
      </c>
      <c r="E95" s="14">
        <f>VLOOKUP(F95,CarrierID!A:B,2,0)</f>
        <v>10</v>
      </c>
      <c r="F95" s="15" t="s">
        <v>8</v>
      </c>
      <c r="G95" t="str">
        <f>VLOOKUP(F95,Carrier_Category!A:B,2,0)</f>
        <v>Intercity</v>
      </c>
      <c r="H95" s="5">
        <v>9</v>
      </c>
      <c r="I95" s="7">
        <f t="shared" si="7"/>
        <v>12</v>
      </c>
      <c r="J95" s="5">
        <v>227</v>
      </c>
      <c r="K95" s="18">
        <f t="shared" si="6"/>
        <v>25.222222222222221</v>
      </c>
    </row>
    <row r="96" spans="1:11" x14ac:dyDescent="0.3">
      <c r="A96" s="14">
        <v>2021</v>
      </c>
      <c r="B96" s="14">
        <f t="shared" si="5"/>
        <v>4</v>
      </c>
      <c r="C96" s="9">
        <v>44221</v>
      </c>
      <c r="D96" s="9">
        <v>44225</v>
      </c>
      <c r="E96" s="14">
        <f>VLOOKUP(F96,CarrierID!A:B,2,0)</f>
        <v>6</v>
      </c>
      <c r="F96" s="15" t="s">
        <v>9</v>
      </c>
      <c r="G96" t="str">
        <f>VLOOKUP(F96,Carrier_Category!A:B,2,0)</f>
        <v>Commuter</v>
      </c>
      <c r="H96" s="5">
        <v>76</v>
      </c>
      <c r="I96" s="7">
        <f t="shared" si="7"/>
        <v>9</v>
      </c>
      <c r="J96" s="5">
        <v>1123</v>
      </c>
      <c r="K96" s="18">
        <f t="shared" si="6"/>
        <v>14.776315789473685</v>
      </c>
    </row>
    <row r="97" spans="1:11" x14ac:dyDescent="0.3">
      <c r="A97" s="14">
        <v>2021</v>
      </c>
      <c r="B97" s="14">
        <f t="shared" si="5"/>
        <v>5</v>
      </c>
      <c r="C97" s="9">
        <v>44228</v>
      </c>
      <c r="D97" s="9">
        <v>44232</v>
      </c>
      <c r="E97" s="14">
        <f>VLOOKUP(F97,CarrierID!A:B,2,0)</f>
        <v>1</v>
      </c>
      <c r="F97" s="15" t="s">
        <v>0</v>
      </c>
      <c r="G97" t="str">
        <f>VLOOKUP(F97,Carrier_Category!A:B,2,0)</f>
        <v>Commuter</v>
      </c>
      <c r="H97" s="5">
        <v>35</v>
      </c>
      <c r="I97" s="7">
        <f t="shared" si="7"/>
        <v>76</v>
      </c>
      <c r="J97" s="5">
        <v>569</v>
      </c>
      <c r="K97" s="18">
        <f t="shared" si="6"/>
        <v>16.257142857142856</v>
      </c>
    </row>
    <row r="98" spans="1:11" x14ac:dyDescent="0.3">
      <c r="A98" s="14">
        <v>2021</v>
      </c>
      <c r="B98" s="14">
        <f t="shared" si="5"/>
        <v>5</v>
      </c>
      <c r="C98" s="9">
        <v>44228</v>
      </c>
      <c r="D98" s="9">
        <v>44232</v>
      </c>
      <c r="E98" s="14">
        <f>VLOOKUP(F98,CarrierID!A:B,2,0)</f>
        <v>5</v>
      </c>
      <c r="F98" s="15" t="s">
        <v>1</v>
      </c>
      <c r="G98" t="str">
        <f>VLOOKUP(F98,Carrier_Category!A:B,2,0)</f>
        <v>Intercity</v>
      </c>
      <c r="H98" s="5">
        <v>36</v>
      </c>
      <c r="I98" s="7">
        <f t="shared" si="7"/>
        <v>35</v>
      </c>
      <c r="J98" s="5">
        <v>996</v>
      </c>
      <c r="K98" s="18">
        <f t="shared" si="6"/>
        <v>27.666666666666668</v>
      </c>
    </row>
    <row r="99" spans="1:11" x14ac:dyDescent="0.3">
      <c r="A99" s="14">
        <v>2021</v>
      </c>
      <c r="B99" s="14">
        <f t="shared" si="5"/>
        <v>5</v>
      </c>
      <c r="C99" s="9">
        <v>44228</v>
      </c>
      <c r="D99" s="9">
        <v>44232</v>
      </c>
      <c r="E99" s="14">
        <f>VLOOKUP(F99,CarrierID!A:B,2,0)</f>
        <v>8</v>
      </c>
      <c r="F99" s="15" t="s">
        <v>2</v>
      </c>
      <c r="G99" t="str">
        <f>VLOOKUP(F99,Carrier_Category!A:B,2,0)</f>
        <v>Commuter</v>
      </c>
      <c r="H99" s="5">
        <v>13</v>
      </c>
      <c r="I99" s="7">
        <f t="shared" si="7"/>
        <v>33</v>
      </c>
      <c r="J99" s="5">
        <v>444</v>
      </c>
      <c r="K99" s="18">
        <f t="shared" si="6"/>
        <v>34.153846153846153</v>
      </c>
    </row>
    <row r="100" spans="1:11" x14ac:dyDescent="0.3">
      <c r="A100" s="14">
        <v>2021</v>
      </c>
      <c r="B100" s="14">
        <f t="shared" si="5"/>
        <v>5</v>
      </c>
      <c r="C100" s="9">
        <v>44228</v>
      </c>
      <c r="D100" s="9">
        <v>44232</v>
      </c>
      <c r="E100" s="14">
        <f>VLOOKUP(F100,CarrierID!A:B,2,0)</f>
        <v>9</v>
      </c>
      <c r="F100" s="15" t="s">
        <v>3</v>
      </c>
      <c r="G100" t="str">
        <f>VLOOKUP(F100,Carrier_Category!A:B,2,0)</f>
        <v>NJT</v>
      </c>
      <c r="H100" s="5">
        <v>2071</v>
      </c>
      <c r="I100" s="7">
        <f t="shared" si="7"/>
        <v>13</v>
      </c>
      <c r="J100" s="5">
        <v>25001</v>
      </c>
      <c r="K100" s="18">
        <f t="shared" si="6"/>
        <v>12.071945919845485</v>
      </c>
    </row>
    <row r="101" spans="1:11" x14ac:dyDescent="0.3">
      <c r="A101" s="14">
        <v>2021</v>
      </c>
      <c r="B101" s="14">
        <f t="shared" si="5"/>
        <v>5</v>
      </c>
      <c r="C101" s="9">
        <v>44228</v>
      </c>
      <c r="D101" s="9">
        <v>44232</v>
      </c>
      <c r="E101" s="14">
        <f>VLOOKUP(F101,CarrierID!A:B,2,0)</f>
        <v>7</v>
      </c>
      <c r="F101" s="15" t="s">
        <v>4</v>
      </c>
      <c r="G101" t="str">
        <f>VLOOKUP(F101,Carrier_Category!A:B,2,0)</f>
        <v>Commuter</v>
      </c>
      <c r="H101" s="5">
        <v>12</v>
      </c>
      <c r="I101" s="7">
        <f t="shared" si="7"/>
        <v>2052</v>
      </c>
      <c r="J101" s="5">
        <v>272</v>
      </c>
      <c r="K101" s="18">
        <f t="shared" si="6"/>
        <v>22.666666666666668</v>
      </c>
    </row>
    <row r="102" spans="1:11" x14ac:dyDescent="0.3">
      <c r="A102" s="14">
        <v>2021</v>
      </c>
      <c r="B102" s="14">
        <f t="shared" si="5"/>
        <v>5</v>
      </c>
      <c r="C102" s="9">
        <v>44228</v>
      </c>
      <c r="D102" s="9">
        <v>44232</v>
      </c>
      <c r="E102" s="14">
        <f>VLOOKUP(F102,CarrierID!A:B,2,0)</f>
        <v>11</v>
      </c>
      <c r="F102" s="15" t="s">
        <v>5</v>
      </c>
      <c r="G102" t="str">
        <f>VLOOKUP(F102,Carrier_Category!A:B,2,0)</f>
        <v>Intercity</v>
      </c>
      <c r="H102" s="5">
        <v>10</v>
      </c>
      <c r="I102" s="7">
        <f t="shared" si="7"/>
        <v>12</v>
      </c>
      <c r="J102" s="5">
        <v>221</v>
      </c>
      <c r="K102" s="18">
        <f t="shared" si="6"/>
        <v>22.1</v>
      </c>
    </row>
    <row r="103" spans="1:11" x14ac:dyDescent="0.3">
      <c r="A103" s="14">
        <v>2021</v>
      </c>
      <c r="B103" s="14">
        <f t="shared" si="5"/>
        <v>5</v>
      </c>
      <c r="C103" s="9">
        <v>44228</v>
      </c>
      <c r="D103" s="9">
        <v>44232</v>
      </c>
      <c r="E103" s="14">
        <f>VLOOKUP(F103,CarrierID!A:B,2,0)</f>
        <v>3</v>
      </c>
      <c r="F103" s="15" t="s">
        <v>6</v>
      </c>
      <c r="G103" t="str">
        <f>VLOOKUP(F103,Carrier_Category!A:B,2,0)</f>
        <v>Commuter</v>
      </c>
      <c r="H103" s="5">
        <v>84</v>
      </c>
      <c r="I103" s="7">
        <f t="shared" si="7"/>
        <v>10</v>
      </c>
      <c r="J103" s="5">
        <v>1533</v>
      </c>
      <c r="K103" s="18">
        <f t="shared" si="6"/>
        <v>18.25</v>
      </c>
    </row>
    <row r="104" spans="1:11" x14ac:dyDescent="0.3">
      <c r="A104" s="14">
        <v>2021</v>
      </c>
      <c r="B104" s="14">
        <f t="shared" si="5"/>
        <v>5</v>
      </c>
      <c r="C104" s="9">
        <v>44228</v>
      </c>
      <c r="D104" s="9">
        <v>44232</v>
      </c>
      <c r="E104" s="14">
        <f>VLOOKUP(F104,CarrierID!A:B,2,0)</f>
        <v>12</v>
      </c>
      <c r="F104" s="15" t="s">
        <v>25</v>
      </c>
      <c r="G104" t="str">
        <f>VLOOKUP(F104,Carrier_Category!A:B,2,0)</f>
        <v>Commuter</v>
      </c>
      <c r="H104" s="5">
        <v>12</v>
      </c>
      <c r="I104" s="7">
        <f t="shared" si="7"/>
        <v>84</v>
      </c>
      <c r="J104" s="5">
        <v>316</v>
      </c>
      <c r="K104" s="18">
        <f t="shared" si="6"/>
        <v>26.333333333333332</v>
      </c>
    </row>
    <row r="105" spans="1:11" x14ac:dyDescent="0.3">
      <c r="A105" s="14">
        <v>2021</v>
      </c>
      <c r="B105" s="14">
        <f t="shared" si="5"/>
        <v>5</v>
      </c>
      <c r="C105" s="9">
        <v>44228</v>
      </c>
      <c r="D105" s="9">
        <v>44232</v>
      </c>
      <c r="E105" s="14">
        <f>VLOOKUP(F105,CarrierID!A:B,2,0)</f>
        <v>10</v>
      </c>
      <c r="F105" s="15" t="s">
        <v>8</v>
      </c>
      <c r="G105" t="str">
        <f>VLOOKUP(F105,Carrier_Category!A:B,2,0)</f>
        <v>Intercity</v>
      </c>
      <c r="H105" s="5">
        <v>9</v>
      </c>
      <c r="I105" s="7">
        <f t="shared" si="7"/>
        <v>12</v>
      </c>
      <c r="J105" s="5">
        <v>250</v>
      </c>
      <c r="K105" s="18">
        <f t="shared" si="6"/>
        <v>27.777777777777779</v>
      </c>
    </row>
    <row r="106" spans="1:11" x14ac:dyDescent="0.3">
      <c r="A106" s="14">
        <v>2021</v>
      </c>
      <c r="B106" s="14">
        <f t="shared" si="5"/>
        <v>5</v>
      </c>
      <c r="C106" s="9">
        <v>44228</v>
      </c>
      <c r="D106" s="9">
        <v>44232</v>
      </c>
      <c r="E106" s="14">
        <f>VLOOKUP(F106,CarrierID!A:B,2,0)</f>
        <v>6</v>
      </c>
      <c r="F106" s="15" t="s">
        <v>9</v>
      </c>
      <c r="G106" t="str">
        <f>VLOOKUP(F106,Carrier_Category!A:B,2,0)</f>
        <v>Commuter</v>
      </c>
      <c r="H106" s="5">
        <v>76</v>
      </c>
      <c r="I106" s="7">
        <f t="shared" si="7"/>
        <v>9</v>
      </c>
      <c r="J106" s="5">
        <v>1123</v>
      </c>
      <c r="K106" s="18">
        <f t="shared" si="6"/>
        <v>14.776315789473685</v>
      </c>
    </row>
    <row r="107" spans="1:11" x14ac:dyDescent="0.3">
      <c r="A107" s="14">
        <v>2021</v>
      </c>
      <c r="B107" s="14">
        <f t="shared" si="5"/>
        <v>6</v>
      </c>
      <c r="C107" s="9">
        <v>44235</v>
      </c>
      <c r="D107" s="9">
        <v>44239</v>
      </c>
      <c r="E107" s="14">
        <f>VLOOKUP(F107,CarrierID!A:B,2,0)</f>
        <v>1</v>
      </c>
      <c r="F107" s="15" t="s">
        <v>0</v>
      </c>
      <c r="G107" t="str">
        <f>VLOOKUP(F107,Carrier_Category!A:B,2,0)</f>
        <v>Commuter</v>
      </c>
      <c r="H107" s="5">
        <v>35</v>
      </c>
      <c r="I107" s="7">
        <f t="shared" si="7"/>
        <v>76</v>
      </c>
      <c r="J107" s="5">
        <v>582</v>
      </c>
      <c r="K107" s="18">
        <f t="shared" si="6"/>
        <v>16.62857142857143</v>
      </c>
    </row>
    <row r="108" spans="1:11" x14ac:dyDescent="0.3">
      <c r="A108" s="14">
        <v>2021</v>
      </c>
      <c r="B108" s="14">
        <f t="shared" si="5"/>
        <v>6</v>
      </c>
      <c r="C108" s="9">
        <v>44235</v>
      </c>
      <c r="D108" s="9">
        <v>44239</v>
      </c>
      <c r="E108" s="14">
        <f>VLOOKUP(F108,CarrierID!A:B,2,0)</f>
        <v>5</v>
      </c>
      <c r="F108" s="15" t="s">
        <v>1</v>
      </c>
      <c r="G108" t="str">
        <f>VLOOKUP(F108,Carrier_Category!A:B,2,0)</f>
        <v>Intercity</v>
      </c>
      <c r="H108" s="5">
        <v>34</v>
      </c>
      <c r="I108" s="7">
        <f t="shared" si="7"/>
        <v>35</v>
      </c>
      <c r="J108" s="5">
        <v>869</v>
      </c>
      <c r="K108" s="18">
        <f t="shared" si="6"/>
        <v>25.558823529411764</v>
      </c>
    </row>
    <row r="109" spans="1:11" x14ac:dyDescent="0.3">
      <c r="A109" s="14">
        <v>2021</v>
      </c>
      <c r="B109" s="14">
        <f t="shared" si="5"/>
        <v>6</v>
      </c>
      <c r="C109" s="9">
        <v>44235</v>
      </c>
      <c r="D109" s="9">
        <v>44239</v>
      </c>
      <c r="E109" s="14">
        <f>VLOOKUP(F109,CarrierID!A:B,2,0)</f>
        <v>8</v>
      </c>
      <c r="F109" s="15" t="s">
        <v>2</v>
      </c>
      <c r="G109" t="str">
        <f>VLOOKUP(F109,Carrier_Category!A:B,2,0)</f>
        <v>Commuter</v>
      </c>
      <c r="H109" s="5">
        <v>13</v>
      </c>
      <c r="I109" s="7">
        <f t="shared" si="7"/>
        <v>36</v>
      </c>
      <c r="J109" s="5">
        <v>462</v>
      </c>
      <c r="K109" s="18">
        <f t="shared" si="6"/>
        <v>35.53846153846154</v>
      </c>
    </row>
    <row r="110" spans="1:11" x14ac:dyDescent="0.3">
      <c r="A110" s="14">
        <v>2021</v>
      </c>
      <c r="B110" s="14">
        <f t="shared" si="5"/>
        <v>6</v>
      </c>
      <c r="C110" s="9">
        <v>44235</v>
      </c>
      <c r="D110" s="9">
        <v>44239</v>
      </c>
      <c r="E110" s="14">
        <f>VLOOKUP(F110,CarrierID!A:B,2,0)</f>
        <v>9</v>
      </c>
      <c r="F110" s="15" t="s">
        <v>3</v>
      </c>
      <c r="G110" t="str">
        <f>VLOOKUP(F110,Carrier_Category!A:B,2,0)</f>
        <v>NJT</v>
      </c>
      <c r="H110" s="5">
        <v>2043</v>
      </c>
      <c r="I110" s="7">
        <f t="shared" si="7"/>
        <v>13</v>
      </c>
      <c r="J110" s="5">
        <v>26683</v>
      </c>
      <c r="K110" s="18">
        <f t="shared" si="6"/>
        <v>13.06069505628977</v>
      </c>
    </row>
    <row r="111" spans="1:11" x14ac:dyDescent="0.3">
      <c r="A111" s="14">
        <v>2021</v>
      </c>
      <c r="B111" s="14">
        <f t="shared" si="5"/>
        <v>6</v>
      </c>
      <c r="C111" s="9">
        <v>44235</v>
      </c>
      <c r="D111" s="9">
        <v>44239</v>
      </c>
      <c r="E111" s="14">
        <f>VLOOKUP(F111,CarrierID!A:B,2,0)</f>
        <v>7</v>
      </c>
      <c r="F111" s="15" t="s">
        <v>4</v>
      </c>
      <c r="G111" t="str">
        <f>VLOOKUP(F111,Carrier_Category!A:B,2,0)</f>
        <v>Commuter</v>
      </c>
      <c r="H111" s="5">
        <v>12</v>
      </c>
      <c r="I111" s="7">
        <f t="shared" si="7"/>
        <v>2071</v>
      </c>
      <c r="J111" s="5">
        <v>271</v>
      </c>
      <c r="K111" s="18">
        <f t="shared" si="6"/>
        <v>22.583333333333332</v>
      </c>
    </row>
    <row r="112" spans="1:11" x14ac:dyDescent="0.3">
      <c r="A112" s="14">
        <v>2021</v>
      </c>
      <c r="B112" s="14">
        <f t="shared" si="5"/>
        <v>6</v>
      </c>
      <c r="C112" s="9">
        <v>44235</v>
      </c>
      <c r="D112" s="9">
        <v>44239</v>
      </c>
      <c r="E112" s="14">
        <f>VLOOKUP(F112,CarrierID!A:B,2,0)</f>
        <v>11</v>
      </c>
      <c r="F112" s="15" t="s">
        <v>5</v>
      </c>
      <c r="G112" t="str">
        <f>VLOOKUP(F112,Carrier_Category!A:B,2,0)</f>
        <v>Intercity</v>
      </c>
      <c r="H112" s="5">
        <v>10</v>
      </c>
      <c r="I112" s="7">
        <f t="shared" si="7"/>
        <v>12</v>
      </c>
      <c r="J112" s="5">
        <v>199</v>
      </c>
      <c r="K112" s="18">
        <f t="shared" si="6"/>
        <v>19.899999999999999</v>
      </c>
    </row>
    <row r="113" spans="1:11" x14ac:dyDescent="0.3">
      <c r="A113" s="14">
        <v>2021</v>
      </c>
      <c r="B113" s="14">
        <f t="shared" si="5"/>
        <v>6</v>
      </c>
      <c r="C113" s="9">
        <v>44235</v>
      </c>
      <c r="D113" s="9">
        <v>44239</v>
      </c>
      <c r="E113" s="14">
        <f>VLOOKUP(F113,CarrierID!A:B,2,0)</f>
        <v>3</v>
      </c>
      <c r="F113" s="15" t="s">
        <v>6</v>
      </c>
      <c r="G113" t="str">
        <f>VLOOKUP(F113,Carrier_Category!A:B,2,0)</f>
        <v>Commuter</v>
      </c>
      <c r="H113" s="5">
        <v>84</v>
      </c>
      <c r="I113" s="7">
        <f t="shared" si="7"/>
        <v>10</v>
      </c>
      <c r="J113" s="5">
        <v>1572</v>
      </c>
      <c r="K113" s="18">
        <f t="shared" si="6"/>
        <v>18.714285714285715</v>
      </c>
    </row>
    <row r="114" spans="1:11" x14ac:dyDescent="0.3">
      <c r="A114" s="14">
        <v>2021</v>
      </c>
      <c r="B114" s="14">
        <f t="shared" si="5"/>
        <v>6</v>
      </c>
      <c r="C114" s="9">
        <v>44235</v>
      </c>
      <c r="D114" s="9">
        <v>44239</v>
      </c>
      <c r="E114" s="14">
        <f>VLOOKUP(F114,CarrierID!A:B,2,0)</f>
        <v>12</v>
      </c>
      <c r="F114" s="15" t="s">
        <v>25</v>
      </c>
      <c r="G114" t="str">
        <f>VLOOKUP(F114,Carrier_Category!A:B,2,0)</f>
        <v>Commuter</v>
      </c>
      <c r="H114" s="5">
        <v>12</v>
      </c>
      <c r="I114" s="7">
        <f t="shared" si="7"/>
        <v>84</v>
      </c>
      <c r="J114" s="5">
        <v>324</v>
      </c>
      <c r="K114" s="18">
        <f t="shared" si="6"/>
        <v>27</v>
      </c>
    </row>
    <row r="115" spans="1:11" x14ac:dyDescent="0.3">
      <c r="A115" s="14">
        <v>2021</v>
      </c>
      <c r="B115" s="14">
        <f t="shared" si="5"/>
        <v>6</v>
      </c>
      <c r="C115" s="9">
        <v>44235</v>
      </c>
      <c r="D115" s="9">
        <v>44239</v>
      </c>
      <c r="E115" s="14">
        <f>VLOOKUP(F115,CarrierID!A:B,2,0)</f>
        <v>10</v>
      </c>
      <c r="F115" s="15" t="s">
        <v>8</v>
      </c>
      <c r="G115" t="str">
        <f>VLOOKUP(F115,Carrier_Category!A:B,2,0)</f>
        <v>Intercity</v>
      </c>
      <c r="H115" s="5">
        <v>10</v>
      </c>
      <c r="I115" s="7">
        <f t="shared" si="7"/>
        <v>12</v>
      </c>
      <c r="J115" s="5">
        <v>288</v>
      </c>
      <c r="K115" s="18">
        <f t="shared" si="6"/>
        <v>28.8</v>
      </c>
    </row>
    <row r="116" spans="1:11" x14ac:dyDescent="0.3">
      <c r="A116" s="14">
        <v>2021</v>
      </c>
      <c r="B116" s="14">
        <f t="shared" si="5"/>
        <v>6</v>
      </c>
      <c r="C116" s="9">
        <v>44235</v>
      </c>
      <c r="D116" s="9">
        <v>44239</v>
      </c>
      <c r="E116" s="14">
        <f>VLOOKUP(F116,CarrierID!A:B,2,0)</f>
        <v>6</v>
      </c>
      <c r="F116" s="15" t="s">
        <v>9</v>
      </c>
      <c r="G116" t="str">
        <f>VLOOKUP(F116,Carrier_Category!A:B,2,0)</f>
        <v>Commuter</v>
      </c>
      <c r="H116" s="5">
        <v>75</v>
      </c>
      <c r="I116" s="7">
        <f t="shared" si="7"/>
        <v>9</v>
      </c>
      <c r="J116" s="5">
        <v>935</v>
      </c>
      <c r="K116" s="18">
        <f t="shared" si="6"/>
        <v>12.466666666666667</v>
      </c>
    </row>
    <row r="117" spans="1:11" x14ac:dyDescent="0.3">
      <c r="A117" s="14">
        <v>2021</v>
      </c>
      <c r="B117" s="14">
        <f t="shared" si="5"/>
        <v>7</v>
      </c>
      <c r="C117" s="9">
        <v>44242</v>
      </c>
      <c r="D117" s="9">
        <v>44246</v>
      </c>
      <c r="E117" s="14">
        <f>VLOOKUP(F117,CarrierID!A:B,2,0)</f>
        <v>1</v>
      </c>
      <c r="F117" s="15" t="s">
        <v>0</v>
      </c>
      <c r="G117" t="str">
        <f>VLOOKUP(F117,Carrier_Category!A:B,2,0)</f>
        <v>Commuter</v>
      </c>
      <c r="H117" s="5">
        <v>35</v>
      </c>
      <c r="I117" s="7">
        <f t="shared" si="7"/>
        <v>76</v>
      </c>
      <c r="J117" s="5">
        <v>623</v>
      </c>
      <c r="K117" s="18">
        <f t="shared" si="6"/>
        <v>17.8</v>
      </c>
    </row>
    <row r="118" spans="1:11" x14ac:dyDescent="0.3">
      <c r="A118" s="14">
        <v>2021</v>
      </c>
      <c r="B118" s="14">
        <f t="shared" si="5"/>
        <v>7</v>
      </c>
      <c r="C118" s="9">
        <v>44242</v>
      </c>
      <c r="D118" s="9">
        <v>44246</v>
      </c>
      <c r="E118" s="14">
        <f>VLOOKUP(F118,CarrierID!A:B,2,0)</f>
        <v>5</v>
      </c>
      <c r="F118" s="15" t="s">
        <v>1</v>
      </c>
      <c r="G118" t="str">
        <f>VLOOKUP(F118,Carrier_Category!A:B,2,0)</f>
        <v>Intercity</v>
      </c>
      <c r="H118" s="5">
        <v>34</v>
      </c>
      <c r="I118" s="7">
        <f t="shared" si="7"/>
        <v>35</v>
      </c>
      <c r="J118" s="5">
        <v>848</v>
      </c>
      <c r="K118" s="18">
        <f t="shared" si="6"/>
        <v>24.941176470588236</v>
      </c>
    </row>
    <row r="119" spans="1:11" x14ac:dyDescent="0.3">
      <c r="A119" s="14">
        <v>2021</v>
      </c>
      <c r="B119" s="14">
        <f t="shared" si="5"/>
        <v>7</v>
      </c>
      <c r="C119" s="9">
        <v>44242</v>
      </c>
      <c r="D119" s="9">
        <v>44246</v>
      </c>
      <c r="E119" s="14">
        <f>VLOOKUP(F119,CarrierID!A:B,2,0)</f>
        <v>8</v>
      </c>
      <c r="F119" s="15" t="s">
        <v>2</v>
      </c>
      <c r="G119" t="str">
        <f>VLOOKUP(F119,Carrier_Category!A:B,2,0)</f>
        <v>Commuter</v>
      </c>
      <c r="H119" s="5">
        <v>13</v>
      </c>
      <c r="I119" s="7">
        <f t="shared" si="7"/>
        <v>34</v>
      </c>
      <c r="J119" s="5">
        <v>446</v>
      </c>
      <c r="K119" s="18">
        <f t="shared" si="6"/>
        <v>34.307692307692307</v>
      </c>
    </row>
    <row r="120" spans="1:11" x14ac:dyDescent="0.3">
      <c r="A120" s="14">
        <v>2021</v>
      </c>
      <c r="B120" s="14">
        <f t="shared" si="5"/>
        <v>7</v>
      </c>
      <c r="C120" s="9">
        <v>44242</v>
      </c>
      <c r="D120" s="9">
        <v>44246</v>
      </c>
      <c r="E120" s="14">
        <f>VLOOKUP(F120,CarrierID!A:B,2,0)</f>
        <v>9</v>
      </c>
      <c r="F120" s="15" t="s">
        <v>3</v>
      </c>
      <c r="G120" t="str">
        <f>VLOOKUP(F120,Carrier_Category!A:B,2,0)</f>
        <v>NJT</v>
      </c>
      <c r="H120" s="5">
        <v>2281</v>
      </c>
      <c r="I120" s="7">
        <f t="shared" si="7"/>
        <v>13</v>
      </c>
      <c r="J120" s="5">
        <v>27430</v>
      </c>
      <c r="K120" s="18">
        <f t="shared" si="6"/>
        <v>12.025427444103464</v>
      </c>
    </row>
    <row r="121" spans="1:11" x14ac:dyDescent="0.3">
      <c r="A121" s="14">
        <v>2021</v>
      </c>
      <c r="B121" s="14">
        <f t="shared" si="5"/>
        <v>7</v>
      </c>
      <c r="C121" s="9">
        <v>44242</v>
      </c>
      <c r="D121" s="9">
        <v>44246</v>
      </c>
      <c r="E121" s="14">
        <f>VLOOKUP(F121,CarrierID!A:B,2,0)</f>
        <v>7</v>
      </c>
      <c r="F121" s="15" t="s">
        <v>4</v>
      </c>
      <c r="G121" t="str">
        <f>VLOOKUP(F121,Carrier_Category!A:B,2,0)</f>
        <v>Commuter</v>
      </c>
      <c r="H121" s="5">
        <v>12</v>
      </c>
      <c r="I121" s="7">
        <f t="shared" si="7"/>
        <v>2043</v>
      </c>
      <c r="J121" s="5">
        <v>271</v>
      </c>
      <c r="K121" s="18">
        <f t="shared" si="6"/>
        <v>22.583333333333332</v>
      </c>
    </row>
    <row r="122" spans="1:11" x14ac:dyDescent="0.3">
      <c r="A122" s="14">
        <v>2021</v>
      </c>
      <c r="B122" s="14">
        <f t="shared" si="5"/>
        <v>7</v>
      </c>
      <c r="C122" s="9">
        <v>44242</v>
      </c>
      <c r="D122" s="9">
        <v>44246</v>
      </c>
      <c r="E122" s="14">
        <f>VLOOKUP(F122,CarrierID!A:B,2,0)</f>
        <v>11</v>
      </c>
      <c r="F122" s="15" t="s">
        <v>5</v>
      </c>
      <c r="G122" t="str">
        <f>VLOOKUP(F122,Carrier_Category!A:B,2,0)</f>
        <v>Intercity</v>
      </c>
      <c r="H122" s="5">
        <v>9</v>
      </c>
      <c r="I122" s="7">
        <f t="shared" si="7"/>
        <v>12</v>
      </c>
      <c r="J122" s="5">
        <v>222</v>
      </c>
      <c r="K122" s="18">
        <f t="shared" si="6"/>
        <v>24.666666666666668</v>
      </c>
    </row>
    <row r="123" spans="1:11" x14ac:dyDescent="0.3">
      <c r="A123" s="14">
        <v>2021</v>
      </c>
      <c r="B123" s="14">
        <f t="shared" si="5"/>
        <v>7</v>
      </c>
      <c r="C123" s="9">
        <v>44242</v>
      </c>
      <c r="D123" s="9">
        <v>44246</v>
      </c>
      <c r="E123" s="14">
        <f>VLOOKUP(F123,CarrierID!A:B,2,0)</f>
        <v>3</v>
      </c>
      <c r="F123" s="15" t="s">
        <v>6</v>
      </c>
      <c r="G123" t="str">
        <f>VLOOKUP(F123,Carrier_Category!A:B,2,0)</f>
        <v>Commuter</v>
      </c>
      <c r="H123" s="5">
        <v>81</v>
      </c>
      <c r="I123" s="7">
        <f t="shared" si="7"/>
        <v>10</v>
      </c>
      <c r="J123" s="5">
        <v>1461</v>
      </c>
      <c r="K123" s="18">
        <f t="shared" si="6"/>
        <v>18.037037037037038</v>
      </c>
    </row>
    <row r="124" spans="1:11" x14ac:dyDescent="0.3">
      <c r="A124" s="14">
        <v>2021</v>
      </c>
      <c r="B124" s="14">
        <f t="shared" si="5"/>
        <v>7</v>
      </c>
      <c r="C124" s="9">
        <v>44242</v>
      </c>
      <c r="D124" s="9">
        <v>44246</v>
      </c>
      <c r="E124" s="14">
        <f>VLOOKUP(F124,CarrierID!A:B,2,0)</f>
        <v>12</v>
      </c>
      <c r="F124" s="15" t="s">
        <v>25</v>
      </c>
      <c r="G124" t="str">
        <f>VLOOKUP(F124,Carrier_Category!A:B,2,0)</f>
        <v>Commuter</v>
      </c>
      <c r="H124" s="5">
        <v>12</v>
      </c>
      <c r="I124" s="7">
        <f t="shared" si="7"/>
        <v>84</v>
      </c>
      <c r="J124" s="5">
        <v>341</v>
      </c>
      <c r="K124" s="18">
        <f t="shared" si="6"/>
        <v>28.416666666666668</v>
      </c>
    </row>
    <row r="125" spans="1:11" x14ac:dyDescent="0.3">
      <c r="A125" s="14">
        <v>2021</v>
      </c>
      <c r="B125" s="14">
        <f t="shared" si="5"/>
        <v>7</v>
      </c>
      <c r="C125" s="9">
        <v>44242</v>
      </c>
      <c r="D125" s="9">
        <v>44246</v>
      </c>
      <c r="E125" s="14">
        <f>VLOOKUP(F125,CarrierID!A:B,2,0)</f>
        <v>10</v>
      </c>
      <c r="F125" s="15" t="s">
        <v>8</v>
      </c>
      <c r="G125" t="str">
        <f>VLOOKUP(F125,Carrier_Category!A:B,2,0)</f>
        <v>Intercity</v>
      </c>
      <c r="H125" s="5">
        <v>9</v>
      </c>
      <c r="I125" s="7">
        <f t="shared" si="7"/>
        <v>12</v>
      </c>
      <c r="J125" s="5">
        <v>300</v>
      </c>
      <c r="K125" s="18">
        <f t="shared" si="6"/>
        <v>33.333333333333336</v>
      </c>
    </row>
    <row r="126" spans="1:11" x14ac:dyDescent="0.3">
      <c r="A126" s="14">
        <v>2021</v>
      </c>
      <c r="B126" s="14">
        <f t="shared" si="5"/>
        <v>7</v>
      </c>
      <c r="C126" s="9">
        <v>44242</v>
      </c>
      <c r="D126" s="9">
        <v>44246</v>
      </c>
      <c r="E126" s="14">
        <f>VLOOKUP(F126,CarrierID!A:B,2,0)</f>
        <v>6</v>
      </c>
      <c r="F126" s="15" t="s">
        <v>9</v>
      </c>
      <c r="G126" t="str">
        <f>VLOOKUP(F126,Carrier_Category!A:B,2,0)</f>
        <v>Commuter</v>
      </c>
      <c r="H126" s="5">
        <v>73</v>
      </c>
      <c r="I126" s="7">
        <f t="shared" si="7"/>
        <v>10</v>
      </c>
      <c r="J126" s="5">
        <v>885</v>
      </c>
      <c r="K126" s="18">
        <f t="shared" si="6"/>
        <v>12.123287671232877</v>
      </c>
    </row>
    <row r="127" spans="1:11" x14ac:dyDescent="0.3">
      <c r="A127" s="14">
        <v>2021</v>
      </c>
      <c r="B127" s="14">
        <f t="shared" si="5"/>
        <v>8</v>
      </c>
      <c r="C127" s="9">
        <v>44249</v>
      </c>
      <c r="D127" s="9">
        <v>44253</v>
      </c>
      <c r="E127" s="14">
        <f>VLOOKUP(F127,CarrierID!A:B,2,0)</f>
        <v>1</v>
      </c>
      <c r="F127" s="15" t="s">
        <v>0</v>
      </c>
      <c r="G127" t="str">
        <f>VLOOKUP(F127,Carrier_Category!A:B,2,0)</f>
        <v>Commuter</v>
      </c>
      <c r="H127" s="5">
        <v>32</v>
      </c>
      <c r="I127" s="7">
        <f t="shared" si="7"/>
        <v>75</v>
      </c>
      <c r="J127" s="5">
        <v>577</v>
      </c>
      <c r="K127" s="18">
        <f t="shared" si="6"/>
        <v>18.03125</v>
      </c>
    </row>
    <row r="128" spans="1:11" x14ac:dyDescent="0.3">
      <c r="A128" s="14">
        <v>2021</v>
      </c>
      <c r="B128" s="14">
        <f t="shared" si="5"/>
        <v>8</v>
      </c>
      <c r="C128" s="9">
        <v>44249</v>
      </c>
      <c r="D128" s="9">
        <v>44253</v>
      </c>
      <c r="E128" s="14">
        <f>VLOOKUP(F128,CarrierID!A:B,2,0)</f>
        <v>5</v>
      </c>
      <c r="F128" s="15" t="s">
        <v>1</v>
      </c>
      <c r="G128" t="str">
        <f>VLOOKUP(F128,Carrier_Category!A:B,2,0)</f>
        <v>Intercity</v>
      </c>
      <c r="H128" s="5">
        <v>33</v>
      </c>
      <c r="I128" s="7">
        <f t="shared" si="7"/>
        <v>35</v>
      </c>
      <c r="J128" s="5">
        <v>831</v>
      </c>
      <c r="K128" s="18">
        <f t="shared" si="6"/>
        <v>25.181818181818183</v>
      </c>
    </row>
    <row r="129" spans="1:11" x14ac:dyDescent="0.3">
      <c r="A129" s="14">
        <v>2021</v>
      </c>
      <c r="B129" s="14">
        <f t="shared" si="5"/>
        <v>8</v>
      </c>
      <c r="C129" s="9">
        <v>44249</v>
      </c>
      <c r="D129" s="9">
        <v>44253</v>
      </c>
      <c r="E129" s="14">
        <f>VLOOKUP(F129,CarrierID!A:B,2,0)</f>
        <v>8</v>
      </c>
      <c r="F129" s="15" t="s">
        <v>2</v>
      </c>
      <c r="G129" t="str">
        <f>VLOOKUP(F129,Carrier_Category!A:B,2,0)</f>
        <v>Commuter</v>
      </c>
      <c r="H129" s="5">
        <v>13</v>
      </c>
      <c r="I129" s="7">
        <f t="shared" si="7"/>
        <v>34</v>
      </c>
      <c r="J129" s="5">
        <v>455</v>
      </c>
      <c r="K129" s="18">
        <f t="shared" si="6"/>
        <v>35</v>
      </c>
    </row>
    <row r="130" spans="1:11" x14ac:dyDescent="0.3">
      <c r="A130" s="14">
        <v>2021</v>
      </c>
      <c r="B130" s="14">
        <f t="shared" si="5"/>
        <v>8</v>
      </c>
      <c r="C130" s="9">
        <v>44249</v>
      </c>
      <c r="D130" s="9">
        <v>44253</v>
      </c>
      <c r="E130" s="14">
        <f>VLOOKUP(F130,CarrierID!A:B,2,0)</f>
        <v>9</v>
      </c>
      <c r="F130" s="15" t="s">
        <v>3</v>
      </c>
      <c r="G130" t="str">
        <f>VLOOKUP(F130,Carrier_Category!A:B,2,0)</f>
        <v>NJT</v>
      </c>
      <c r="H130" s="5">
        <v>2077</v>
      </c>
      <c r="I130" s="7">
        <f t="shared" si="7"/>
        <v>13</v>
      </c>
      <c r="J130" s="5">
        <v>27440</v>
      </c>
      <c r="K130" s="18">
        <f t="shared" si="6"/>
        <v>13.21136254212807</v>
      </c>
    </row>
    <row r="131" spans="1:11" x14ac:dyDescent="0.3">
      <c r="A131" s="14">
        <v>2021</v>
      </c>
      <c r="B131" s="14">
        <f t="shared" si="5"/>
        <v>8</v>
      </c>
      <c r="C131" s="9">
        <v>44249</v>
      </c>
      <c r="D131" s="9">
        <v>44253</v>
      </c>
      <c r="E131" s="14">
        <f>VLOOKUP(F131,CarrierID!A:B,2,0)</f>
        <v>7</v>
      </c>
      <c r="F131" s="15" t="s">
        <v>4</v>
      </c>
      <c r="G131" t="str">
        <f>VLOOKUP(F131,Carrier_Category!A:B,2,0)</f>
        <v>Commuter</v>
      </c>
      <c r="H131" s="5">
        <v>12</v>
      </c>
      <c r="I131" s="7">
        <f t="shared" si="7"/>
        <v>2281</v>
      </c>
      <c r="J131" s="5">
        <v>273</v>
      </c>
      <c r="K131" s="18">
        <f t="shared" si="6"/>
        <v>22.75</v>
      </c>
    </row>
    <row r="132" spans="1:11" x14ac:dyDescent="0.3">
      <c r="A132" s="14">
        <v>2021</v>
      </c>
      <c r="B132" s="14">
        <f t="shared" si="5"/>
        <v>8</v>
      </c>
      <c r="C132" s="9">
        <v>44249</v>
      </c>
      <c r="D132" s="9">
        <v>44253</v>
      </c>
      <c r="E132" s="14">
        <f>VLOOKUP(F132,CarrierID!A:B,2,0)</f>
        <v>11</v>
      </c>
      <c r="F132" s="15" t="s">
        <v>5</v>
      </c>
      <c r="G132" t="str">
        <f>VLOOKUP(F132,Carrier_Category!A:B,2,0)</f>
        <v>Intercity</v>
      </c>
      <c r="H132" s="5">
        <v>10</v>
      </c>
      <c r="I132" s="7">
        <f t="shared" si="7"/>
        <v>12</v>
      </c>
      <c r="J132" s="5">
        <v>225</v>
      </c>
      <c r="K132" s="18">
        <f t="shared" si="6"/>
        <v>22.5</v>
      </c>
    </row>
    <row r="133" spans="1:11" x14ac:dyDescent="0.3">
      <c r="A133" s="14">
        <v>2021</v>
      </c>
      <c r="B133" s="14">
        <f t="shared" ref="B133:B196" si="8">_xlfn.ISOWEEKNUM(C133)</f>
        <v>8</v>
      </c>
      <c r="C133" s="9">
        <v>44249</v>
      </c>
      <c r="D133" s="9">
        <v>44253</v>
      </c>
      <c r="E133" s="14">
        <f>VLOOKUP(F133,CarrierID!A:B,2,0)</f>
        <v>3</v>
      </c>
      <c r="F133" s="15" t="s">
        <v>6</v>
      </c>
      <c r="G133" t="str">
        <f>VLOOKUP(F133,Carrier_Category!A:B,2,0)</f>
        <v>Commuter</v>
      </c>
      <c r="H133" s="5">
        <v>83</v>
      </c>
      <c r="I133" s="7">
        <f t="shared" si="7"/>
        <v>9</v>
      </c>
      <c r="J133" s="5">
        <v>1522</v>
      </c>
      <c r="K133" s="18">
        <f t="shared" ref="K133:K196" si="9">J133/H133</f>
        <v>18.337349397590362</v>
      </c>
    </row>
    <row r="134" spans="1:11" x14ac:dyDescent="0.3">
      <c r="A134" s="14">
        <v>2021</v>
      </c>
      <c r="B134" s="14">
        <f t="shared" si="8"/>
        <v>8</v>
      </c>
      <c r="C134" s="9">
        <v>44249</v>
      </c>
      <c r="D134" s="9">
        <v>44253</v>
      </c>
      <c r="E134" s="14">
        <f>VLOOKUP(F134,CarrierID!A:B,2,0)</f>
        <v>12</v>
      </c>
      <c r="F134" s="15" t="s">
        <v>25</v>
      </c>
      <c r="G134" t="str">
        <f>VLOOKUP(F134,Carrier_Category!A:B,2,0)</f>
        <v>Commuter</v>
      </c>
      <c r="H134" s="5">
        <v>12</v>
      </c>
      <c r="I134" s="7">
        <f t="shared" si="7"/>
        <v>81</v>
      </c>
      <c r="J134" s="5">
        <v>310</v>
      </c>
      <c r="K134" s="18">
        <f t="shared" si="9"/>
        <v>25.833333333333332</v>
      </c>
    </row>
    <row r="135" spans="1:11" x14ac:dyDescent="0.3">
      <c r="A135" s="14">
        <v>2021</v>
      </c>
      <c r="B135" s="14">
        <f t="shared" si="8"/>
        <v>8</v>
      </c>
      <c r="C135" s="9">
        <v>44249</v>
      </c>
      <c r="D135" s="9">
        <v>44253</v>
      </c>
      <c r="E135" s="14">
        <f>VLOOKUP(F135,CarrierID!A:B,2,0)</f>
        <v>10</v>
      </c>
      <c r="F135" s="15" t="s">
        <v>8</v>
      </c>
      <c r="G135" t="str">
        <f>VLOOKUP(F135,Carrier_Category!A:B,2,0)</f>
        <v>Intercity</v>
      </c>
      <c r="H135" s="5">
        <v>9</v>
      </c>
      <c r="I135" s="7">
        <f t="shared" si="7"/>
        <v>12</v>
      </c>
      <c r="J135" s="5">
        <v>240</v>
      </c>
      <c r="K135" s="18">
        <f t="shared" si="9"/>
        <v>26.666666666666668</v>
      </c>
    </row>
    <row r="136" spans="1:11" x14ac:dyDescent="0.3">
      <c r="A136" s="14">
        <v>2021</v>
      </c>
      <c r="B136" s="14">
        <f t="shared" si="8"/>
        <v>8</v>
      </c>
      <c r="C136" s="9">
        <v>44249</v>
      </c>
      <c r="D136" s="9">
        <v>44253</v>
      </c>
      <c r="E136" s="14">
        <f>VLOOKUP(F136,CarrierID!A:B,2,0)</f>
        <v>6</v>
      </c>
      <c r="F136" s="15" t="s">
        <v>9</v>
      </c>
      <c r="G136" t="str">
        <f>VLOOKUP(F136,Carrier_Category!A:B,2,0)</f>
        <v>Commuter</v>
      </c>
      <c r="H136" s="5">
        <v>78</v>
      </c>
      <c r="I136" s="7">
        <f t="shared" si="7"/>
        <v>9</v>
      </c>
      <c r="J136" s="5">
        <v>1117</v>
      </c>
      <c r="K136" s="18">
        <f t="shared" si="9"/>
        <v>14.320512820512821</v>
      </c>
    </row>
    <row r="137" spans="1:11" x14ac:dyDescent="0.3">
      <c r="A137" s="14">
        <v>2021</v>
      </c>
      <c r="B137" s="14">
        <f t="shared" si="8"/>
        <v>9</v>
      </c>
      <c r="C137" s="9">
        <v>44257</v>
      </c>
      <c r="D137" s="9">
        <v>44260</v>
      </c>
      <c r="E137" s="14">
        <f>VLOOKUP(F137,CarrierID!A:B,2,0)</f>
        <v>1</v>
      </c>
      <c r="F137" s="15" t="s">
        <v>0</v>
      </c>
      <c r="G137" t="str">
        <f>VLOOKUP(F137,Carrier_Category!A:B,2,0)</f>
        <v>Commuter</v>
      </c>
      <c r="H137" s="5">
        <v>32</v>
      </c>
      <c r="I137" s="7">
        <f t="shared" si="7"/>
        <v>73</v>
      </c>
      <c r="J137" s="5">
        <v>577</v>
      </c>
      <c r="K137" s="18">
        <f t="shared" si="9"/>
        <v>18.03125</v>
      </c>
    </row>
    <row r="138" spans="1:11" x14ac:dyDescent="0.3">
      <c r="A138" s="14">
        <v>2021</v>
      </c>
      <c r="B138" s="14">
        <f t="shared" si="8"/>
        <v>9</v>
      </c>
      <c r="C138" s="9">
        <v>44257</v>
      </c>
      <c r="D138" s="9">
        <v>44260</v>
      </c>
      <c r="E138" s="14">
        <f>VLOOKUP(F138,CarrierID!A:B,2,0)</f>
        <v>5</v>
      </c>
      <c r="F138" s="15" t="s">
        <v>1</v>
      </c>
      <c r="G138" t="str">
        <f>VLOOKUP(F138,Carrier_Category!A:B,2,0)</f>
        <v>Intercity</v>
      </c>
      <c r="H138" s="5">
        <v>35</v>
      </c>
      <c r="I138" s="7">
        <f t="shared" si="7"/>
        <v>32</v>
      </c>
      <c r="J138" s="5">
        <v>976</v>
      </c>
      <c r="K138" s="18">
        <f t="shared" si="9"/>
        <v>27.885714285714286</v>
      </c>
    </row>
    <row r="139" spans="1:11" x14ac:dyDescent="0.3">
      <c r="A139" s="14">
        <v>2021</v>
      </c>
      <c r="B139" s="14">
        <f t="shared" si="8"/>
        <v>9</v>
      </c>
      <c r="C139" s="9">
        <v>44257</v>
      </c>
      <c r="D139" s="9">
        <v>44260</v>
      </c>
      <c r="E139" s="14">
        <f>VLOOKUP(F139,CarrierID!A:B,2,0)</f>
        <v>8</v>
      </c>
      <c r="F139" s="15" t="s">
        <v>2</v>
      </c>
      <c r="G139" t="str">
        <f>VLOOKUP(F139,Carrier_Category!A:B,2,0)</f>
        <v>Commuter</v>
      </c>
      <c r="H139" s="5">
        <v>13</v>
      </c>
      <c r="I139" s="7">
        <f t="shared" si="7"/>
        <v>33</v>
      </c>
      <c r="J139" s="5">
        <v>498</v>
      </c>
      <c r="K139" s="18">
        <f t="shared" si="9"/>
        <v>38.307692307692307</v>
      </c>
    </row>
    <row r="140" spans="1:11" x14ac:dyDescent="0.3">
      <c r="A140" s="14">
        <v>2021</v>
      </c>
      <c r="B140" s="14">
        <f t="shared" si="8"/>
        <v>9</v>
      </c>
      <c r="C140" s="9">
        <v>44257</v>
      </c>
      <c r="D140" s="9">
        <v>44260</v>
      </c>
      <c r="E140" s="14">
        <f>VLOOKUP(F140,CarrierID!A:B,2,0)</f>
        <v>9</v>
      </c>
      <c r="F140" s="15" t="s">
        <v>3</v>
      </c>
      <c r="G140" t="str">
        <f>VLOOKUP(F140,Carrier_Category!A:B,2,0)</f>
        <v>NJT</v>
      </c>
      <c r="H140" s="5">
        <v>2095</v>
      </c>
      <c r="I140" s="7">
        <f t="shared" si="7"/>
        <v>13</v>
      </c>
      <c r="J140" s="5">
        <v>29104</v>
      </c>
      <c r="K140" s="18">
        <f t="shared" si="9"/>
        <v>13.892124105011932</v>
      </c>
    </row>
    <row r="141" spans="1:11" x14ac:dyDescent="0.3">
      <c r="A141" s="14">
        <v>2021</v>
      </c>
      <c r="B141" s="14">
        <f t="shared" si="8"/>
        <v>9</v>
      </c>
      <c r="C141" s="9">
        <v>44257</v>
      </c>
      <c r="D141" s="9">
        <v>44260</v>
      </c>
      <c r="E141" s="14">
        <f>VLOOKUP(F141,CarrierID!A:B,2,0)</f>
        <v>7</v>
      </c>
      <c r="F141" s="15" t="s">
        <v>4</v>
      </c>
      <c r="G141" t="str">
        <f>VLOOKUP(F141,Carrier_Category!A:B,2,0)</f>
        <v>Commuter</v>
      </c>
      <c r="H141" s="5">
        <v>12</v>
      </c>
      <c r="I141" s="7">
        <f t="shared" ref="I141:I204" si="10">H130</f>
        <v>2077</v>
      </c>
      <c r="J141" s="5">
        <v>291</v>
      </c>
      <c r="K141" s="18">
        <f t="shared" si="9"/>
        <v>24.25</v>
      </c>
    </row>
    <row r="142" spans="1:11" x14ac:dyDescent="0.3">
      <c r="A142" s="14">
        <v>2021</v>
      </c>
      <c r="B142" s="14">
        <f t="shared" si="8"/>
        <v>9</v>
      </c>
      <c r="C142" s="9">
        <v>44257</v>
      </c>
      <c r="D142" s="9">
        <v>44260</v>
      </c>
      <c r="E142" s="14">
        <f>VLOOKUP(F142,CarrierID!A:B,2,0)</f>
        <v>11</v>
      </c>
      <c r="F142" s="15" t="s">
        <v>5</v>
      </c>
      <c r="G142" t="str">
        <f>VLOOKUP(F142,Carrier_Category!A:B,2,0)</f>
        <v>Intercity</v>
      </c>
      <c r="H142" s="5">
        <v>10</v>
      </c>
      <c r="I142" s="7">
        <f t="shared" si="10"/>
        <v>12</v>
      </c>
      <c r="J142" s="5">
        <v>232</v>
      </c>
      <c r="K142" s="18">
        <f t="shared" si="9"/>
        <v>23.2</v>
      </c>
    </row>
    <row r="143" spans="1:11" x14ac:dyDescent="0.3">
      <c r="A143" s="14">
        <v>2021</v>
      </c>
      <c r="B143" s="14">
        <f t="shared" si="8"/>
        <v>9</v>
      </c>
      <c r="C143" s="9">
        <v>44257</v>
      </c>
      <c r="D143" s="9">
        <v>44260</v>
      </c>
      <c r="E143" s="14">
        <f>VLOOKUP(F143,CarrierID!A:B,2,0)</f>
        <v>3</v>
      </c>
      <c r="F143" s="15" t="s">
        <v>6</v>
      </c>
      <c r="G143" t="str">
        <f>VLOOKUP(F143,Carrier_Category!A:B,2,0)</f>
        <v>Commuter</v>
      </c>
      <c r="H143" s="5">
        <v>83</v>
      </c>
      <c r="I143" s="7">
        <f t="shared" si="10"/>
        <v>10</v>
      </c>
      <c r="J143" s="5">
        <v>1621</v>
      </c>
      <c r="K143" s="18">
        <f t="shared" si="9"/>
        <v>19.53012048192771</v>
      </c>
    </row>
    <row r="144" spans="1:11" x14ac:dyDescent="0.3">
      <c r="A144" s="14">
        <v>2021</v>
      </c>
      <c r="B144" s="14">
        <f t="shared" si="8"/>
        <v>9</v>
      </c>
      <c r="C144" s="9">
        <v>44257</v>
      </c>
      <c r="D144" s="9">
        <v>44260</v>
      </c>
      <c r="E144" s="14">
        <f>VLOOKUP(F144,CarrierID!A:B,2,0)</f>
        <v>12</v>
      </c>
      <c r="F144" s="15" t="s">
        <v>25</v>
      </c>
      <c r="G144" t="str">
        <f>VLOOKUP(F144,Carrier_Category!A:B,2,0)</f>
        <v>Commuter</v>
      </c>
      <c r="H144" s="5">
        <v>12</v>
      </c>
      <c r="I144" s="7">
        <f t="shared" si="10"/>
        <v>83</v>
      </c>
      <c r="J144" s="5">
        <v>353</v>
      </c>
      <c r="K144" s="18">
        <f t="shared" si="9"/>
        <v>29.416666666666668</v>
      </c>
    </row>
    <row r="145" spans="1:11" x14ac:dyDescent="0.3">
      <c r="A145" s="14">
        <v>2021</v>
      </c>
      <c r="B145" s="14">
        <f t="shared" si="8"/>
        <v>9</v>
      </c>
      <c r="C145" s="9">
        <v>44257</v>
      </c>
      <c r="D145" s="9">
        <v>44260</v>
      </c>
      <c r="E145" s="14">
        <f>VLOOKUP(F145,CarrierID!A:B,2,0)</f>
        <v>10</v>
      </c>
      <c r="F145" s="15" t="s">
        <v>8</v>
      </c>
      <c r="G145" t="str">
        <f>VLOOKUP(F145,Carrier_Category!A:B,2,0)</f>
        <v>Intercity</v>
      </c>
      <c r="H145" s="5">
        <v>9</v>
      </c>
      <c r="I145" s="7">
        <f t="shared" si="10"/>
        <v>12</v>
      </c>
      <c r="J145" s="5">
        <v>247</v>
      </c>
      <c r="K145" s="18">
        <f t="shared" si="9"/>
        <v>27.444444444444443</v>
      </c>
    </row>
    <row r="146" spans="1:11" x14ac:dyDescent="0.3">
      <c r="A146" s="14">
        <v>2021</v>
      </c>
      <c r="B146" s="14">
        <f t="shared" si="8"/>
        <v>9</v>
      </c>
      <c r="C146" s="9">
        <v>44257</v>
      </c>
      <c r="D146" s="9">
        <v>44260</v>
      </c>
      <c r="E146" s="14">
        <f>VLOOKUP(F146,CarrierID!A:B,2,0)</f>
        <v>6</v>
      </c>
      <c r="F146" s="15" t="s">
        <v>9</v>
      </c>
      <c r="G146" t="str">
        <f>VLOOKUP(F146,Carrier_Category!A:B,2,0)</f>
        <v>Commuter</v>
      </c>
      <c r="H146" s="5">
        <v>71</v>
      </c>
      <c r="I146" s="7">
        <f t="shared" si="10"/>
        <v>9</v>
      </c>
      <c r="J146" s="5">
        <v>1171</v>
      </c>
      <c r="K146" s="18">
        <f t="shared" si="9"/>
        <v>16.492957746478872</v>
      </c>
    </row>
    <row r="147" spans="1:11" x14ac:dyDescent="0.3">
      <c r="A147" s="14">
        <v>2021</v>
      </c>
      <c r="B147" s="14">
        <f t="shared" si="8"/>
        <v>10</v>
      </c>
      <c r="C147" s="9">
        <v>44263</v>
      </c>
      <c r="D147" s="9">
        <v>44267</v>
      </c>
      <c r="E147" s="14">
        <f>VLOOKUP(F147,CarrierID!A:B,2,0)</f>
        <v>1</v>
      </c>
      <c r="F147" s="15" t="s">
        <v>0</v>
      </c>
      <c r="G147" t="str">
        <f>VLOOKUP(F147,Carrier_Category!A:B,2,0)</f>
        <v>Commuter</v>
      </c>
      <c r="H147" s="5">
        <v>36</v>
      </c>
      <c r="I147" s="7">
        <f t="shared" si="10"/>
        <v>78</v>
      </c>
      <c r="J147" s="5">
        <v>728</v>
      </c>
      <c r="K147" s="18">
        <f t="shared" si="9"/>
        <v>20.222222222222221</v>
      </c>
    </row>
    <row r="148" spans="1:11" x14ac:dyDescent="0.3">
      <c r="A148" s="14">
        <v>2021</v>
      </c>
      <c r="B148" s="14">
        <f t="shared" si="8"/>
        <v>10</v>
      </c>
      <c r="C148" s="9">
        <v>44263</v>
      </c>
      <c r="D148" s="9">
        <v>44267</v>
      </c>
      <c r="E148" s="14">
        <f>VLOOKUP(F148,CarrierID!A:B,2,0)</f>
        <v>5</v>
      </c>
      <c r="F148" s="15" t="s">
        <v>1</v>
      </c>
      <c r="G148" t="str">
        <f>VLOOKUP(F148,Carrier_Category!A:B,2,0)</f>
        <v>Intercity</v>
      </c>
      <c r="H148" s="5">
        <v>35</v>
      </c>
      <c r="I148" s="7">
        <f t="shared" si="10"/>
        <v>32</v>
      </c>
      <c r="J148" s="5">
        <v>976</v>
      </c>
      <c r="K148" s="18">
        <f t="shared" si="9"/>
        <v>27.885714285714286</v>
      </c>
    </row>
    <row r="149" spans="1:11" x14ac:dyDescent="0.3">
      <c r="A149" s="14">
        <v>2021</v>
      </c>
      <c r="B149" s="14">
        <f t="shared" si="8"/>
        <v>10</v>
      </c>
      <c r="C149" s="9">
        <v>44263</v>
      </c>
      <c r="D149" s="9">
        <v>44267</v>
      </c>
      <c r="E149" s="14">
        <f>VLOOKUP(F149,CarrierID!A:B,2,0)</f>
        <v>8</v>
      </c>
      <c r="F149" s="15" t="s">
        <v>2</v>
      </c>
      <c r="G149" t="str">
        <f>VLOOKUP(F149,Carrier_Category!A:B,2,0)</f>
        <v>Commuter</v>
      </c>
      <c r="H149" s="5">
        <v>14</v>
      </c>
      <c r="I149" s="7">
        <f t="shared" si="10"/>
        <v>35</v>
      </c>
      <c r="J149" s="5">
        <v>474</v>
      </c>
      <c r="K149" s="18">
        <f t="shared" si="9"/>
        <v>33.857142857142854</v>
      </c>
    </row>
    <row r="150" spans="1:11" x14ac:dyDescent="0.3">
      <c r="A150" s="14">
        <v>2021</v>
      </c>
      <c r="B150" s="14">
        <f t="shared" si="8"/>
        <v>10</v>
      </c>
      <c r="C150" s="9">
        <v>44263</v>
      </c>
      <c r="D150" s="9">
        <v>44267</v>
      </c>
      <c r="E150" s="14">
        <f>VLOOKUP(F150,CarrierID!A:B,2,0)</f>
        <v>9</v>
      </c>
      <c r="F150" s="15" t="s">
        <v>3</v>
      </c>
      <c r="G150" t="str">
        <f>VLOOKUP(F150,Carrier_Category!A:B,2,0)</f>
        <v>NJT</v>
      </c>
      <c r="H150" s="5">
        <v>2089</v>
      </c>
      <c r="I150" s="7">
        <f t="shared" si="10"/>
        <v>13</v>
      </c>
      <c r="J150" s="5">
        <v>28670</v>
      </c>
      <c r="K150" s="18">
        <f t="shared" si="9"/>
        <v>13.724269985639062</v>
      </c>
    </row>
    <row r="151" spans="1:11" x14ac:dyDescent="0.3">
      <c r="A151" s="14">
        <v>2021</v>
      </c>
      <c r="B151" s="14">
        <f t="shared" si="8"/>
        <v>10</v>
      </c>
      <c r="C151" s="9">
        <v>44263</v>
      </c>
      <c r="D151" s="9">
        <v>44267</v>
      </c>
      <c r="E151" s="14">
        <f>VLOOKUP(F151,CarrierID!A:B,2,0)</f>
        <v>7</v>
      </c>
      <c r="F151" s="15" t="s">
        <v>4</v>
      </c>
      <c r="G151" t="str">
        <f>VLOOKUP(F151,Carrier_Category!A:B,2,0)</f>
        <v>Commuter</v>
      </c>
      <c r="H151" s="5">
        <v>12</v>
      </c>
      <c r="I151" s="7">
        <f t="shared" si="10"/>
        <v>2095</v>
      </c>
      <c r="J151" s="5">
        <v>299</v>
      </c>
      <c r="K151" s="18">
        <f t="shared" si="9"/>
        <v>24.916666666666668</v>
      </c>
    </row>
    <row r="152" spans="1:11" x14ac:dyDescent="0.3">
      <c r="A152" s="14">
        <v>2021</v>
      </c>
      <c r="B152" s="14">
        <f t="shared" si="8"/>
        <v>10</v>
      </c>
      <c r="C152" s="9">
        <v>44263</v>
      </c>
      <c r="D152" s="9">
        <v>44267</v>
      </c>
      <c r="E152" s="14">
        <f>VLOOKUP(F152,CarrierID!A:B,2,0)</f>
        <v>11</v>
      </c>
      <c r="F152" s="15" t="s">
        <v>5</v>
      </c>
      <c r="G152" t="str">
        <f>VLOOKUP(F152,Carrier_Category!A:B,2,0)</f>
        <v>Intercity</v>
      </c>
      <c r="H152" s="5">
        <v>11</v>
      </c>
      <c r="I152" s="7">
        <f t="shared" si="10"/>
        <v>12</v>
      </c>
      <c r="J152" s="5">
        <v>264</v>
      </c>
      <c r="K152" s="18">
        <f t="shared" si="9"/>
        <v>24</v>
      </c>
    </row>
    <row r="153" spans="1:11" x14ac:dyDescent="0.3">
      <c r="A153" s="14">
        <v>2021</v>
      </c>
      <c r="B153" s="14">
        <f t="shared" si="8"/>
        <v>10</v>
      </c>
      <c r="C153" s="9">
        <v>44263</v>
      </c>
      <c r="D153" s="9">
        <v>44267</v>
      </c>
      <c r="E153" s="14">
        <f>VLOOKUP(F153,CarrierID!A:B,2,0)</f>
        <v>3</v>
      </c>
      <c r="F153" s="15" t="s">
        <v>6</v>
      </c>
      <c r="G153" t="str">
        <f>VLOOKUP(F153,Carrier_Category!A:B,2,0)</f>
        <v>Commuter</v>
      </c>
      <c r="H153" s="5">
        <v>83</v>
      </c>
      <c r="I153" s="7">
        <f t="shared" si="10"/>
        <v>10</v>
      </c>
      <c r="J153" s="5">
        <v>1649</v>
      </c>
      <c r="K153" s="18">
        <f t="shared" si="9"/>
        <v>19.867469879518072</v>
      </c>
    </row>
    <row r="154" spans="1:11" x14ac:dyDescent="0.3">
      <c r="A154" s="14">
        <v>2021</v>
      </c>
      <c r="B154" s="14">
        <f t="shared" si="8"/>
        <v>10</v>
      </c>
      <c r="C154" s="9">
        <v>44263</v>
      </c>
      <c r="D154" s="9">
        <v>44267</v>
      </c>
      <c r="E154" s="14">
        <f>VLOOKUP(F154,CarrierID!A:B,2,0)</f>
        <v>12</v>
      </c>
      <c r="F154" s="15" t="s">
        <v>25</v>
      </c>
      <c r="G154" t="str">
        <f>VLOOKUP(F154,Carrier_Category!A:B,2,0)</f>
        <v>Commuter</v>
      </c>
      <c r="H154" s="5">
        <v>12</v>
      </c>
      <c r="I154" s="7">
        <f t="shared" si="10"/>
        <v>83</v>
      </c>
      <c r="J154" s="5">
        <v>353</v>
      </c>
      <c r="K154" s="18">
        <f t="shared" si="9"/>
        <v>29.416666666666668</v>
      </c>
    </row>
    <row r="155" spans="1:11" x14ac:dyDescent="0.3">
      <c r="A155" s="14">
        <v>2021</v>
      </c>
      <c r="B155" s="14">
        <f t="shared" si="8"/>
        <v>10</v>
      </c>
      <c r="C155" s="9">
        <v>44263</v>
      </c>
      <c r="D155" s="9">
        <v>44267</v>
      </c>
      <c r="E155" s="14">
        <f>VLOOKUP(F155,CarrierID!A:B,2,0)</f>
        <v>10</v>
      </c>
      <c r="F155" s="15" t="s">
        <v>8</v>
      </c>
      <c r="G155" t="str">
        <f>VLOOKUP(F155,Carrier_Category!A:B,2,0)</f>
        <v>Intercity</v>
      </c>
      <c r="H155" s="5">
        <v>10</v>
      </c>
      <c r="I155" s="7">
        <f t="shared" si="10"/>
        <v>12</v>
      </c>
      <c r="J155" s="5">
        <v>281</v>
      </c>
      <c r="K155" s="18">
        <f t="shared" si="9"/>
        <v>28.1</v>
      </c>
    </row>
    <row r="156" spans="1:11" x14ac:dyDescent="0.3">
      <c r="A156" s="14">
        <v>2021</v>
      </c>
      <c r="B156" s="14">
        <f t="shared" si="8"/>
        <v>10</v>
      </c>
      <c r="C156" s="9">
        <v>44263</v>
      </c>
      <c r="D156" s="9">
        <v>44267</v>
      </c>
      <c r="E156" s="14">
        <f>VLOOKUP(F156,CarrierID!A:B,2,0)</f>
        <v>6</v>
      </c>
      <c r="F156" s="15" t="s">
        <v>9</v>
      </c>
      <c r="G156" t="str">
        <f>VLOOKUP(F156,Carrier_Category!A:B,2,0)</f>
        <v>Commuter</v>
      </c>
      <c r="H156" s="5">
        <v>82</v>
      </c>
      <c r="I156" s="7">
        <f t="shared" si="10"/>
        <v>9</v>
      </c>
      <c r="J156" s="5">
        <v>1212</v>
      </c>
      <c r="K156" s="18">
        <f t="shared" si="9"/>
        <v>14.780487804878049</v>
      </c>
    </row>
    <row r="157" spans="1:11" x14ac:dyDescent="0.3">
      <c r="A157" s="14">
        <v>2021</v>
      </c>
      <c r="B157" s="14">
        <f t="shared" si="8"/>
        <v>11</v>
      </c>
      <c r="C157" s="9">
        <v>44270</v>
      </c>
      <c r="D157" s="9">
        <v>44274</v>
      </c>
      <c r="E157" s="14">
        <f>VLOOKUP(F157,CarrierID!A:B,2,0)</f>
        <v>1</v>
      </c>
      <c r="F157" s="15" t="s">
        <v>0</v>
      </c>
      <c r="G157" t="str">
        <f>VLOOKUP(F157,Carrier_Category!A:B,2,0)</f>
        <v>Commuter</v>
      </c>
      <c r="H157" s="5">
        <v>36</v>
      </c>
      <c r="I157" s="7">
        <f t="shared" si="10"/>
        <v>71</v>
      </c>
      <c r="J157" s="5">
        <v>728</v>
      </c>
      <c r="K157" s="18">
        <f t="shared" si="9"/>
        <v>20.222222222222221</v>
      </c>
    </row>
    <row r="158" spans="1:11" x14ac:dyDescent="0.3">
      <c r="A158" s="14">
        <v>2021</v>
      </c>
      <c r="B158" s="14">
        <f t="shared" si="8"/>
        <v>11</v>
      </c>
      <c r="C158" s="9">
        <v>44270</v>
      </c>
      <c r="D158" s="9">
        <v>44274</v>
      </c>
      <c r="E158" s="14">
        <f>VLOOKUP(F158,CarrierID!A:B,2,0)</f>
        <v>5</v>
      </c>
      <c r="F158" s="15" t="s">
        <v>1</v>
      </c>
      <c r="G158" t="str">
        <f>VLOOKUP(F158,Carrier_Category!A:B,2,0)</f>
        <v>Intercity</v>
      </c>
      <c r="H158" s="5">
        <v>36</v>
      </c>
      <c r="I158" s="7">
        <f t="shared" si="10"/>
        <v>36</v>
      </c>
      <c r="J158" s="5">
        <v>1077</v>
      </c>
      <c r="K158" s="18">
        <f t="shared" si="9"/>
        <v>29.916666666666668</v>
      </c>
    </row>
    <row r="159" spans="1:11" x14ac:dyDescent="0.3">
      <c r="A159" s="14">
        <v>2021</v>
      </c>
      <c r="B159" s="14">
        <f t="shared" si="8"/>
        <v>11</v>
      </c>
      <c r="C159" s="9">
        <v>44270</v>
      </c>
      <c r="D159" s="9">
        <v>44274</v>
      </c>
      <c r="E159" s="14">
        <f>VLOOKUP(F159,CarrierID!A:B,2,0)</f>
        <v>8</v>
      </c>
      <c r="F159" s="15" t="s">
        <v>2</v>
      </c>
      <c r="G159" t="str">
        <f>VLOOKUP(F159,Carrier_Category!A:B,2,0)</f>
        <v>Commuter</v>
      </c>
      <c r="H159" s="5">
        <v>14</v>
      </c>
      <c r="I159" s="7">
        <f t="shared" si="10"/>
        <v>35</v>
      </c>
      <c r="J159" s="5">
        <v>494</v>
      </c>
      <c r="K159" s="18">
        <f t="shared" si="9"/>
        <v>35.285714285714285</v>
      </c>
    </row>
    <row r="160" spans="1:11" x14ac:dyDescent="0.3">
      <c r="A160" s="14">
        <v>2021</v>
      </c>
      <c r="B160" s="14">
        <f t="shared" si="8"/>
        <v>11</v>
      </c>
      <c r="C160" s="9">
        <v>44270</v>
      </c>
      <c r="D160" s="9">
        <v>44274</v>
      </c>
      <c r="E160" s="14">
        <f>VLOOKUP(F160,CarrierID!A:B,2,0)</f>
        <v>9</v>
      </c>
      <c r="F160" s="15" t="s">
        <v>3</v>
      </c>
      <c r="G160" t="str">
        <f>VLOOKUP(F160,Carrier_Category!A:B,2,0)</f>
        <v>NJT</v>
      </c>
      <c r="H160" s="5">
        <v>2124</v>
      </c>
      <c r="I160" s="7">
        <f t="shared" si="10"/>
        <v>14</v>
      </c>
      <c r="J160" s="5">
        <v>27807</v>
      </c>
      <c r="K160" s="18">
        <f t="shared" si="9"/>
        <v>13.091807909604519</v>
      </c>
    </row>
    <row r="161" spans="1:11" x14ac:dyDescent="0.3">
      <c r="A161" s="14">
        <v>2021</v>
      </c>
      <c r="B161" s="14">
        <f t="shared" si="8"/>
        <v>11</v>
      </c>
      <c r="C161" s="9">
        <v>44270</v>
      </c>
      <c r="D161" s="9">
        <v>44274</v>
      </c>
      <c r="E161" s="14">
        <f>VLOOKUP(F161,CarrierID!A:B,2,0)</f>
        <v>7</v>
      </c>
      <c r="F161" s="15" t="s">
        <v>4</v>
      </c>
      <c r="G161" t="str">
        <f>VLOOKUP(F161,Carrier_Category!A:B,2,0)</f>
        <v>Commuter</v>
      </c>
      <c r="H161" s="5">
        <v>12</v>
      </c>
      <c r="I161" s="7">
        <f t="shared" si="10"/>
        <v>2089</v>
      </c>
      <c r="J161" s="5">
        <v>292</v>
      </c>
      <c r="K161" s="18">
        <f t="shared" si="9"/>
        <v>24.333333333333332</v>
      </c>
    </row>
    <row r="162" spans="1:11" x14ac:dyDescent="0.3">
      <c r="A162" s="14">
        <v>2021</v>
      </c>
      <c r="B162" s="14">
        <f t="shared" si="8"/>
        <v>11</v>
      </c>
      <c r="C162" s="9">
        <v>44270</v>
      </c>
      <c r="D162" s="9">
        <v>44274</v>
      </c>
      <c r="E162" s="14">
        <f>VLOOKUP(F162,CarrierID!A:B,2,0)</f>
        <v>11</v>
      </c>
      <c r="F162" s="15" t="s">
        <v>5</v>
      </c>
      <c r="G162" t="str">
        <f>VLOOKUP(F162,Carrier_Category!A:B,2,0)</f>
        <v>Intercity</v>
      </c>
      <c r="H162" s="5">
        <v>11</v>
      </c>
      <c r="I162" s="7">
        <f t="shared" si="10"/>
        <v>12</v>
      </c>
      <c r="J162" s="5">
        <v>268</v>
      </c>
      <c r="K162" s="18">
        <f t="shared" si="9"/>
        <v>24.363636363636363</v>
      </c>
    </row>
    <row r="163" spans="1:11" x14ac:dyDescent="0.3">
      <c r="A163" s="14">
        <v>2021</v>
      </c>
      <c r="B163" s="14">
        <f t="shared" si="8"/>
        <v>11</v>
      </c>
      <c r="C163" s="9">
        <v>44270</v>
      </c>
      <c r="D163" s="9">
        <v>44274</v>
      </c>
      <c r="E163" s="14">
        <f>VLOOKUP(F163,CarrierID!A:B,2,0)</f>
        <v>3</v>
      </c>
      <c r="F163" s="15" t="s">
        <v>6</v>
      </c>
      <c r="G163" t="str">
        <f>VLOOKUP(F163,Carrier_Category!A:B,2,0)</f>
        <v>Commuter</v>
      </c>
      <c r="H163" s="5">
        <v>84</v>
      </c>
      <c r="I163" s="7">
        <f t="shared" si="10"/>
        <v>11</v>
      </c>
      <c r="J163" s="5">
        <v>1635</v>
      </c>
      <c r="K163" s="18">
        <f t="shared" si="9"/>
        <v>19.464285714285715</v>
      </c>
    </row>
    <row r="164" spans="1:11" x14ac:dyDescent="0.3">
      <c r="A164" s="14">
        <v>2021</v>
      </c>
      <c r="B164" s="14">
        <f t="shared" si="8"/>
        <v>11</v>
      </c>
      <c r="C164" s="9">
        <v>44270</v>
      </c>
      <c r="D164" s="9">
        <v>44274</v>
      </c>
      <c r="E164" s="14">
        <f>VLOOKUP(F164,CarrierID!A:B,2,0)</f>
        <v>12</v>
      </c>
      <c r="F164" s="15" t="s">
        <v>25</v>
      </c>
      <c r="G164" t="str">
        <f>VLOOKUP(F164,Carrier_Category!A:B,2,0)</f>
        <v>Commuter</v>
      </c>
      <c r="H164" s="5">
        <v>12</v>
      </c>
      <c r="I164" s="7">
        <f t="shared" si="10"/>
        <v>83</v>
      </c>
      <c r="J164" s="5">
        <v>358</v>
      </c>
      <c r="K164" s="18">
        <f t="shared" si="9"/>
        <v>29.833333333333332</v>
      </c>
    </row>
    <row r="165" spans="1:11" x14ac:dyDescent="0.3">
      <c r="A165" s="14">
        <v>2021</v>
      </c>
      <c r="B165" s="14">
        <f t="shared" si="8"/>
        <v>11</v>
      </c>
      <c r="C165" s="9">
        <v>44270</v>
      </c>
      <c r="D165" s="9">
        <v>44274</v>
      </c>
      <c r="E165" s="14">
        <f>VLOOKUP(F165,CarrierID!A:B,2,0)</f>
        <v>10</v>
      </c>
      <c r="F165" s="15" t="s">
        <v>8</v>
      </c>
      <c r="G165" t="str">
        <f>VLOOKUP(F165,Carrier_Category!A:B,2,0)</f>
        <v>Intercity</v>
      </c>
      <c r="H165" s="5">
        <v>10</v>
      </c>
      <c r="I165" s="7">
        <f t="shared" si="10"/>
        <v>12</v>
      </c>
      <c r="J165" s="5">
        <v>325</v>
      </c>
      <c r="K165" s="18">
        <f t="shared" si="9"/>
        <v>32.5</v>
      </c>
    </row>
    <row r="166" spans="1:11" x14ac:dyDescent="0.3">
      <c r="A166" s="14">
        <v>2021</v>
      </c>
      <c r="B166" s="14">
        <f t="shared" si="8"/>
        <v>11</v>
      </c>
      <c r="C166" s="9">
        <v>44270</v>
      </c>
      <c r="D166" s="9">
        <v>44274</v>
      </c>
      <c r="E166" s="14">
        <f>VLOOKUP(F166,CarrierID!A:B,2,0)</f>
        <v>6</v>
      </c>
      <c r="F166" s="15" t="s">
        <v>9</v>
      </c>
      <c r="G166" t="str">
        <f>VLOOKUP(F166,Carrier_Category!A:B,2,0)</f>
        <v>Commuter</v>
      </c>
      <c r="H166" s="5">
        <v>87</v>
      </c>
      <c r="I166" s="7">
        <f t="shared" si="10"/>
        <v>10</v>
      </c>
      <c r="J166" s="5">
        <v>1217</v>
      </c>
      <c r="K166" s="18">
        <f t="shared" si="9"/>
        <v>13.988505747126437</v>
      </c>
    </row>
    <row r="167" spans="1:11" x14ac:dyDescent="0.3">
      <c r="A167" s="14">
        <v>2021</v>
      </c>
      <c r="B167" s="14">
        <f t="shared" si="8"/>
        <v>12</v>
      </c>
      <c r="C167" s="9">
        <v>44277</v>
      </c>
      <c r="D167" s="9">
        <v>44281</v>
      </c>
      <c r="E167" s="14">
        <f>VLOOKUP(F167,CarrierID!A:B,2,0)</f>
        <v>1</v>
      </c>
      <c r="F167" s="15" t="s">
        <v>0</v>
      </c>
      <c r="G167" t="str">
        <f>VLOOKUP(F167,Carrier_Category!A:B,2,0)</f>
        <v>Commuter</v>
      </c>
      <c r="H167" s="5">
        <v>36</v>
      </c>
      <c r="I167" s="7">
        <f t="shared" si="10"/>
        <v>82</v>
      </c>
      <c r="J167" s="5">
        <v>667</v>
      </c>
      <c r="K167" s="18">
        <f t="shared" si="9"/>
        <v>18.527777777777779</v>
      </c>
    </row>
    <row r="168" spans="1:11" x14ac:dyDescent="0.3">
      <c r="A168" s="14">
        <v>2021</v>
      </c>
      <c r="B168" s="14">
        <f t="shared" si="8"/>
        <v>12</v>
      </c>
      <c r="C168" s="9">
        <v>44277</v>
      </c>
      <c r="D168" s="9">
        <v>44281</v>
      </c>
      <c r="E168" s="14">
        <f>VLOOKUP(F168,CarrierID!A:B,2,0)</f>
        <v>5</v>
      </c>
      <c r="F168" s="15" t="s">
        <v>1</v>
      </c>
      <c r="G168" t="str">
        <f>VLOOKUP(F168,Carrier_Category!A:B,2,0)</f>
        <v>Intercity</v>
      </c>
      <c r="H168" s="5">
        <v>37</v>
      </c>
      <c r="I168" s="7">
        <f t="shared" si="10"/>
        <v>36</v>
      </c>
      <c r="J168" s="5">
        <v>1142</v>
      </c>
      <c r="K168" s="18">
        <f t="shared" si="9"/>
        <v>30.864864864864863</v>
      </c>
    </row>
    <row r="169" spans="1:11" x14ac:dyDescent="0.3">
      <c r="A169" s="14">
        <v>2021</v>
      </c>
      <c r="B169" s="14">
        <f t="shared" si="8"/>
        <v>12</v>
      </c>
      <c r="C169" s="9">
        <v>44277</v>
      </c>
      <c r="D169" s="9">
        <v>44281</v>
      </c>
      <c r="E169" s="14">
        <f>VLOOKUP(F169,CarrierID!A:B,2,0)</f>
        <v>8</v>
      </c>
      <c r="F169" s="15" t="s">
        <v>2</v>
      </c>
      <c r="G169" t="str">
        <f>VLOOKUP(F169,Carrier_Category!A:B,2,0)</f>
        <v>Commuter</v>
      </c>
      <c r="H169" s="5">
        <v>14</v>
      </c>
      <c r="I169" s="7">
        <f t="shared" si="10"/>
        <v>36</v>
      </c>
      <c r="J169" s="5">
        <v>505</v>
      </c>
      <c r="K169" s="18">
        <f t="shared" si="9"/>
        <v>36.071428571428569</v>
      </c>
    </row>
    <row r="170" spans="1:11" x14ac:dyDescent="0.3">
      <c r="A170" s="14">
        <v>2021</v>
      </c>
      <c r="B170" s="14">
        <f t="shared" si="8"/>
        <v>12</v>
      </c>
      <c r="C170" s="9">
        <v>44277</v>
      </c>
      <c r="D170" s="9">
        <v>44281</v>
      </c>
      <c r="E170" s="14">
        <f>VLOOKUP(F170,CarrierID!A:B,2,0)</f>
        <v>9</v>
      </c>
      <c r="F170" s="15" t="s">
        <v>3</v>
      </c>
      <c r="G170" t="str">
        <f>VLOOKUP(F170,Carrier_Category!A:B,2,0)</f>
        <v>NJT</v>
      </c>
      <c r="H170" s="5">
        <v>2031</v>
      </c>
      <c r="I170" s="7">
        <f t="shared" si="10"/>
        <v>14</v>
      </c>
      <c r="J170" s="5">
        <v>27453</v>
      </c>
      <c r="K170" s="18">
        <f t="shared" si="9"/>
        <v>13.51698670605613</v>
      </c>
    </row>
    <row r="171" spans="1:11" x14ac:dyDescent="0.3">
      <c r="A171" s="14">
        <v>2021</v>
      </c>
      <c r="B171" s="14">
        <f t="shared" si="8"/>
        <v>12</v>
      </c>
      <c r="C171" s="9">
        <v>44277</v>
      </c>
      <c r="D171" s="9">
        <v>44281</v>
      </c>
      <c r="E171" s="14">
        <f>VLOOKUP(F171,CarrierID!A:B,2,0)</f>
        <v>7</v>
      </c>
      <c r="F171" s="15" t="s">
        <v>4</v>
      </c>
      <c r="G171" t="str">
        <f>VLOOKUP(F171,Carrier_Category!A:B,2,0)</f>
        <v>Commuter</v>
      </c>
      <c r="H171" s="5">
        <v>13</v>
      </c>
      <c r="I171" s="7">
        <f t="shared" si="10"/>
        <v>2124</v>
      </c>
      <c r="J171" s="5">
        <v>305</v>
      </c>
      <c r="K171" s="18">
        <f t="shared" si="9"/>
        <v>23.46153846153846</v>
      </c>
    </row>
    <row r="172" spans="1:11" x14ac:dyDescent="0.3">
      <c r="A172" s="14">
        <v>2021</v>
      </c>
      <c r="B172" s="14">
        <f t="shared" si="8"/>
        <v>12</v>
      </c>
      <c r="C172" s="9">
        <v>44277</v>
      </c>
      <c r="D172" s="9">
        <v>44281</v>
      </c>
      <c r="E172" s="14">
        <f>VLOOKUP(F172,CarrierID!A:B,2,0)</f>
        <v>11</v>
      </c>
      <c r="F172" s="15" t="s">
        <v>5</v>
      </c>
      <c r="G172" t="str">
        <f>VLOOKUP(F172,Carrier_Category!A:B,2,0)</f>
        <v>Intercity</v>
      </c>
      <c r="H172" s="5">
        <v>11</v>
      </c>
      <c r="I172" s="7">
        <f t="shared" si="10"/>
        <v>12</v>
      </c>
      <c r="J172" s="5">
        <v>268</v>
      </c>
      <c r="K172" s="18">
        <f t="shared" si="9"/>
        <v>24.363636363636363</v>
      </c>
    </row>
    <row r="173" spans="1:11" x14ac:dyDescent="0.3">
      <c r="A173" s="14">
        <v>2021</v>
      </c>
      <c r="B173" s="14">
        <f t="shared" si="8"/>
        <v>12</v>
      </c>
      <c r="C173" s="9">
        <v>44277</v>
      </c>
      <c r="D173" s="9">
        <v>44281</v>
      </c>
      <c r="E173" s="14">
        <f>VLOOKUP(F173,CarrierID!A:B,2,0)</f>
        <v>3</v>
      </c>
      <c r="F173" s="15" t="s">
        <v>6</v>
      </c>
      <c r="G173" t="str">
        <f>VLOOKUP(F173,Carrier_Category!A:B,2,0)</f>
        <v>Commuter</v>
      </c>
      <c r="H173" s="5">
        <v>84</v>
      </c>
      <c r="I173" s="7">
        <f t="shared" si="10"/>
        <v>11</v>
      </c>
      <c r="J173" s="5">
        <v>1666</v>
      </c>
      <c r="K173" s="18">
        <f t="shared" si="9"/>
        <v>19.833333333333332</v>
      </c>
    </row>
    <row r="174" spans="1:11" x14ac:dyDescent="0.3">
      <c r="A174" s="14">
        <v>2021</v>
      </c>
      <c r="B174" s="14">
        <f t="shared" si="8"/>
        <v>12</v>
      </c>
      <c r="C174" s="9">
        <v>44277</v>
      </c>
      <c r="D174" s="9">
        <v>44281</v>
      </c>
      <c r="E174" s="14">
        <f>VLOOKUP(F174,CarrierID!A:B,2,0)</f>
        <v>12</v>
      </c>
      <c r="F174" s="15" t="s">
        <v>25</v>
      </c>
      <c r="G174" t="str">
        <f>VLOOKUP(F174,Carrier_Category!A:B,2,0)</f>
        <v>Commuter</v>
      </c>
      <c r="H174" s="5">
        <v>12</v>
      </c>
      <c r="I174" s="7">
        <f t="shared" si="10"/>
        <v>84</v>
      </c>
      <c r="J174" s="5">
        <v>354</v>
      </c>
      <c r="K174" s="18">
        <f t="shared" si="9"/>
        <v>29.5</v>
      </c>
    </row>
    <row r="175" spans="1:11" x14ac:dyDescent="0.3">
      <c r="A175" s="14">
        <v>2021</v>
      </c>
      <c r="B175" s="14">
        <f t="shared" si="8"/>
        <v>12</v>
      </c>
      <c r="C175" s="9">
        <v>44277</v>
      </c>
      <c r="D175" s="9">
        <v>44281</v>
      </c>
      <c r="E175" s="14">
        <f>VLOOKUP(F175,CarrierID!A:B,2,0)</f>
        <v>10</v>
      </c>
      <c r="F175" s="15" t="s">
        <v>8</v>
      </c>
      <c r="G175" t="str">
        <f>VLOOKUP(F175,Carrier_Category!A:B,2,0)</f>
        <v>Intercity</v>
      </c>
      <c r="H175" s="5">
        <v>12</v>
      </c>
      <c r="I175" s="7">
        <f t="shared" si="10"/>
        <v>12</v>
      </c>
      <c r="J175" s="5">
        <v>389</v>
      </c>
      <c r="K175" s="18">
        <f t="shared" si="9"/>
        <v>32.416666666666664</v>
      </c>
    </row>
    <row r="176" spans="1:11" x14ac:dyDescent="0.3">
      <c r="A176" s="14">
        <v>2021</v>
      </c>
      <c r="B176" s="14">
        <f t="shared" si="8"/>
        <v>12</v>
      </c>
      <c r="C176" s="9">
        <v>44277</v>
      </c>
      <c r="D176" s="9">
        <v>44281</v>
      </c>
      <c r="E176" s="14">
        <f>VLOOKUP(F176,CarrierID!A:B,2,0)</f>
        <v>6</v>
      </c>
      <c r="F176" s="15" t="s">
        <v>9</v>
      </c>
      <c r="G176" t="str">
        <f>VLOOKUP(F176,Carrier_Category!A:B,2,0)</f>
        <v>Commuter</v>
      </c>
      <c r="H176" s="5">
        <v>89</v>
      </c>
      <c r="I176" s="7">
        <f t="shared" si="10"/>
        <v>10</v>
      </c>
      <c r="J176" s="5">
        <v>1240</v>
      </c>
      <c r="K176" s="18">
        <f t="shared" si="9"/>
        <v>13.932584269662922</v>
      </c>
    </row>
    <row r="177" spans="1:11" x14ac:dyDescent="0.3">
      <c r="A177" s="14">
        <v>2021</v>
      </c>
      <c r="B177" s="14">
        <f t="shared" si="8"/>
        <v>13</v>
      </c>
      <c r="C177" s="9">
        <v>44284</v>
      </c>
      <c r="D177" s="9">
        <v>44288</v>
      </c>
      <c r="E177" s="14">
        <f>VLOOKUP(F177,CarrierID!A:B,2,0)</f>
        <v>1</v>
      </c>
      <c r="F177" s="15" t="s">
        <v>0</v>
      </c>
      <c r="G177" t="str">
        <f>VLOOKUP(F177,Carrier_Category!A:B,2,0)</f>
        <v>Commuter</v>
      </c>
      <c r="H177" s="5">
        <v>36</v>
      </c>
      <c r="I177" s="7">
        <f t="shared" si="10"/>
        <v>87</v>
      </c>
      <c r="J177" s="5">
        <v>644</v>
      </c>
      <c r="K177" s="18">
        <f t="shared" si="9"/>
        <v>17.888888888888889</v>
      </c>
    </row>
    <row r="178" spans="1:11" x14ac:dyDescent="0.3">
      <c r="A178" s="14">
        <v>2021</v>
      </c>
      <c r="B178" s="14">
        <f t="shared" si="8"/>
        <v>13</v>
      </c>
      <c r="C178" s="9">
        <v>44284</v>
      </c>
      <c r="D178" s="9">
        <v>44288</v>
      </c>
      <c r="E178" s="14">
        <f>VLOOKUP(F178,CarrierID!A:B,2,0)</f>
        <v>5</v>
      </c>
      <c r="F178" s="15" t="s">
        <v>1</v>
      </c>
      <c r="G178" t="str">
        <f>VLOOKUP(F178,Carrier_Category!A:B,2,0)</f>
        <v>Intercity</v>
      </c>
      <c r="H178" s="5">
        <v>40</v>
      </c>
      <c r="I178" s="7">
        <f t="shared" si="10"/>
        <v>36</v>
      </c>
      <c r="J178" s="5">
        <v>1310</v>
      </c>
      <c r="K178" s="18">
        <f t="shared" si="9"/>
        <v>32.75</v>
      </c>
    </row>
    <row r="179" spans="1:11" x14ac:dyDescent="0.3">
      <c r="A179" s="14">
        <v>2021</v>
      </c>
      <c r="B179" s="14">
        <f t="shared" si="8"/>
        <v>13</v>
      </c>
      <c r="C179" s="9">
        <v>44284</v>
      </c>
      <c r="D179" s="9">
        <v>44288</v>
      </c>
      <c r="E179" s="14">
        <f>VLOOKUP(F179,CarrierID!A:B,2,0)</f>
        <v>8</v>
      </c>
      <c r="F179" s="15" t="s">
        <v>2</v>
      </c>
      <c r="G179" t="str">
        <f>VLOOKUP(F179,Carrier_Category!A:B,2,0)</f>
        <v>Commuter</v>
      </c>
      <c r="H179" s="5">
        <v>14</v>
      </c>
      <c r="I179" s="7">
        <f t="shared" si="10"/>
        <v>37</v>
      </c>
      <c r="J179" s="5">
        <v>516</v>
      </c>
      <c r="K179" s="18">
        <f t="shared" si="9"/>
        <v>36.857142857142854</v>
      </c>
    </row>
    <row r="180" spans="1:11" x14ac:dyDescent="0.3">
      <c r="A180" s="14">
        <v>2021</v>
      </c>
      <c r="B180" s="14">
        <f t="shared" si="8"/>
        <v>13</v>
      </c>
      <c r="C180" s="9">
        <v>44284</v>
      </c>
      <c r="D180" s="9">
        <v>44288</v>
      </c>
      <c r="E180" s="14">
        <f>VLOOKUP(F180,CarrierID!A:B,2,0)</f>
        <v>9</v>
      </c>
      <c r="F180" s="15" t="s">
        <v>3</v>
      </c>
      <c r="G180" t="str">
        <f>VLOOKUP(F180,Carrier_Category!A:B,2,0)</f>
        <v>NJT</v>
      </c>
      <c r="H180" s="5">
        <v>2120</v>
      </c>
      <c r="I180" s="7">
        <f t="shared" si="10"/>
        <v>14</v>
      </c>
      <c r="J180" s="5">
        <v>28648</v>
      </c>
      <c r="K180" s="18">
        <f t="shared" si="9"/>
        <v>13.513207547169811</v>
      </c>
    </row>
    <row r="181" spans="1:11" x14ac:dyDescent="0.3">
      <c r="A181" s="14">
        <v>2021</v>
      </c>
      <c r="B181" s="14">
        <f t="shared" si="8"/>
        <v>13</v>
      </c>
      <c r="C181" s="9">
        <v>44284</v>
      </c>
      <c r="D181" s="9">
        <v>44288</v>
      </c>
      <c r="E181" s="14">
        <f>VLOOKUP(F181,CarrierID!A:B,2,0)</f>
        <v>7</v>
      </c>
      <c r="F181" s="15" t="s">
        <v>4</v>
      </c>
      <c r="G181" t="str">
        <f>VLOOKUP(F181,Carrier_Category!A:B,2,0)</f>
        <v>Commuter</v>
      </c>
      <c r="H181" s="5">
        <v>13</v>
      </c>
      <c r="I181" s="7">
        <f t="shared" si="10"/>
        <v>2031</v>
      </c>
      <c r="J181" s="5">
        <v>297</v>
      </c>
      <c r="K181" s="18">
        <f t="shared" si="9"/>
        <v>22.846153846153847</v>
      </c>
    </row>
    <row r="182" spans="1:11" x14ac:dyDescent="0.3">
      <c r="A182" s="14">
        <v>2021</v>
      </c>
      <c r="B182" s="14">
        <f t="shared" si="8"/>
        <v>13</v>
      </c>
      <c r="C182" s="9">
        <v>44284</v>
      </c>
      <c r="D182" s="9">
        <v>44288</v>
      </c>
      <c r="E182" s="14">
        <f>VLOOKUP(F182,CarrierID!A:B,2,0)</f>
        <v>11</v>
      </c>
      <c r="F182" s="15" t="s">
        <v>5</v>
      </c>
      <c r="G182" t="str">
        <f>VLOOKUP(F182,Carrier_Category!A:B,2,0)</f>
        <v>Intercity</v>
      </c>
      <c r="H182" s="5">
        <v>13</v>
      </c>
      <c r="I182" s="7">
        <f t="shared" si="10"/>
        <v>13</v>
      </c>
      <c r="J182" s="5">
        <v>371</v>
      </c>
      <c r="K182" s="18">
        <f t="shared" si="9"/>
        <v>28.53846153846154</v>
      </c>
    </row>
    <row r="183" spans="1:11" x14ac:dyDescent="0.3">
      <c r="A183" s="14">
        <v>2021</v>
      </c>
      <c r="B183" s="14">
        <f t="shared" si="8"/>
        <v>13</v>
      </c>
      <c r="C183" s="9">
        <v>44284</v>
      </c>
      <c r="D183" s="9">
        <v>44288</v>
      </c>
      <c r="E183" s="14">
        <f>VLOOKUP(F183,CarrierID!A:B,2,0)</f>
        <v>3</v>
      </c>
      <c r="F183" s="15" t="s">
        <v>6</v>
      </c>
      <c r="G183" t="str">
        <f>VLOOKUP(F183,Carrier_Category!A:B,2,0)</f>
        <v>Commuter</v>
      </c>
      <c r="H183" s="5">
        <v>84</v>
      </c>
      <c r="I183" s="7">
        <f t="shared" si="10"/>
        <v>11</v>
      </c>
      <c r="J183" s="5">
        <v>1626</v>
      </c>
      <c r="K183" s="18">
        <f t="shared" si="9"/>
        <v>19.357142857142858</v>
      </c>
    </row>
    <row r="184" spans="1:11" x14ac:dyDescent="0.3">
      <c r="A184" s="14">
        <v>2021</v>
      </c>
      <c r="B184" s="14">
        <f t="shared" si="8"/>
        <v>13</v>
      </c>
      <c r="C184" s="9">
        <v>44284</v>
      </c>
      <c r="D184" s="9">
        <v>44288</v>
      </c>
      <c r="E184" s="14">
        <f>VLOOKUP(F184,CarrierID!A:B,2,0)</f>
        <v>12</v>
      </c>
      <c r="F184" s="15" t="s">
        <v>25</v>
      </c>
      <c r="G184" t="str">
        <f>VLOOKUP(F184,Carrier_Category!A:B,2,0)</f>
        <v>Commuter</v>
      </c>
      <c r="H184" s="5">
        <v>12</v>
      </c>
      <c r="I184" s="7">
        <f t="shared" si="10"/>
        <v>84</v>
      </c>
      <c r="J184" s="5">
        <v>374</v>
      </c>
      <c r="K184" s="18">
        <f t="shared" si="9"/>
        <v>31.166666666666668</v>
      </c>
    </row>
    <row r="185" spans="1:11" x14ac:dyDescent="0.3">
      <c r="A185" s="14">
        <v>2021</v>
      </c>
      <c r="B185" s="14">
        <f t="shared" si="8"/>
        <v>13</v>
      </c>
      <c r="C185" s="9">
        <v>44284</v>
      </c>
      <c r="D185" s="9">
        <v>44288</v>
      </c>
      <c r="E185" s="14">
        <f>VLOOKUP(F185,CarrierID!A:B,2,0)</f>
        <v>10</v>
      </c>
      <c r="F185" s="15" t="s">
        <v>8</v>
      </c>
      <c r="G185" t="str">
        <f>VLOOKUP(F185,Carrier_Category!A:B,2,0)</f>
        <v>Intercity</v>
      </c>
      <c r="H185" s="5">
        <v>18</v>
      </c>
      <c r="I185" s="7">
        <f t="shared" si="10"/>
        <v>12</v>
      </c>
      <c r="J185" s="5">
        <v>620</v>
      </c>
      <c r="K185" s="18">
        <f t="shared" si="9"/>
        <v>34.444444444444443</v>
      </c>
    </row>
    <row r="186" spans="1:11" x14ac:dyDescent="0.3">
      <c r="A186" s="14">
        <v>2021</v>
      </c>
      <c r="B186" s="14">
        <f t="shared" si="8"/>
        <v>13</v>
      </c>
      <c r="C186" s="9">
        <v>44284</v>
      </c>
      <c r="D186" s="9">
        <v>44288</v>
      </c>
      <c r="E186" s="14">
        <f>VLOOKUP(F186,CarrierID!A:B,2,0)</f>
        <v>6</v>
      </c>
      <c r="F186" s="15" t="s">
        <v>9</v>
      </c>
      <c r="G186" t="str">
        <f>VLOOKUP(F186,Carrier_Category!A:B,2,0)</f>
        <v>Commuter</v>
      </c>
      <c r="H186" s="5">
        <v>89</v>
      </c>
      <c r="I186" s="7">
        <f t="shared" si="10"/>
        <v>12</v>
      </c>
      <c r="J186" s="5">
        <v>1234</v>
      </c>
      <c r="K186" s="18">
        <f t="shared" si="9"/>
        <v>13.865168539325843</v>
      </c>
    </row>
    <row r="187" spans="1:11" x14ac:dyDescent="0.3">
      <c r="A187" s="14">
        <v>2021</v>
      </c>
      <c r="B187" s="14">
        <f t="shared" si="8"/>
        <v>14</v>
      </c>
      <c r="C187" s="9">
        <v>44291</v>
      </c>
      <c r="D187" s="9">
        <v>44295</v>
      </c>
      <c r="E187" s="14">
        <f>VLOOKUP(F187,CarrierID!A:B,2,0)</f>
        <v>1</v>
      </c>
      <c r="F187" s="15" t="s">
        <v>0</v>
      </c>
      <c r="G187" t="str">
        <f>VLOOKUP(F187,Carrier_Category!A:B,2,0)</f>
        <v>Commuter</v>
      </c>
      <c r="H187" s="5">
        <v>36</v>
      </c>
      <c r="I187" s="7">
        <f t="shared" si="10"/>
        <v>89</v>
      </c>
      <c r="J187" s="5">
        <v>628</v>
      </c>
      <c r="K187" s="18">
        <f t="shared" si="9"/>
        <v>17.444444444444443</v>
      </c>
    </row>
    <row r="188" spans="1:11" x14ac:dyDescent="0.3">
      <c r="A188" s="14">
        <v>2021</v>
      </c>
      <c r="B188" s="14">
        <f t="shared" si="8"/>
        <v>14</v>
      </c>
      <c r="C188" s="9">
        <v>44291</v>
      </c>
      <c r="D188" s="9">
        <v>44295</v>
      </c>
      <c r="E188" s="14">
        <f>VLOOKUP(F188,CarrierID!A:B,2,0)</f>
        <v>5</v>
      </c>
      <c r="F188" s="15" t="s">
        <v>1</v>
      </c>
      <c r="G188" t="str">
        <f>VLOOKUP(F188,Carrier_Category!A:B,2,0)</f>
        <v>Intercity</v>
      </c>
      <c r="H188" s="5">
        <v>44</v>
      </c>
      <c r="I188" s="7">
        <f t="shared" si="10"/>
        <v>36</v>
      </c>
      <c r="J188" s="5">
        <v>1343</v>
      </c>
      <c r="K188" s="18">
        <f t="shared" si="9"/>
        <v>30.522727272727273</v>
      </c>
    </row>
    <row r="189" spans="1:11" x14ac:dyDescent="0.3">
      <c r="A189" s="14">
        <v>2021</v>
      </c>
      <c r="B189" s="14">
        <f t="shared" si="8"/>
        <v>14</v>
      </c>
      <c r="C189" s="9">
        <v>44291</v>
      </c>
      <c r="D189" s="9">
        <v>44295</v>
      </c>
      <c r="E189" s="14">
        <f>VLOOKUP(F189,CarrierID!A:B,2,0)</f>
        <v>8</v>
      </c>
      <c r="F189" s="15" t="s">
        <v>2</v>
      </c>
      <c r="G189" t="str">
        <f>VLOOKUP(F189,Carrier_Category!A:B,2,0)</f>
        <v>Commuter</v>
      </c>
      <c r="H189" s="5">
        <v>14</v>
      </c>
      <c r="I189" s="7">
        <f t="shared" si="10"/>
        <v>40</v>
      </c>
      <c r="J189" s="5">
        <v>498</v>
      </c>
      <c r="K189" s="18">
        <f t="shared" si="9"/>
        <v>35.571428571428569</v>
      </c>
    </row>
    <row r="190" spans="1:11" x14ac:dyDescent="0.3">
      <c r="A190" s="14">
        <v>2021</v>
      </c>
      <c r="B190" s="14">
        <f t="shared" si="8"/>
        <v>14</v>
      </c>
      <c r="C190" s="9">
        <v>44291</v>
      </c>
      <c r="D190" s="9">
        <v>44295</v>
      </c>
      <c r="E190" s="14">
        <f>VLOOKUP(F190,CarrierID!A:B,2,0)</f>
        <v>9</v>
      </c>
      <c r="F190" s="15" t="s">
        <v>3</v>
      </c>
      <c r="G190" t="str">
        <f>VLOOKUP(F190,Carrier_Category!A:B,2,0)</f>
        <v>NJT</v>
      </c>
      <c r="H190" s="5">
        <v>2226</v>
      </c>
      <c r="I190" s="7">
        <f t="shared" si="10"/>
        <v>14</v>
      </c>
      <c r="J190" s="5">
        <v>30200</v>
      </c>
      <c r="K190" s="18">
        <f t="shared" si="9"/>
        <v>13.566936208445643</v>
      </c>
    </row>
    <row r="191" spans="1:11" x14ac:dyDescent="0.3">
      <c r="A191" s="14">
        <v>2021</v>
      </c>
      <c r="B191" s="14">
        <f t="shared" si="8"/>
        <v>14</v>
      </c>
      <c r="C191" s="9">
        <v>44291</v>
      </c>
      <c r="D191" s="9">
        <v>44295</v>
      </c>
      <c r="E191" s="14">
        <f>VLOOKUP(F191,CarrierID!A:B,2,0)</f>
        <v>7</v>
      </c>
      <c r="F191" s="15" t="s">
        <v>4</v>
      </c>
      <c r="G191" t="str">
        <f>VLOOKUP(F191,Carrier_Category!A:B,2,0)</f>
        <v>Commuter</v>
      </c>
      <c r="H191" s="5">
        <v>14</v>
      </c>
      <c r="I191" s="7">
        <f t="shared" si="10"/>
        <v>2120</v>
      </c>
      <c r="J191" s="5">
        <v>283</v>
      </c>
      <c r="K191" s="18">
        <f t="shared" si="9"/>
        <v>20.214285714285715</v>
      </c>
    </row>
    <row r="192" spans="1:11" x14ac:dyDescent="0.3">
      <c r="A192" s="14">
        <v>2021</v>
      </c>
      <c r="B192" s="14">
        <f t="shared" si="8"/>
        <v>14</v>
      </c>
      <c r="C192" s="9">
        <v>44291</v>
      </c>
      <c r="D192" s="9">
        <v>44295</v>
      </c>
      <c r="E192" s="14">
        <f>VLOOKUP(F192,CarrierID!A:B,2,0)</f>
        <v>11</v>
      </c>
      <c r="F192" s="15" t="s">
        <v>5</v>
      </c>
      <c r="G192" t="str">
        <f>VLOOKUP(F192,Carrier_Category!A:B,2,0)</f>
        <v>Intercity</v>
      </c>
      <c r="H192" s="5">
        <v>15</v>
      </c>
      <c r="I192" s="7">
        <f t="shared" si="10"/>
        <v>13</v>
      </c>
      <c r="J192" s="5">
        <v>381</v>
      </c>
      <c r="K192" s="18">
        <f t="shared" si="9"/>
        <v>25.4</v>
      </c>
    </row>
    <row r="193" spans="1:11" x14ac:dyDescent="0.3">
      <c r="A193" s="14">
        <v>2021</v>
      </c>
      <c r="B193" s="14">
        <f t="shared" si="8"/>
        <v>14</v>
      </c>
      <c r="C193" s="9">
        <v>44291</v>
      </c>
      <c r="D193" s="9">
        <v>44295</v>
      </c>
      <c r="E193" s="14">
        <f>VLOOKUP(F193,CarrierID!A:B,2,0)</f>
        <v>3</v>
      </c>
      <c r="F193" s="15" t="s">
        <v>6</v>
      </c>
      <c r="G193" t="str">
        <f>VLOOKUP(F193,Carrier_Category!A:B,2,0)</f>
        <v>Commuter</v>
      </c>
      <c r="H193" s="5">
        <v>83</v>
      </c>
      <c r="I193" s="7">
        <f t="shared" si="10"/>
        <v>13</v>
      </c>
      <c r="J193" s="5">
        <v>1748</v>
      </c>
      <c r="K193" s="18">
        <f t="shared" si="9"/>
        <v>21.060240963855421</v>
      </c>
    </row>
    <row r="194" spans="1:11" x14ac:dyDescent="0.3">
      <c r="A194" s="14">
        <v>2021</v>
      </c>
      <c r="B194" s="14">
        <f t="shared" si="8"/>
        <v>14</v>
      </c>
      <c r="C194" s="9">
        <v>44291</v>
      </c>
      <c r="D194" s="9">
        <v>44295</v>
      </c>
      <c r="E194" s="14">
        <f>VLOOKUP(F194,CarrierID!A:B,2,0)</f>
        <v>12</v>
      </c>
      <c r="F194" s="15" t="s">
        <v>25</v>
      </c>
      <c r="G194" t="str">
        <f>VLOOKUP(F194,Carrier_Category!A:B,2,0)</f>
        <v>Commuter</v>
      </c>
      <c r="H194" s="5">
        <v>12</v>
      </c>
      <c r="I194" s="7">
        <f t="shared" si="10"/>
        <v>84</v>
      </c>
      <c r="J194" s="5">
        <v>369</v>
      </c>
      <c r="K194" s="18">
        <f t="shared" si="9"/>
        <v>30.75</v>
      </c>
    </row>
    <row r="195" spans="1:11" x14ac:dyDescent="0.3">
      <c r="A195" s="14">
        <v>2021</v>
      </c>
      <c r="B195" s="14">
        <f t="shared" si="8"/>
        <v>14</v>
      </c>
      <c r="C195" s="9">
        <v>44291</v>
      </c>
      <c r="D195" s="9">
        <v>44295</v>
      </c>
      <c r="E195" s="14">
        <f>VLOOKUP(F195,CarrierID!A:B,2,0)</f>
        <v>10</v>
      </c>
      <c r="F195" s="15" t="s">
        <v>8</v>
      </c>
      <c r="G195" t="str">
        <f>VLOOKUP(F195,Carrier_Category!A:B,2,0)</f>
        <v>Intercity</v>
      </c>
      <c r="H195" s="5">
        <v>16</v>
      </c>
      <c r="I195" s="7">
        <f t="shared" si="10"/>
        <v>12</v>
      </c>
      <c r="J195" s="5">
        <v>518</v>
      </c>
      <c r="K195" s="18">
        <f t="shared" si="9"/>
        <v>32.375</v>
      </c>
    </row>
    <row r="196" spans="1:11" x14ac:dyDescent="0.3">
      <c r="A196" s="14">
        <v>2021</v>
      </c>
      <c r="B196" s="14">
        <f t="shared" si="8"/>
        <v>14</v>
      </c>
      <c r="C196" s="9">
        <v>44291</v>
      </c>
      <c r="D196" s="9">
        <v>44295</v>
      </c>
      <c r="E196" s="14">
        <f>VLOOKUP(F196,CarrierID!A:B,2,0)</f>
        <v>6</v>
      </c>
      <c r="F196" s="15" t="s">
        <v>9</v>
      </c>
      <c r="G196" t="str">
        <f>VLOOKUP(F196,Carrier_Category!A:B,2,0)</f>
        <v>Commuter</v>
      </c>
      <c r="H196" s="5">
        <v>89</v>
      </c>
      <c r="I196" s="7">
        <f t="shared" si="10"/>
        <v>18</v>
      </c>
      <c r="J196" s="5">
        <v>1234</v>
      </c>
      <c r="K196" s="18">
        <f t="shared" si="9"/>
        <v>13.865168539325843</v>
      </c>
    </row>
    <row r="197" spans="1:11" x14ac:dyDescent="0.3">
      <c r="A197" s="14">
        <v>2021</v>
      </c>
      <c r="B197" s="14">
        <f t="shared" ref="B197:B260" si="11">_xlfn.ISOWEEKNUM(C197)</f>
        <v>15</v>
      </c>
      <c r="C197" s="9">
        <v>44298</v>
      </c>
      <c r="D197" s="9">
        <v>44302</v>
      </c>
      <c r="E197" s="14">
        <f>VLOOKUP(F197,CarrierID!A:B,2,0)</f>
        <v>1</v>
      </c>
      <c r="F197" s="15" t="s">
        <v>0</v>
      </c>
      <c r="G197" t="str">
        <f>VLOOKUP(F197,Carrier_Category!A:B,2,0)</f>
        <v>Commuter</v>
      </c>
      <c r="H197" s="5">
        <v>36</v>
      </c>
      <c r="I197" s="7">
        <f t="shared" si="10"/>
        <v>89</v>
      </c>
      <c r="J197" s="5">
        <v>628</v>
      </c>
      <c r="K197" s="18">
        <f t="shared" ref="K197:K260" si="12">J197/H197</f>
        <v>17.444444444444443</v>
      </c>
    </row>
    <row r="198" spans="1:11" x14ac:dyDescent="0.3">
      <c r="A198" s="14">
        <v>2021</v>
      </c>
      <c r="B198" s="14">
        <f t="shared" si="11"/>
        <v>15</v>
      </c>
      <c r="C198" s="9">
        <v>44298</v>
      </c>
      <c r="D198" s="9">
        <v>44302</v>
      </c>
      <c r="E198" s="14">
        <f>VLOOKUP(F198,CarrierID!A:B,2,0)</f>
        <v>5</v>
      </c>
      <c r="F198" s="15" t="s">
        <v>1</v>
      </c>
      <c r="G198" t="str">
        <f>VLOOKUP(F198,Carrier_Category!A:B,2,0)</f>
        <v>Intercity</v>
      </c>
      <c r="H198" s="5">
        <v>43</v>
      </c>
      <c r="I198" s="7">
        <f t="shared" si="10"/>
        <v>36</v>
      </c>
      <c r="J198" s="5">
        <v>1249</v>
      </c>
      <c r="K198" s="18">
        <f t="shared" si="12"/>
        <v>29.046511627906977</v>
      </c>
    </row>
    <row r="199" spans="1:11" x14ac:dyDescent="0.3">
      <c r="A199" s="14">
        <v>2021</v>
      </c>
      <c r="B199" s="14">
        <f t="shared" si="11"/>
        <v>15</v>
      </c>
      <c r="C199" s="9">
        <v>44298</v>
      </c>
      <c r="D199" s="9">
        <v>44302</v>
      </c>
      <c r="E199" s="14">
        <f>VLOOKUP(F199,CarrierID!A:B,2,0)</f>
        <v>8</v>
      </c>
      <c r="F199" s="15" t="s">
        <v>2</v>
      </c>
      <c r="G199" t="str">
        <f>VLOOKUP(F199,Carrier_Category!A:B,2,0)</f>
        <v>Commuter</v>
      </c>
      <c r="H199" s="5">
        <v>14</v>
      </c>
      <c r="I199" s="7">
        <f t="shared" si="10"/>
        <v>44</v>
      </c>
      <c r="J199" s="5">
        <v>509</v>
      </c>
      <c r="K199" s="18">
        <f t="shared" si="12"/>
        <v>36.357142857142854</v>
      </c>
    </row>
    <row r="200" spans="1:11" x14ac:dyDescent="0.3">
      <c r="A200" s="14">
        <v>2021</v>
      </c>
      <c r="B200" s="14">
        <f t="shared" si="11"/>
        <v>15</v>
      </c>
      <c r="C200" s="9">
        <v>44298</v>
      </c>
      <c r="D200" s="9">
        <v>44302</v>
      </c>
      <c r="E200" s="14">
        <f>VLOOKUP(F200,CarrierID!A:B,2,0)</f>
        <v>9</v>
      </c>
      <c r="F200" s="15" t="s">
        <v>3</v>
      </c>
      <c r="G200" t="str">
        <f>VLOOKUP(F200,Carrier_Category!A:B,2,0)</f>
        <v>NJT</v>
      </c>
      <c r="H200" s="5">
        <v>2247</v>
      </c>
      <c r="I200" s="7">
        <f t="shared" si="10"/>
        <v>14</v>
      </c>
      <c r="J200" s="5">
        <v>29680</v>
      </c>
      <c r="K200" s="18">
        <f t="shared" si="12"/>
        <v>13.208722741433021</v>
      </c>
    </row>
    <row r="201" spans="1:11" x14ac:dyDescent="0.3">
      <c r="A201" s="14">
        <v>2021</v>
      </c>
      <c r="B201" s="14">
        <f t="shared" si="11"/>
        <v>15</v>
      </c>
      <c r="C201" s="9">
        <v>44298</v>
      </c>
      <c r="D201" s="9">
        <v>44302</v>
      </c>
      <c r="E201" s="14">
        <f>VLOOKUP(F201,CarrierID!A:B,2,0)</f>
        <v>7</v>
      </c>
      <c r="F201" s="15" t="s">
        <v>4</v>
      </c>
      <c r="G201" t="str">
        <f>VLOOKUP(F201,Carrier_Category!A:B,2,0)</f>
        <v>Commuter</v>
      </c>
      <c r="H201" s="5">
        <v>14</v>
      </c>
      <c r="I201" s="7">
        <f t="shared" si="10"/>
        <v>2226</v>
      </c>
      <c r="J201" s="5">
        <v>298</v>
      </c>
      <c r="K201" s="18">
        <f t="shared" si="12"/>
        <v>21.285714285714285</v>
      </c>
    </row>
    <row r="202" spans="1:11" x14ac:dyDescent="0.3">
      <c r="A202" s="14">
        <v>2021</v>
      </c>
      <c r="B202" s="14">
        <f t="shared" si="11"/>
        <v>15</v>
      </c>
      <c r="C202" s="9">
        <v>44298</v>
      </c>
      <c r="D202" s="9">
        <v>44302</v>
      </c>
      <c r="E202" s="14">
        <f>VLOOKUP(F202,CarrierID!A:B,2,0)</f>
        <v>11</v>
      </c>
      <c r="F202" s="15" t="s">
        <v>5</v>
      </c>
      <c r="G202" t="str">
        <f>VLOOKUP(F202,Carrier_Category!A:B,2,0)</f>
        <v>Intercity</v>
      </c>
      <c r="H202" s="5">
        <v>13</v>
      </c>
      <c r="I202" s="7">
        <f t="shared" si="10"/>
        <v>14</v>
      </c>
      <c r="J202" s="5">
        <v>336</v>
      </c>
      <c r="K202" s="18">
        <f t="shared" si="12"/>
        <v>25.846153846153847</v>
      </c>
    </row>
    <row r="203" spans="1:11" x14ac:dyDescent="0.3">
      <c r="A203" s="14">
        <v>2021</v>
      </c>
      <c r="B203" s="14">
        <f t="shared" si="11"/>
        <v>15</v>
      </c>
      <c r="C203" s="9">
        <v>44298</v>
      </c>
      <c r="D203" s="9">
        <v>44302</v>
      </c>
      <c r="E203" s="14">
        <f>VLOOKUP(F203,CarrierID!A:B,2,0)</f>
        <v>3</v>
      </c>
      <c r="F203" s="15" t="s">
        <v>6</v>
      </c>
      <c r="G203" t="str">
        <f>VLOOKUP(F203,Carrier_Category!A:B,2,0)</f>
        <v>Commuter</v>
      </c>
      <c r="H203" s="5">
        <v>84</v>
      </c>
      <c r="I203" s="7">
        <f t="shared" si="10"/>
        <v>15</v>
      </c>
      <c r="J203" s="5">
        <v>1740</v>
      </c>
      <c r="K203" s="18">
        <f t="shared" si="12"/>
        <v>20.714285714285715</v>
      </c>
    </row>
    <row r="204" spans="1:11" x14ac:dyDescent="0.3">
      <c r="A204" s="14">
        <v>2021</v>
      </c>
      <c r="B204" s="14">
        <f t="shared" si="11"/>
        <v>15</v>
      </c>
      <c r="C204" s="9">
        <v>44298</v>
      </c>
      <c r="D204" s="9">
        <v>44302</v>
      </c>
      <c r="E204" s="14">
        <f>VLOOKUP(F204,CarrierID!A:B,2,0)</f>
        <v>12</v>
      </c>
      <c r="F204" s="15" t="s">
        <v>25</v>
      </c>
      <c r="G204" t="str">
        <f>VLOOKUP(F204,Carrier_Category!A:B,2,0)</f>
        <v>Commuter</v>
      </c>
      <c r="H204" s="5">
        <v>12</v>
      </c>
      <c r="I204" s="7">
        <f t="shared" si="10"/>
        <v>83</v>
      </c>
      <c r="J204" s="5">
        <v>357</v>
      </c>
      <c r="K204" s="18">
        <f t="shared" si="12"/>
        <v>29.75</v>
      </c>
    </row>
    <row r="205" spans="1:11" x14ac:dyDescent="0.3">
      <c r="A205" s="14">
        <v>2021</v>
      </c>
      <c r="B205" s="14">
        <f t="shared" si="11"/>
        <v>15</v>
      </c>
      <c r="C205" s="9">
        <v>44298</v>
      </c>
      <c r="D205" s="9">
        <v>44302</v>
      </c>
      <c r="E205" s="14">
        <f>VLOOKUP(F205,CarrierID!A:B,2,0)</f>
        <v>10</v>
      </c>
      <c r="F205" s="15" t="s">
        <v>8</v>
      </c>
      <c r="G205" t="str">
        <f>VLOOKUP(F205,Carrier_Category!A:B,2,0)</f>
        <v>Intercity</v>
      </c>
      <c r="H205" s="5">
        <v>16</v>
      </c>
      <c r="I205" s="7">
        <f t="shared" ref="I205:I268" si="13">H194</f>
        <v>12</v>
      </c>
      <c r="J205" s="5">
        <v>399</v>
      </c>
      <c r="K205" s="18">
        <f t="shared" si="12"/>
        <v>24.9375</v>
      </c>
    </row>
    <row r="206" spans="1:11" x14ac:dyDescent="0.3">
      <c r="A206" s="14">
        <v>2021</v>
      </c>
      <c r="B206" s="14">
        <f t="shared" si="11"/>
        <v>15</v>
      </c>
      <c r="C206" s="9">
        <v>44298</v>
      </c>
      <c r="D206" s="9">
        <v>44302</v>
      </c>
      <c r="E206" s="14">
        <f>VLOOKUP(F206,CarrierID!A:B,2,0)</f>
        <v>6</v>
      </c>
      <c r="F206" s="15" t="s">
        <v>9</v>
      </c>
      <c r="G206" t="str">
        <f>VLOOKUP(F206,Carrier_Category!A:B,2,0)</f>
        <v>Commuter</v>
      </c>
      <c r="H206" s="5">
        <v>84</v>
      </c>
      <c r="I206" s="7">
        <f t="shared" si="13"/>
        <v>16</v>
      </c>
      <c r="J206" s="5">
        <v>1272</v>
      </c>
      <c r="K206" s="18">
        <f t="shared" si="12"/>
        <v>15.142857142857142</v>
      </c>
    </row>
    <row r="207" spans="1:11" x14ac:dyDescent="0.3">
      <c r="A207" s="14">
        <v>2021</v>
      </c>
      <c r="B207" s="14">
        <f t="shared" si="11"/>
        <v>16</v>
      </c>
      <c r="C207" s="9">
        <v>44305</v>
      </c>
      <c r="D207" s="9">
        <v>44309</v>
      </c>
      <c r="E207" s="14">
        <f>VLOOKUP(F207,CarrierID!A:B,2,0)</f>
        <v>1</v>
      </c>
      <c r="F207" s="15" t="s">
        <v>0</v>
      </c>
      <c r="G207" t="str">
        <f>VLOOKUP(F207,Carrier_Category!A:B,2,0)</f>
        <v>Commuter</v>
      </c>
      <c r="H207" s="5">
        <v>36</v>
      </c>
      <c r="I207" s="7">
        <f t="shared" si="13"/>
        <v>89</v>
      </c>
      <c r="J207" s="5">
        <v>710</v>
      </c>
      <c r="K207" s="18">
        <f t="shared" si="12"/>
        <v>19.722222222222221</v>
      </c>
    </row>
    <row r="208" spans="1:11" x14ac:dyDescent="0.3">
      <c r="A208" s="14">
        <v>2021</v>
      </c>
      <c r="B208" s="14">
        <f t="shared" si="11"/>
        <v>16</v>
      </c>
      <c r="C208" s="9">
        <v>44305</v>
      </c>
      <c r="D208" s="9">
        <v>44309</v>
      </c>
      <c r="E208" s="14">
        <f>VLOOKUP(F208,CarrierID!A:B,2,0)</f>
        <v>5</v>
      </c>
      <c r="F208" s="15" t="s">
        <v>1</v>
      </c>
      <c r="G208" t="str">
        <f>VLOOKUP(F208,Carrier_Category!A:B,2,0)</f>
        <v>Intercity</v>
      </c>
      <c r="H208" s="5">
        <v>46</v>
      </c>
      <c r="I208" s="7">
        <f t="shared" si="13"/>
        <v>36</v>
      </c>
      <c r="J208" s="5">
        <v>1255</v>
      </c>
      <c r="K208" s="18">
        <f t="shared" si="12"/>
        <v>27.282608695652176</v>
      </c>
    </row>
    <row r="209" spans="1:11" x14ac:dyDescent="0.3">
      <c r="A209" s="14">
        <v>2021</v>
      </c>
      <c r="B209" s="14">
        <f t="shared" si="11"/>
        <v>16</v>
      </c>
      <c r="C209" s="9">
        <v>44305</v>
      </c>
      <c r="D209" s="9">
        <v>44309</v>
      </c>
      <c r="E209" s="14">
        <f>VLOOKUP(F209,CarrierID!A:B,2,0)</f>
        <v>8</v>
      </c>
      <c r="F209" s="15" t="s">
        <v>2</v>
      </c>
      <c r="G209" t="str">
        <f>VLOOKUP(F209,Carrier_Category!A:B,2,0)</f>
        <v>Commuter</v>
      </c>
      <c r="H209" s="5">
        <v>14</v>
      </c>
      <c r="I209" s="7">
        <f t="shared" si="13"/>
        <v>43</v>
      </c>
      <c r="J209" s="5">
        <v>504</v>
      </c>
      <c r="K209" s="18">
        <f t="shared" si="12"/>
        <v>36</v>
      </c>
    </row>
    <row r="210" spans="1:11" x14ac:dyDescent="0.3">
      <c r="A210" s="14">
        <v>2021</v>
      </c>
      <c r="B210" s="14">
        <f t="shared" si="11"/>
        <v>16</v>
      </c>
      <c r="C210" s="9">
        <v>44305</v>
      </c>
      <c r="D210" s="9">
        <v>44309</v>
      </c>
      <c r="E210" s="14">
        <f>VLOOKUP(F210,CarrierID!A:B,2,0)</f>
        <v>9</v>
      </c>
      <c r="F210" s="15" t="s">
        <v>3</v>
      </c>
      <c r="G210" t="str">
        <f>VLOOKUP(F210,Carrier_Category!A:B,2,0)</f>
        <v>NJT</v>
      </c>
      <c r="H210" s="5">
        <v>2123</v>
      </c>
      <c r="I210" s="7">
        <f t="shared" si="13"/>
        <v>14</v>
      </c>
      <c r="J210" s="5">
        <v>31549</v>
      </c>
      <c r="K210" s="18">
        <f t="shared" si="12"/>
        <v>14.86057465850212</v>
      </c>
    </row>
    <row r="211" spans="1:11" x14ac:dyDescent="0.3">
      <c r="A211" s="14">
        <v>2021</v>
      </c>
      <c r="B211" s="14">
        <f t="shared" si="11"/>
        <v>16</v>
      </c>
      <c r="C211" s="9">
        <v>44305</v>
      </c>
      <c r="D211" s="9">
        <v>44309</v>
      </c>
      <c r="E211" s="14">
        <f>VLOOKUP(F211,CarrierID!A:B,2,0)</f>
        <v>7</v>
      </c>
      <c r="F211" s="15" t="s">
        <v>4</v>
      </c>
      <c r="G211" t="str">
        <f>VLOOKUP(F211,Carrier_Category!A:B,2,0)</f>
        <v>Commuter</v>
      </c>
      <c r="H211" s="5">
        <v>14</v>
      </c>
      <c r="I211" s="7">
        <f t="shared" si="13"/>
        <v>2247</v>
      </c>
      <c r="J211" s="5">
        <v>313</v>
      </c>
      <c r="K211" s="18">
        <f t="shared" si="12"/>
        <v>22.357142857142858</v>
      </c>
    </row>
    <row r="212" spans="1:11" x14ac:dyDescent="0.3">
      <c r="A212" s="14">
        <v>2021</v>
      </c>
      <c r="B212" s="14">
        <f t="shared" si="11"/>
        <v>16</v>
      </c>
      <c r="C212" s="9">
        <v>44305</v>
      </c>
      <c r="D212" s="9">
        <v>44309</v>
      </c>
      <c r="E212" s="14">
        <f>VLOOKUP(F212,CarrierID!A:B,2,0)</f>
        <v>11</v>
      </c>
      <c r="F212" s="15" t="s">
        <v>5</v>
      </c>
      <c r="G212" t="str">
        <f>VLOOKUP(F212,Carrier_Category!A:B,2,0)</f>
        <v>Intercity</v>
      </c>
      <c r="H212" s="5">
        <v>13</v>
      </c>
      <c r="I212" s="7">
        <f t="shared" si="13"/>
        <v>14</v>
      </c>
      <c r="J212" s="5">
        <v>328</v>
      </c>
      <c r="K212" s="18">
        <f t="shared" si="12"/>
        <v>25.23076923076923</v>
      </c>
    </row>
    <row r="213" spans="1:11" x14ac:dyDescent="0.3">
      <c r="A213" s="14">
        <v>2021</v>
      </c>
      <c r="B213" s="14">
        <f t="shared" si="11"/>
        <v>16</v>
      </c>
      <c r="C213" s="9">
        <v>44305</v>
      </c>
      <c r="D213" s="9">
        <v>44309</v>
      </c>
      <c r="E213" s="14">
        <f>VLOOKUP(F213,CarrierID!A:B,2,0)</f>
        <v>3</v>
      </c>
      <c r="F213" s="15" t="s">
        <v>6</v>
      </c>
      <c r="G213" t="str">
        <f>VLOOKUP(F213,Carrier_Category!A:B,2,0)</f>
        <v>Commuter</v>
      </c>
      <c r="H213" s="5">
        <v>81</v>
      </c>
      <c r="I213" s="7">
        <f t="shared" si="13"/>
        <v>13</v>
      </c>
      <c r="J213" s="5">
        <v>1714</v>
      </c>
      <c r="K213" s="18">
        <f t="shared" si="12"/>
        <v>21.160493827160494</v>
      </c>
    </row>
    <row r="214" spans="1:11" x14ac:dyDescent="0.3">
      <c r="A214" s="14">
        <v>2021</v>
      </c>
      <c r="B214" s="14">
        <f t="shared" si="11"/>
        <v>16</v>
      </c>
      <c r="C214" s="9">
        <v>44305</v>
      </c>
      <c r="D214" s="9">
        <v>44309</v>
      </c>
      <c r="E214" s="14">
        <f>VLOOKUP(F214,CarrierID!A:B,2,0)</f>
        <v>12</v>
      </c>
      <c r="F214" s="15" t="s">
        <v>25</v>
      </c>
      <c r="G214" t="str">
        <f>VLOOKUP(F214,Carrier_Category!A:B,2,0)</f>
        <v>Commuter</v>
      </c>
      <c r="H214" s="5">
        <v>12</v>
      </c>
      <c r="I214" s="7">
        <f t="shared" si="13"/>
        <v>84</v>
      </c>
      <c r="J214" s="5">
        <v>365</v>
      </c>
      <c r="K214" s="18">
        <f t="shared" si="12"/>
        <v>30.416666666666668</v>
      </c>
    </row>
    <row r="215" spans="1:11" x14ac:dyDescent="0.3">
      <c r="A215" s="14">
        <v>2021</v>
      </c>
      <c r="B215" s="14">
        <f t="shared" si="11"/>
        <v>16</v>
      </c>
      <c r="C215" s="9">
        <v>44305</v>
      </c>
      <c r="D215" s="9">
        <v>44309</v>
      </c>
      <c r="E215" s="14">
        <f>VLOOKUP(F215,CarrierID!A:B,2,0)</f>
        <v>10</v>
      </c>
      <c r="F215" s="15" t="s">
        <v>8</v>
      </c>
      <c r="G215" t="str">
        <f>VLOOKUP(F215,Carrier_Category!A:B,2,0)</f>
        <v>Intercity</v>
      </c>
      <c r="H215" s="5">
        <v>16</v>
      </c>
      <c r="I215" s="7">
        <f t="shared" si="13"/>
        <v>12</v>
      </c>
      <c r="J215" s="5">
        <v>478</v>
      </c>
      <c r="K215" s="18">
        <f t="shared" si="12"/>
        <v>29.875</v>
      </c>
    </row>
    <row r="216" spans="1:11" x14ac:dyDescent="0.3">
      <c r="A216" s="14">
        <v>2021</v>
      </c>
      <c r="B216" s="14">
        <f t="shared" si="11"/>
        <v>16</v>
      </c>
      <c r="C216" s="9">
        <v>44305</v>
      </c>
      <c r="D216" s="9">
        <v>44309</v>
      </c>
      <c r="E216" s="14">
        <f>VLOOKUP(F216,CarrierID!A:B,2,0)</f>
        <v>6</v>
      </c>
      <c r="F216" s="15" t="s">
        <v>9</v>
      </c>
      <c r="G216" t="str">
        <f>VLOOKUP(F216,Carrier_Category!A:B,2,0)</f>
        <v>Commuter</v>
      </c>
      <c r="H216" s="5">
        <v>93</v>
      </c>
      <c r="I216" s="7">
        <f t="shared" si="13"/>
        <v>16</v>
      </c>
      <c r="J216" s="5">
        <v>1275</v>
      </c>
      <c r="K216" s="18">
        <f t="shared" si="12"/>
        <v>13.709677419354838</v>
      </c>
    </row>
    <row r="217" spans="1:11" x14ac:dyDescent="0.3">
      <c r="A217" s="14">
        <v>2021</v>
      </c>
      <c r="B217" s="14">
        <f t="shared" si="11"/>
        <v>17</v>
      </c>
      <c r="C217" s="9">
        <v>44312</v>
      </c>
      <c r="D217" s="9">
        <v>44316</v>
      </c>
      <c r="E217" s="14">
        <f>VLOOKUP(F217,CarrierID!A:B,2,0)</f>
        <v>1</v>
      </c>
      <c r="F217" s="15" t="s">
        <v>0</v>
      </c>
      <c r="G217" t="str">
        <f>VLOOKUP(F217,Carrier_Category!A:B,2,0)</f>
        <v>Commuter</v>
      </c>
      <c r="H217" s="5">
        <v>36</v>
      </c>
      <c r="I217" s="7">
        <f t="shared" si="13"/>
        <v>84</v>
      </c>
      <c r="J217" s="5">
        <v>710</v>
      </c>
      <c r="K217" s="18">
        <f t="shared" si="12"/>
        <v>19.722222222222221</v>
      </c>
    </row>
    <row r="218" spans="1:11" x14ac:dyDescent="0.3">
      <c r="A218" s="14">
        <v>2021</v>
      </c>
      <c r="B218" s="14">
        <f t="shared" si="11"/>
        <v>17</v>
      </c>
      <c r="C218" s="9">
        <v>44312</v>
      </c>
      <c r="D218" s="9">
        <v>44316</v>
      </c>
      <c r="E218" s="14">
        <f>VLOOKUP(F218,CarrierID!A:B,2,0)</f>
        <v>5</v>
      </c>
      <c r="F218" s="15" t="s">
        <v>1</v>
      </c>
      <c r="G218" t="str">
        <f>VLOOKUP(F218,Carrier_Category!A:B,2,0)</f>
        <v>Intercity</v>
      </c>
      <c r="H218" s="5">
        <v>41</v>
      </c>
      <c r="I218" s="7">
        <f t="shared" si="13"/>
        <v>36</v>
      </c>
      <c r="J218" s="5">
        <v>1146</v>
      </c>
      <c r="K218" s="18">
        <f t="shared" si="12"/>
        <v>27.951219512195124</v>
      </c>
    </row>
    <row r="219" spans="1:11" x14ac:dyDescent="0.3">
      <c r="A219" s="14">
        <v>2021</v>
      </c>
      <c r="B219" s="14">
        <f t="shared" si="11"/>
        <v>17</v>
      </c>
      <c r="C219" s="9">
        <v>44312</v>
      </c>
      <c r="D219" s="9">
        <v>44316</v>
      </c>
      <c r="E219" s="14">
        <f>VLOOKUP(F219,CarrierID!A:B,2,0)</f>
        <v>8</v>
      </c>
      <c r="F219" s="15" t="s">
        <v>2</v>
      </c>
      <c r="G219" t="str">
        <f>VLOOKUP(F219,Carrier_Category!A:B,2,0)</f>
        <v>Commuter</v>
      </c>
      <c r="H219" s="5">
        <v>14</v>
      </c>
      <c r="I219" s="7">
        <f t="shared" si="13"/>
        <v>46</v>
      </c>
      <c r="J219" s="5">
        <v>502</v>
      </c>
      <c r="K219" s="18">
        <f t="shared" si="12"/>
        <v>35.857142857142854</v>
      </c>
    </row>
    <row r="220" spans="1:11" x14ac:dyDescent="0.3">
      <c r="A220" s="14">
        <v>2021</v>
      </c>
      <c r="B220" s="14">
        <f t="shared" si="11"/>
        <v>17</v>
      </c>
      <c r="C220" s="9">
        <v>44312</v>
      </c>
      <c r="D220" s="9">
        <v>44316</v>
      </c>
      <c r="E220" s="14">
        <f>VLOOKUP(F220,CarrierID!A:B,2,0)</f>
        <v>9</v>
      </c>
      <c r="F220" s="15" t="s">
        <v>3</v>
      </c>
      <c r="G220" t="str">
        <f>VLOOKUP(F220,Carrier_Category!A:B,2,0)</f>
        <v>NJT</v>
      </c>
      <c r="H220" s="5">
        <v>2263</v>
      </c>
      <c r="I220" s="7">
        <f t="shared" si="13"/>
        <v>14</v>
      </c>
      <c r="J220" s="5">
        <v>32474</v>
      </c>
      <c r="K220" s="18">
        <f t="shared" si="12"/>
        <v>14.349977905435264</v>
      </c>
    </row>
    <row r="221" spans="1:11" x14ac:dyDescent="0.3">
      <c r="A221" s="14">
        <v>2021</v>
      </c>
      <c r="B221" s="14">
        <f t="shared" si="11"/>
        <v>17</v>
      </c>
      <c r="C221" s="9">
        <v>44312</v>
      </c>
      <c r="D221" s="9">
        <v>44316</v>
      </c>
      <c r="E221" s="14">
        <f>VLOOKUP(F221,CarrierID!A:B,2,0)</f>
        <v>7</v>
      </c>
      <c r="F221" s="15" t="s">
        <v>4</v>
      </c>
      <c r="G221" t="str">
        <f>VLOOKUP(F221,Carrier_Category!A:B,2,0)</f>
        <v>Commuter</v>
      </c>
      <c r="H221" s="5">
        <v>14</v>
      </c>
      <c r="I221" s="7">
        <f t="shared" si="13"/>
        <v>2123</v>
      </c>
      <c r="J221" s="5">
        <v>322</v>
      </c>
      <c r="K221" s="18">
        <f t="shared" si="12"/>
        <v>23</v>
      </c>
    </row>
    <row r="222" spans="1:11" x14ac:dyDescent="0.3">
      <c r="A222" s="14">
        <v>2021</v>
      </c>
      <c r="B222" s="14">
        <f t="shared" si="11"/>
        <v>17</v>
      </c>
      <c r="C222" s="9">
        <v>44312</v>
      </c>
      <c r="D222" s="9">
        <v>44316</v>
      </c>
      <c r="E222" s="14">
        <f>VLOOKUP(F222,CarrierID!A:B,2,0)</f>
        <v>11</v>
      </c>
      <c r="F222" s="15" t="s">
        <v>5</v>
      </c>
      <c r="G222" t="str">
        <f>VLOOKUP(F222,Carrier_Category!A:B,2,0)</f>
        <v>Intercity</v>
      </c>
      <c r="H222" s="5">
        <v>13</v>
      </c>
      <c r="I222" s="7">
        <f t="shared" si="13"/>
        <v>14</v>
      </c>
      <c r="J222" s="5">
        <v>324</v>
      </c>
      <c r="K222" s="18">
        <f t="shared" si="12"/>
        <v>24.923076923076923</v>
      </c>
    </row>
    <row r="223" spans="1:11" x14ac:dyDescent="0.3">
      <c r="A223" s="14">
        <v>2021</v>
      </c>
      <c r="B223" s="14">
        <f t="shared" si="11"/>
        <v>17</v>
      </c>
      <c r="C223" s="9">
        <v>44312</v>
      </c>
      <c r="D223" s="9">
        <v>44316</v>
      </c>
      <c r="E223" s="14">
        <f>VLOOKUP(F223,CarrierID!A:B,2,0)</f>
        <v>3</v>
      </c>
      <c r="F223" s="15" t="s">
        <v>6</v>
      </c>
      <c r="G223" t="str">
        <f>VLOOKUP(F223,Carrier_Category!A:B,2,0)</f>
        <v>Commuter</v>
      </c>
      <c r="H223" s="5">
        <v>84</v>
      </c>
      <c r="I223" s="7">
        <f t="shared" si="13"/>
        <v>13</v>
      </c>
      <c r="J223" s="5">
        <v>1793</v>
      </c>
      <c r="K223" s="18">
        <f t="shared" si="12"/>
        <v>21.345238095238095</v>
      </c>
    </row>
    <row r="224" spans="1:11" x14ac:dyDescent="0.3">
      <c r="A224" s="14">
        <v>2021</v>
      </c>
      <c r="B224" s="14">
        <f t="shared" si="11"/>
        <v>17</v>
      </c>
      <c r="C224" s="9">
        <v>44312</v>
      </c>
      <c r="D224" s="9">
        <v>44316</v>
      </c>
      <c r="E224" s="14">
        <f>VLOOKUP(F224,CarrierID!A:B,2,0)</f>
        <v>12</v>
      </c>
      <c r="F224" s="15" t="s">
        <v>25</v>
      </c>
      <c r="G224" t="str">
        <f>VLOOKUP(F224,Carrier_Category!A:B,2,0)</f>
        <v>Commuter</v>
      </c>
      <c r="H224" s="5">
        <v>12</v>
      </c>
      <c r="I224" s="7">
        <f t="shared" si="13"/>
        <v>81</v>
      </c>
      <c r="J224" s="5">
        <v>369</v>
      </c>
      <c r="K224" s="18">
        <f t="shared" si="12"/>
        <v>30.75</v>
      </c>
    </row>
    <row r="225" spans="1:11" x14ac:dyDescent="0.3">
      <c r="A225" s="14">
        <v>2021</v>
      </c>
      <c r="B225" s="14">
        <f t="shared" si="11"/>
        <v>17</v>
      </c>
      <c r="C225" s="9">
        <v>44312</v>
      </c>
      <c r="D225" s="9">
        <v>44316</v>
      </c>
      <c r="E225" s="14">
        <f>VLOOKUP(F225,CarrierID!A:B,2,0)</f>
        <v>10</v>
      </c>
      <c r="F225" s="15" t="s">
        <v>8</v>
      </c>
      <c r="G225" t="str">
        <f>VLOOKUP(F225,Carrier_Category!A:B,2,0)</f>
        <v>Intercity</v>
      </c>
      <c r="H225" s="5">
        <v>16</v>
      </c>
      <c r="I225" s="7">
        <f t="shared" si="13"/>
        <v>12</v>
      </c>
      <c r="J225" s="5">
        <v>456</v>
      </c>
      <c r="K225" s="18">
        <f t="shared" si="12"/>
        <v>28.5</v>
      </c>
    </row>
    <row r="226" spans="1:11" x14ac:dyDescent="0.3">
      <c r="A226" s="14">
        <v>2021</v>
      </c>
      <c r="B226" s="14">
        <f t="shared" si="11"/>
        <v>17</v>
      </c>
      <c r="C226" s="9">
        <v>44312</v>
      </c>
      <c r="D226" s="9">
        <v>44316</v>
      </c>
      <c r="E226" s="14">
        <f>VLOOKUP(F226,CarrierID!A:B,2,0)</f>
        <v>6</v>
      </c>
      <c r="F226" s="15" t="s">
        <v>9</v>
      </c>
      <c r="G226" t="str">
        <f>VLOOKUP(F226,Carrier_Category!A:B,2,0)</f>
        <v>Commuter</v>
      </c>
      <c r="H226" s="5">
        <v>90</v>
      </c>
      <c r="I226" s="7">
        <f t="shared" si="13"/>
        <v>16</v>
      </c>
      <c r="J226" s="5">
        <v>1210</v>
      </c>
      <c r="K226" s="18">
        <f t="shared" si="12"/>
        <v>13.444444444444445</v>
      </c>
    </row>
    <row r="227" spans="1:11" x14ac:dyDescent="0.3">
      <c r="A227" s="14">
        <v>2021</v>
      </c>
      <c r="B227" s="14">
        <f t="shared" si="11"/>
        <v>18</v>
      </c>
      <c r="C227" s="9">
        <v>44319</v>
      </c>
      <c r="D227" s="9">
        <v>44323</v>
      </c>
      <c r="E227" s="14">
        <f>VLOOKUP(F227,CarrierID!A:B,2,0)</f>
        <v>1</v>
      </c>
      <c r="F227" s="15" t="s">
        <v>0</v>
      </c>
      <c r="G227" t="str">
        <f>VLOOKUP(F227,Carrier_Category!A:B,2,0)</f>
        <v>Commuter</v>
      </c>
      <c r="H227" s="5">
        <v>36</v>
      </c>
      <c r="I227" s="7">
        <f t="shared" si="13"/>
        <v>93</v>
      </c>
      <c r="J227" s="5">
        <v>689</v>
      </c>
      <c r="K227" s="18">
        <f t="shared" si="12"/>
        <v>19.138888888888889</v>
      </c>
    </row>
    <row r="228" spans="1:11" x14ac:dyDescent="0.3">
      <c r="A228" s="14">
        <v>2021</v>
      </c>
      <c r="B228" s="14">
        <f t="shared" si="11"/>
        <v>18</v>
      </c>
      <c r="C228" s="9">
        <v>44319</v>
      </c>
      <c r="D228" s="9">
        <v>44323</v>
      </c>
      <c r="E228" s="14">
        <f>VLOOKUP(F228,CarrierID!A:B,2,0)</f>
        <v>5</v>
      </c>
      <c r="F228" s="15" t="s">
        <v>1</v>
      </c>
      <c r="G228" t="str">
        <f>VLOOKUP(F228,Carrier_Category!A:B,2,0)</f>
        <v>Intercity</v>
      </c>
      <c r="H228" s="5">
        <v>40</v>
      </c>
      <c r="I228" s="7">
        <f t="shared" si="13"/>
        <v>36</v>
      </c>
      <c r="J228" s="5">
        <v>1161</v>
      </c>
      <c r="K228" s="18">
        <f t="shared" si="12"/>
        <v>29.024999999999999</v>
      </c>
    </row>
    <row r="229" spans="1:11" x14ac:dyDescent="0.3">
      <c r="A229" s="14">
        <v>2021</v>
      </c>
      <c r="B229" s="14">
        <f t="shared" si="11"/>
        <v>18</v>
      </c>
      <c r="C229" s="9">
        <v>44319</v>
      </c>
      <c r="D229" s="9">
        <v>44323</v>
      </c>
      <c r="E229" s="14">
        <f>VLOOKUP(F229,CarrierID!A:B,2,0)</f>
        <v>8</v>
      </c>
      <c r="F229" s="15" t="s">
        <v>2</v>
      </c>
      <c r="G229" t="str">
        <f>VLOOKUP(F229,Carrier_Category!A:B,2,0)</f>
        <v>Commuter</v>
      </c>
      <c r="H229" s="5">
        <v>14</v>
      </c>
      <c r="I229" s="7">
        <f t="shared" si="13"/>
        <v>41</v>
      </c>
      <c r="J229" s="5">
        <v>518</v>
      </c>
      <c r="K229" s="18">
        <f t="shared" si="12"/>
        <v>37</v>
      </c>
    </row>
    <row r="230" spans="1:11" x14ac:dyDescent="0.3">
      <c r="A230" s="14">
        <v>2021</v>
      </c>
      <c r="B230" s="14">
        <f t="shared" si="11"/>
        <v>18</v>
      </c>
      <c r="C230" s="9">
        <v>44319</v>
      </c>
      <c r="D230" s="9">
        <v>44323</v>
      </c>
      <c r="E230" s="14">
        <f>VLOOKUP(F230,CarrierID!A:B,2,0)</f>
        <v>9</v>
      </c>
      <c r="F230" s="15" t="s">
        <v>3</v>
      </c>
      <c r="G230" t="str">
        <f>VLOOKUP(F230,Carrier_Category!A:B,2,0)</f>
        <v>NJT</v>
      </c>
      <c r="H230" s="5">
        <v>2234</v>
      </c>
      <c r="I230" s="7">
        <f t="shared" si="13"/>
        <v>14</v>
      </c>
      <c r="J230" s="5">
        <v>31768</v>
      </c>
      <c r="K230" s="18">
        <f t="shared" si="12"/>
        <v>14.220232766338407</v>
      </c>
    </row>
    <row r="231" spans="1:11" x14ac:dyDescent="0.3">
      <c r="A231" s="14">
        <v>2021</v>
      </c>
      <c r="B231" s="14">
        <f t="shared" si="11"/>
        <v>18</v>
      </c>
      <c r="C231" s="9">
        <v>44319</v>
      </c>
      <c r="D231" s="9">
        <v>44323</v>
      </c>
      <c r="E231" s="14">
        <f>VLOOKUP(F231,CarrierID!A:B,2,0)</f>
        <v>7</v>
      </c>
      <c r="F231" s="15" t="s">
        <v>4</v>
      </c>
      <c r="G231" t="str">
        <f>VLOOKUP(F231,Carrier_Category!A:B,2,0)</f>
        <v>Commuter</v>
      </c>
      <c r="H231" s="5">
        <v>14</v>
      </c>
      <c r="I231" s="7">
        <f t="shared" si="13"/>
        <v>2263</v>
      </c>
      <c r="J231" s="5">
        <v>331</v>
      </c>
      <c r="K231" s="18">
        <f t="shared" si="12"/>
        <v>23.642857142857142</v>
      </c>
    </row>
    <row r="232" spans="1:11" x14ac:dyDescent="0.3">
      <c r="A232" s="14">
        <v>2021</v>
      </c>
      <c r="B232" s="14">
        <f t="shared" si="11"/>
        <v>18</v>
      </c>
      <c r="C232" s="9">
        <v>44319</v>
      </c>
      <c r="D232" s="9">
        <v>44323</v>
      </c>
      <c r="E232" s="14">
        <f>VLOOKUP(F232,CarrierID!A:B,2,0)</f>
        <v>11</v>
      </c>
      <c r="F232" s="15" t="s">
        <v>5</v>
      </c>
      <c r="G232" t="str">
        <f>VLOOKUP(F232,Carrier_Category!A:B,2,0)</f>
        <v>Intercity</v>
      </c>
      <c r="H232" s="5">
        <v>13</v>
      </c>
      <c r="I232" s="7">
        <f t="shared" si="13"/>
        <v>14</v>
      </c>
      <c r="J232" s="5">
        <v>353</v>
      </c>
      <c r="K232" s="18">
        <f t="shared" si="12"/>
        <v>27.153846153846153</v>
      </c>
    </row>
    <row r="233" spans="1:11" x14ac:dyDescent="0.3">
      <c r="A233" s="14">
        <v>2021</v>
      </c>
      <c r="B233" s="14">
        <f t="shared" si="11"/>
        <v>18</v>
      </c>
      <c r="C233" s="9">
        <v>44319</v>
      </c>
      <c r="D233" s="9">
        <v>44323</v>
      </c>
      <c r="E233" s="14">
        <f>VLOOKUP(F233,CarrierID!A:B,2,0)</f>
        <v>3</v>
      </c>
      <c r="F233" s="15" t="s">
        <v>6</v>
      </c>
      <c r="G233" t="str">
        <f>VLOOKUP(F233,Carrier_Category!A:B,2,0)</f>
        <v>Commuter</v>
      </c>
      <c r="H233" s="5">
        <v>85</v>
      </c>
      <c r="I233" s="7">
        <f t="shared" si="13"/>
        <v>13</v>
      </c>
      <c r="J233" s="5">
        <v>1846</v>
      </c>
      <c r="K233" s="18">
        <f t="shared" si="12"/>
        <v>21.71764705882353</v>
      </c>
    </row>
    <row r="234" spans="1:11" x14ac:dyDescent="0.3">
      <c r="A234" s="14">
        <v>2021</v>
      </c>
      <c r="B234" s="14">
        <f t="shared" si="11"/>
        <v>18</v>
      </c>
      <c r="C234" s="9">
        <v>44319</v>
      </c>
      <c r="D234" s="9">
        <v>44323</v>
      </c>
      <c r="E234" s="14">
        <f>VLOOKUP(F234,CarrierID!A:B,2,0)</f>
        <v>12</v>
      </c>
      <c r="F234" s="15" t="s">
        <v>25</v>
      </c>
      <c r="G234" t="str">
        <f>VLOOKUP(F234,Carrier_Category!A:B,2,0)</f>
        <v>Commuter</v>
      </c>
      <c r="H234" s="5">
        <v>12</v>
      </c>
      <c r="I234" s="7">
        <f t="shared" si="13"/>
        <v>84</v>
      </c>
      <c r="J234" s="5">
        <v>373</v>
      </c>
      <c r="K234" s="18">
        <f t="shared" si="12"/>
        <v>31.083333333333332</v>
      </c>
    </row>
    <row r="235" spans="1:11" x14ac:dyDescent="0.3">
      <c r="A235" s="14">
        <v>2021</v>
      </c>
      <c r="B235" s="14">
        <f t="shared" si="11"/>
        <v>18</v>
      </c>
      <c r="C235" s="9">
        <v>44319</v>
      </c>
      <c r="D235" s="9">
        <v>44323</v>
      </c>
      <c r="E235" s="14">
        <f>VLOOKUP(F235,CarrierID!A:B,2,0)</f>
        <v>10</v>
      </c>
      <c r="F235" s="15" t="s">
        <v>8</v>
      </c>
      <c r="G235" t="str">
        <f>VLOOKUP(F235,Carrier_Category!A:B,2,0)</f>
        <v>Intercity</v>
      </c>
      <c r="H235" s="5">
        <v>19</v>
      </c>
      <c r="I235" s="7">
        <f t="shared" si="13"/>
        <v>12</v>
      </c>
      <c r="J235" s="5">
        <v>504</v>
      </c>
      <c r="K235" s="18">
        <f t="shared" si="12"/>
        <v>26.526315789473685</v>
      </c>
    </row>
    <row r="236" spans="1:11" x14ac:dyDescent="0.3">
      <c r="A236" s="14">
        <v>2021</v>
      </c>
      <c r="B236" s="14">
        <f t="shared" si="11"/>
        <v>18</v>
      </c>
      <c r="C236" s="9">
        <v>44319</v>
      </c>
      <c r="D236" s="9">
        <v>44323</v>
      </c>
      <c r="E236" s="14">
        <f>VLOOKUP(F236,CarrierID!A:B,2,0)</f>
        <v>6</v>
      </c>
      <c r="F236" s="15" t="s">
        <v>9</v>
      </c>
      <c r="G236" t="str">
        <f>VLOOKUP(F236,Carrier_Category!A:B,2,0)</f>
        <v>Commuter</v>
      </c>
      <c r="H236" s="5">
        <v>91</v>
      </c>
      <c r="I236" s="7">
        <f t="shared" si="13"/>
        <v>16</v>
      </c>
      <c r="J236" s="5">
        <v>1069</v>
      </c>
      <c r="K236" s="18">
        <f t="shared" si="12"/>
        <v>11.747252747252746</v>
      </c>
    </row>
    <row r="237" spans="1:11" x14ac:dyDescent="0.3">
      <c r="A237" s="14">
        <v>2021</v>
      </c>
      <c r="B237" s="14">
        <f t="shared" si="11"/>
        <v>19</v>
      </c>
      <c r="C237" s="9">
        <v>44326</v>
      </c>
      <c r="D237" s="9">
        <v>44330</v>
      </c>
      <c r="E237" s="14">
        <f>VLOOKUP(F237,CarrierID!A:B,2,0)</f>
        <v>1</v>
      </c>
      <c r="F237" s="15" t="s">
        <v>0</v>
      </c>
      <c r="G237" t="str">
        <f>VLOOKUP(F237,Carrier_Category!A:B,2,0)</f>
        <v>Commuter</v>
      </c>
      <c r="H237" s="5">
        <v>36</v>
      </c>
      <c r="I237" s="7">
        <f t="shared" si="13"/>
        <v>90</v>
      </c>
      <c r="J237" s="5">
        <v>689</v>
      </c>
      <c r="K237" s="18">
        <f t="shared" si="12"/>
        <v>19.138888888888889</v>
      </c>
    </row>
    <row r="238" spans="1:11" x14ac:dyDescent="0.3">
      <c r="A238" s="14">
        <v>2021</v>
      </c>
      <c r="B238" s="14">
        <f t="shared" si="11"/>
        <v>19</v>
      </c>
      <c r="C238" s="9">
        <v>44326</v>
      </c>
      <c r="D238" s="9">
        <v>44330</v>
      </c>
      <c r="E238" s="14">
        <f>VLOOKUP(F238,CarrierID!A:B,2,0)</f>
        <v>5</v>
      </c>
      <c r="F238" s="15" t="s">
        <v>1</v>
      </c>
      <c r="G238" t="str">
        <f>VLOOKUP(F238,Carrier_Category!A:B,2,0)</f>
        <v>Intercity</v>
      </c>
      <c r="H238" s="5">
        <v>41</v>
      </c>
      <c r="I238" s="7">
        <f t="shared" si="13"/>
        <v>36</v>
      </c>
      <c r="J238" s="5">
        <v>1228</v>
      </c>
      <c r="K238" s="18">
        <f t="shared" si="12"/>
        <v>29.951219512195124</v>
      </c>
    </row>
    <row r="239" spans="1:11" x14ac:dyDescent="0.3">
      <c r="A239" s="14">
        <v>2021</v>
      </c>
      <c r="B239" s="14">
        <f t="shared" si="11"/>
        <v>19</v>
      </c>
      <c r="C239" s="9">
        <v>44326</v>
      </c>
      <c r="D239" s="9">
        <v>44330</v>
      </c>
      <c r="E239" s="14">
        <f>VLOOKUP(F239,CarrierID!A:B,2,0)</f>
        <v>8</v>
      </c>
      <c r="F239" s="15" t="s">
        <v>2</v>
      </c>
      <c r="G239" t="str">
        <f>VLOOKUP(F239,Carrier_Category!A:B,2,0)</f>
        <v>Commuter</v>
      </c>
      <c r="H239" s="5">
        <v>14</v>
      </c>
      <c r="I239" s="7">
        <f t="shared" si="13"/>
        <v>40</v>
      </c>
      <c r="J239" s="5">
        <v>528</v>
      </c>
      <c r="K239" s="18">
        <f t="shared" si="12"/>
        <v>37.714285714285715</v>
      </c>
    </row>
    <row r="240" spans="1:11" x14ac:dyDescent="0.3">
      <c r="A240" s="14">
        <v>2021</v>
      </c>
      <c r="B240" s="14">
        <f t="shared" si="11"/>
        <v>19</v>
      </c>
      <c r="C240" s="9">
        <v>44326</v>
      </c>
      <c r="D240" s="9">
        <v>44330</v>
      </c>
      <c r="E240" s="14">
        <f>VLOOKUP(F240,CarrierID!A:B,2,0)</f>
        <v>9</v>
      </c>
      <c r="F240" s="15" t="s">
        <v>3</v>
      </c>
      <c r="G240" t="str">
        <f>VLOOKUP(F240,Carrier_Category!A:B,2,0)</f>
        <v>NJT</v>
      </c>
      <c r="H240" s="5">
        <v>2227</v>
      </c>
      <c r="I240" s="7">
        <f t="shared" si="13"/>
        <v>14</v>
      </c>
      <c r="J240" s="5">
        <v>32304</v>
      </c>
      <c r="K240" s="18">
        <f t="shared" si="12"/>
        <v>14.505612932195779</v>
      </c>
    </row>
    <row r="241" spans="1:11" x14ac:dyDescent="0.3">
      <c r="A241" s="14">
        <v>2021</v>
      </c>
      <c r="B241" s="14">
        <f t="shared" si="11"/>
        <v>19</v>
      </c>
      <c r="C241" s="9">
        <v>44326</v>
      </c>
      <c r="D241" s="9">
        <v>44330</v>
      </c>
      <c r="E241" s="14">
        <f>VLOOKUP(F241,CarrierID!A:B,2,0)</f>
        <v>7</v>
      </c>
      <c r="F241" s="15" t="s">
        <v>4</v>
      </c>
      <c r="G241" t="str">
        <f>VLOOKUP(F241,Carrier_Category!A:B,2,0)</f>
        <v>Commuter</v>
      </c>
      <c r="H241" s="5">
        <v>14</v>
      </c>
      <c r="I241" s="7">
        <f t="shared" si="13"/>
        <v>2234</v>
      </c>
      <c r="J241" s="5">
        <v>350</v>
      </c>
      <c r="K241" s="18">
        <f t="shared" si="12"/>
        <v>25</v>
      </c>
    </row>
    <row r="242" spans="1:11" x14ac:dyDescent="0.3">
      <c r="A242" s="14">
        <v>2021</v>
      </c>
      <c r="B242" s="14">
        <f t="shared" si="11"/>
        <v>19</v>
      </c>
      <c r="C242" s="9">
        <v>44326</v>
      </c>
      <c r="D242" s="9">
        <v>44330</v>
      </c>
      <c r="E242" s="14">
        <f>VLOOKUP(F242,CarrierID!A:B,2,0)</f>
        <v>11</v>
      </c>
      <c r="F242" s="15" t="s">
        <v>5</v>
      </c>
      <c r="G242" t="str">
        <f>VLOOKUP(F242,Carrier_Category!A:B,2,0)</f>
        <v>Intercity</v>
      </c>
      <c r="H242" s="5">
        <v>14</v>
      </c>
      <c r="I242" s="7">
        <f t="shared" si="13"/>
        <v>14</v>
      </c>
      <c r="J242" s="5">
        <v>383</v>
      </c>
      <c r="K242" s="18">
        <f t="shared" si="12"/>
        <v>27.357142857142858</v>
      </c>
    </row>
    <row r="243" spans="1:11" x14ac:dyDescent="0.3">
      <c r="A243" s="14">
        <v>2021</v>
      </c>
      <c r="B243" s="14">
        <f t="shared" si="11"/>
        <v>19</v>
      </c>
      <c r="C243" s="9">
        <v>44326</v>
      </c>
      <c r="D243" s="9">
        <v>44330</v>
      </c>
      <c r="E243" s="14">
        <f>VLOOKUP(F243,CarrierID!A:B,2,0)</f>
        <v>3</v>
      </c>
      <c r="F243" s="15" t="s">
        <v>6</v>
      </c>
      <c r="G243" t="str">
        <f>VLOOKUP(F243,Carrier_Category!A:B,2,0)</f>
        <v>Commuter</v>
      </c>
      <c r="H243" s="5">
        <v>84</v>
      </c>
      <c r="I243" s="7">
        <f t="shared" si="13"/>
        <v>13</v>
      </c>
      <c r="J243" s="5">
        <v>1906</v>
      </c>
      <c r="K243" s="18">
        <f t="shared" si="12"/>
        <v>22.69047619047619</v>
      </c>
    </row>
    <row r="244" spans="1:11" x14ac:dyDescent="0.3">
      <c r="A244" s="14">
        <v>2021</v>
      </c>
      <c r="B244" s="14">
        <f t="shared" si="11"/>
        <v>19</v>
      </c>
      <c r="C244" s="9">
        <v>44326</v>
      </c>
      <c r="D244" s="9">
        <v>44330</v>
      </c>
      <c r="E244" s="14">
        <f>VLOOKUP(F244,CarrierID!A:B,2,0)</f>
        <v>12</v>
      </c>
      <c r="F244" s="15" t="s">
        <v>25</v>
      </c>
      <c r="G244" t="str">
        <f>VLOOKUP(F244,Carrier_Category!A:B,2,0)</f>
        <v>Commuter</v>
      </c>
      <c r="H244" s="5">
        <v>12</v>
      </c>
      <c r="I244" s="7">
        <f t="shared" si="13"/>
        <v>85</v>
      </c>
      <c r="J244" s="5">
        <v>386</v>
      </c>
      <c r="K244" s="18">
        <f t="shared" si="12"/>
        <v>32.166666666666664</v>
      </c>
    </row>
    <row r="245" spans="1:11" x14ac:dyDescent="0.3">
      <c r="A245" s="14">
        <v>2021</v>
      </c>
      <c r="B245" s="14">
        <f t="shared" si="11"/>
        <v>19</v>
      </c>
      <c r="C245" s="9">
        <v>44326</v>
      </c>
      <c r="D245" s="9">
        <v>44330</v>
      </c>
      <c r="E245" s="14">
        <f>VLOOKUP(F245,CarrierID!A:B,2,0)</f>
        <v>10</v>
      </c>
      <c r="F245" s="15" t="s">
        <v>8</v>
      </c>
      <c r="G245" t="str">
        <f>VLOOKUP(F245,Carrier_Category!A:B,2,0)</f>
        <v>Intercity</v>
      </c>
      <c r="H245" s="5">
        <v>20</v>
      </c>
      <c r="I245" s="7">
        <f t="shared" si="13"/>
        <v>12</v>
      </c>
      <c r="J245" s="5">
        <v>632</v>
      </c>
      <c r="K245" s="18">
        <f t="shared" si="12"/>
        <v>31.6</v>
      </c>
    </row>
    <row r="246" spans="1:11" x14ac:dyDescent="0.3">
      <c r="A246" s="14">
        <v>2021</v>
      </c>
      <c r="B246" s="14">
        <f t="shared" si="11"/>
        <v>19</v>
      </c>
      <c r="C246" s="9">
        <v>44326</v>
      </c>
      <c r="D246" s="9">
        <v>44330</v>
      </c>
      <c r="E246" s="14">
        <f>VLOOKUP(F246,CarrierID!A:B,2,0)</f>
        <v>6</v>
      </c>
      <c r="F246" s="15" t="s">
        <v>9</v>
      </c>
      <c r="G246" t="str">
        <f>VLOOKUP(F246,Carrier_Category!A:B,2,0)</f>
        <v>Commuter</v>
      </c>
      <c r="H246" s="5">
        <v>85</v>
      </c>
      <c r="I246" s="7">
        <f t="shared" si="13"/>
        <v>19</v>
      </c>
      <c r="J246" s="5">
        <v>1369</v>
      </c>
      <c r="K246" s="18">
        <f t="shared" si="12"/>
        <v>16.105882352941176</v>
      </c>
    </row>
    <row r="247" spans="1:11" x14ac:dyDescent="0.3">
      <c r="A247" s="14">
        <v>2021</v>
      </c>
      <c r="B247" s="14">
        <f t="shared" si="11"/>
        <v>20</v>
      </c>
      <c r="C247" s="9">
        <v>44333</v>
      </c>
      <c r="D247" s="9">
        <v>44337</v>
      </c>
      <c r="E247" s="14">
        <f>VLOOKUP(F247,CarrierID!A:B,2,0)</f>
        <v>1</v>
      </c>
      <c r="F247" s="15" t="s">
        <v>0</v>
      </c>
      <c r="G247" t="str">
        <f>VLOOKUP(F247,Carrier_Category!A:B,2,0)</f>
        <v>Commuter</v>
      </c>
      <c r="H247" s="5">
        <v>36</v>
      </c>
      <c r="I247" s="7">
        <f t="shared" si="13"/>
        <v>91</v>
      </c>
      <c r="J247" s="5">
        <v>699</v>
      </c>
      <c r="K247" s="18">
        <f t="shared" si="12"/>
        <v>19.416666666666668</v>
      </c>
    </row>
    <row r="248" spans="1:11" x14ac:dyDescent="0.3">
      <c r="A248" s="14">
        <v>2021</v>
      </c>
      <c r="B248" s="14">
        <f t="shared" si="11"/>
        <v>20</v>
      </c>
      <c r="C248" s="9">
        <v>44333</v>
      </c>
      <c r="D248" s="9">
        <v>44337</v>
      </c>
      <c r="E248" s="14">
        <f>VLOOKUP(F248,CarrierID!A:B,2,0)</f>
        <v>5</v>
      </c>
      <c r="F248" s="15" t="s">
        <v>1</v>
      </c>
      <c r="G248" t="str">
        <f>VLOOKUP(F248,Carrier_Category!A:B,2,0)</f>
        <v>Intercity</v>
      </c>
      <c r="H248" s="5">
        <v>43</v>
      </c>
      <c r="I248" s="7">
        <f t="shared" si="13"/>
        <v>36</v>
      </c>
      <c r="J248" s="5">
        <v>1277</v>
      </c>
      <c r="K248" s="18">
        <f t="shared" si="12"/>
        <v>29.697674418604652</v>
      </c>
    </row>
    <row r="249" spans="1:11" x14ac:dyDescent="0.3">
      <c r="A249" s="14">
        <v>2021</v>
      </c>
      <c r="B249" s="14">
        <f t="shared" si="11"/>
        <v>20</v>
      </c>
      <c r="C249" s="9">
        <v>44333</v>
      </c>
      <c r="D249" s="9">
        <v>44337</v>
      </c>
      <c r="E249" s="14">
        <f>VLOOKUP(F249,CarrierID!A:B,2,0)</f>
        <v>8</v>
      </c>
      <c r="F249" s="15" t="s">
        <v>2</v>
      </c>
      <c r="G249" t="str">
        <f>VLOOKUP(F249,Carrier_Category!A:B,2,0)</f>
        <v>Commuter</v>
      </c>
      <c r="H249" s="5">
        <v>14</v>
      </c>
      <c r="I249" s="7">
        <f t="shared" si="13"/>
        <v>41</v>
      </c>
      <c r="J249" s="5">
        <v>541</v>
      </c>
      <c r="K249" s="18">
        <f t="shared" si="12"/>
        <v>38.642857142857146</v>
      </c>
    </row>
    <row r="250" spans="1:11" x14ac:dyDescent="0.3">
      <c r="A250" s="14">
        <v>2021</v>
      </c>
      <c r="B250" s="14">
        <f t="shared" si="11"/>
        <v>20</v>
      </c>
      <c r="C250" s="9">
        <v>44333</v>
      </c>
      <c r="D250" s="9">
        <v>44337</v>
      </c>
      <c r="E250" s="14">
        <f>VLOOKUP(F250,CarrierID!A:B,2,0)</f>
        <v>9</v>
      </c>
      <c r="F250" s="15" t="s">
        <v>3</v>
      </c>
      <c r="G250" t="str">
        <f>VLOOKUP(F250,Carrier_Category!A:B,2,0)</f>
        <v>NJT</v>
      </c>
      <c r="H250" s="5">
        <v>2118</v>
      </c>
      <c r="I250" s="7">
        <f t="shared" si="13"/>
        <v>14</v>
      </c>
      <c r="J250" s="5">
        <v>33781</v>
      </c>
      <c r="K250" s="18">
        <f t="shared" si="12"/>
        <v>15.949480642115203</v>
      </c>
    </row>
    <row r="251" spans="1:11" x14ac:dyDescent="0.3">
      <c r="A251" s="14">
        <v>2021</v>
      </c>
      <c r="B251" s="14">
        <f t="shared" si="11"/>
        <v>20</v>
      </c>
      <c r="C251" s="9">
        <v>44333</v>
      </c>
      <c r="D251" s="9">
        <v>44337</v>
      </c>
      <c r="E251" s="14">
        <f>VLOOKUP(F251,CarrierID!A:B,2,0)</f>
        <v>7</v>
      </c>
      <c r="F251" s="15" t="s">
        <v>4</v>
      </c>
      <c r="G251" t="str">
        <f>VLOOKUP(F251,Carrier_Category!A:B,2,0)</f>
        <v>Commuter</v>
      </c>
      <c r="H251" s="5">
        <v>14</v>
      </c>
      <c r="I251" s="7">
        <f t="shared" si="13"/>
        <v>2227</v>
      </c>
      <c r="J251" s="5">
        <v>374</v>
      </c>
      <c r="K251" s="18">
        <f t="shared" si="12"/>
        <v>26.714285714285715</v>
      </c>
    </row>
    <row r="252" spans="1:11" x14ac:dyDescent="0.3">
      <c r="A252" s="14">
        <v>2021</v>
      </c>
      <c r="B252" s="14">
        <f t="shared" si="11"/>
        <v>20</v>
      </c>
      <c r="C252" s="9">
        <v>44333</v>
      </c>
      <c r="D252" s="9">
        <v>44337</v>
      </c>
      <c r="E252" s="14">
        <f>VLOOKUP(F252,CarrierID!A:B,2,0)</f>
        <v>11</v>
      </c>
      <c r="F252" s="15" t="s">
        <v>5</v>
      </c>
      <c r="G252" t="str">
        <f>VLOOKUP(F252,Carrier_Category!A:B,2,0)</f>
        <v>Intercity</v>
      </c>
      <c r="H252" s="5">
        <v>13</v>
      </c>
      <c r="I252" s="7">
        <f t="shared" si="13"/>
        <v>14</v>
      </c>
      <c r="J252" s="5">
        <v>405</v>
      </c>
      <c r="K252" s="18">
        <f t="shared" si="12"/>
        <v>31.153846153846153</v>
      </c>
    </row>
    <row r="253" spans="1:11" x14ac:dyDescent="0.3">
      <c r="A253" s="14">
        <v>2021</v>
      </c>
      <c r="B253" s="14">
        <f t="shared" si="11"/>
        <v>20</v>
      </c>
      <c r="C253" s="9">
        <v>44333</v>
      </c>
      <c r="D253" s="9">
        <v>44337</v>
      </c>
      <c r="E253" s="14">
        <f>VLOOKUP(F253,CarrierID!A:B,2,0)</f>
        <v>3</v>
      </c>
      <c r="F253" s="15" t="s">
        <v>6</v>
      </c>
      <c r="G253" t="str">
        <f>VLOOKUP(F253,Carrier_Category!A:B,2,0)</f>
        <v>Commuter</v>
      </c>
      <c r="H253" s="5">
        <v>84</v>
      </c>
      <c r="I253" s="7">
        <f t="shared" si="13"/>
        <v>14</v>
      </c>
      <c r="J253" s="5">
        <v>1929</v>
      </c>
      <c r="K253" s="18">
        <f t="shared" si="12"/>
        <v>22.964285714285715</v>
      </c>
    </row>
    <row r="254" spans="1:11" x14ac:dyDescent="0.3">
      <c r="A254" s="14">
        <v>2021</v>
      </c>
      <c r="B254" s="14">
        <f t="shared" si="11"/>
        <v>20</v>
      </c>
      <c r="C254" s="9">
        <v>44333</v>
      </c>
      <c r="D254" s="9">
        <v>44337</v>
      </c>
      <c r="E254" s="14">
        <f>VLOOKUP(F254,CarrierID!A:B,2,0)</f>
        <v>12</v>
      </c>
      <c r="F254" s="15" t="s">
        <v>25</v>
      </c>
      <c r="G254" t="str">
        <f>VLOOKUP(F254,Carrier_Category!A:B,2,0)</f>
        <v>Commuter</v>
      </c>
      <c r="H254" s="5">
        <v>12</v>
      </c>
      <c r="I254" s="7">
        <f t="shared" si="13"/>
        <v>84</v>
      </c>
      <c r="J254" s="5">
        <v>399</v>
      </c>
      <c r="K254" s="18">
        <f t="shared" si="12"/>
        <v>33.25</v>
      </c>
    </row>
    <row r="255" spans="1:11" x14ac:dyDescent="0.3">
      <c r="A255" s="14">
        <v>2021</v>
      </c>
      <c r="B255" s="14">
        <f t="shared" si="11"/>
        <v>20</v>
      </c>
      <c r="C255" s="9">
        <v>44333</v>
      </c>
      <c r="D255" s="9">
        <v>44337</v>
      </c>
      <c r="E255" s="14">
        <f>VLOOKUP(F255,CarrierID!A:B,2,0)</f>
        <v>10</v>
      </c>
      <c r="F255" s="15" t="s">
        <v>8</v>
      </c>
      <c r="G255" t="str">
        <f>VLOOKUP(F255,Carrier_Category!A:B,2,0)</f>
        <v>Intercity</v>
      </c>
      <c r="H255" s="5">
        <v>24</v>
      </c>
      <c r="I255" s="7">
        <f t="shared" si="13"/>
        <v>12</v>
      </c>
      <c r="J255" s="5">
        <v>740</v>
      </c>
      <c r="K255" s="18">
        <f t="shared" si="12"/>
        <v>30.833333333333332</v>
      </c>
    </row>
    <row r="256" spans="1:11" x14ac:dyDescent="0.3">
      <c r="A256" s="14">
        <v>2021</v>
      </c>
      <c r="B256" s="14">
        <f t="shared" si="11"/>
        <v>20</v>
      </c>
      <c r="C256" s="9">
        <v>44333</v>
      </c>
      <c r="D256" s="9">
        <v>44337</v>
      </c>
      <c r="E256" s="14">
        <f>VLOOKUP(F256,CarrierID!A:B,2,0)</f>
        <v>6</v>
      </c>
      <c r="F256" s="15" t="s">
        <v>9</v>
      </c>
      <c r="G256" t="str">
        <f>VLOOKUP(F256,Carrier_Category!A:B,2,0)</f>
        <v>Commuter</v>
      </c>
      <c r="H256" s="5">
        <v>88</v>
      </c>
      <c r="I256" s="7">
        <f t="shared" si="13"/>
        <v>20</v>
      </c>
      <c r="J256" s="5">
        <v>1322</v>
      </c>
      <c r="K256" s="18">
        <f t="shared" si="12"/>
        <v>15.022727272727273</v>
      </c>
    </row>
    <row r="257" spans="1:11" x14ac:dyDescent="0.3">
      <c r="A257" s="14">
        <v>2021</v>
      </c>
      <c r="B257" s="14">
        <f t="shared" si="11"/>
        <v>21</v>
      </c>
      <c r="C257" s="9">
        <v>44340</v>
      </c>
      <c r="D257" s="9">
        <v>44344</v>
      </c>
      <c r="E257" s="14">
        <f>VLOOKUP(F257,CarrierID!A:B,2,0)</f>
        <v>1</v>
      </c>
      <c r="F257" s="15" t="s">
        <v>0</v>
      </c>
      <c r="G257" t="str">
        <f>VLOOKUP(F257,Carrier_Category!A:B,2,0)</f>
        <v>Commuter</v>
      </c>
      <c r="H257" s="5">
        <v>36</v>
      </c>
      <c r="I257" s="7">
        <f t="shared" si="13"/>
        <v>85</v>
      </c>
      <c r="J257" s="5">
        <v>699</v>
      </c>
      <c r="K257" s="18">
        <f t="shared" si="12"/>
        <v>19.416666666666668</v>
      </c>
    </row>
    <row r="258" spans="1:11" x14ac:dyDescent="0.3">
      <c r="A258" s="14">
        <v>2021</v>
      </c>
      <c r="B258" s="14">
        <f t="shared" si="11"/>
        <v>21</v>
      </c>
      <c r="C258" s="9">
        <v>44340</v>
      </c>
      <c r="D258" s="9">
        <v>44344</v>
      </c>
      <c r="E258" s="14">
        <f>VLOOKUP(F258,CarrierID!A:B,2,0)</f>
        <v>5</v>
      </c>
      <c r="F258" s="15" t="s">
        <v>1</v>
      </c>
      <c r="G258" t="str">
        <f>VLOOKUP(F258,Carrier_Category!A:B,2,0)</f>
        <v>Intercity</v>
      </c>
      <c r="H258" s="5">
        <v>51</v>
      </c>
      <c r="I258" s="7">
        <f t="shared" si="13"/>
        <v>36</v>
      </c>
      <c r="J258" s="5">
        <v>1492</v>
      </c>
      <c r="K258" s="18">
        <f t="shared" si="12"/>
        <v>29.254901960784313</v>
      </c>
    </row>
    <row r="259" spans="1:11" x14ac:dyDescent="0.3">
      <c r="A259" s="14">
        <v>2021</v>
      </c>
      <c r="B259" s="14">
        <f t="shared" si="11"/>
        <v>21</v>
      </c>
      <c r="C259" s="9">
        <v>44340</v>
      </c>
      <c r="D259" s="9">
        <v>44344</v>
      </c>
      <c r="E259" s="14">
        <f>VLOOKUP(F259,CarrierID!A:B,2,0)</f>
        <v>8</v>
      </c>
      <c r="F259" s="15" t="s">
        <v>2</v>
      </c>
      <c r="G259" t="str">
        <f>VLOOKUP(F259,Carrier_Category!A:B,2,0)</f>
        <v>Commuter</v>
      </c>
      <c r="H259" s="5">
        <v>15</v>
      </c>
      <c r="I259" s="7">
        <f t="shared" si="13"/>
        <v>43</v>
      </c>
      <c r="J259" s="5">
        <v>570</v>
      </c>
      <c r="K259" s="18">
        <f t="shared" si="12"/>
        <v>38</v>
      </c>
    </row>
    <row r="260" spans="1:11" x14ac:dyDescent="0.3">
      <c r="A260" s="14">
        <v>2021</v>
      </c>
      <c r="B260" s="14">
        <f t="shared" si="11"/>
        <v>21</v>
      </c>
      <c r="C260" s="9">
        <v>44340</v>
      </c>
      <c r="D260" s="9">
        <v>44344</v>
      </c>
      <c r="E260" s="14">
        <f>VLOOKUP(F260,CarrierID!A:B,2,0)</f>
        <v>9</v>
      </c>
      <c r="F260" s="15" t="s">
        <v>3</v>
      </c>
      <c r="G260" t="str">
        <f>VLOOKUP(F260,Carrier_Category!A:B,2,0)</f>
        <v>NJT</v>
      </c>
      <c r="H260" s="5">
        <v>2245</v>
      </c>
      <c r="I260" s="7">
        <f t="shared" si="13"/>
        <v>14</v>
      </c>
      <c r="J260" s="5">
        <v>34615</v>
      </c>
      <c r="K260" s="18">
        <f t="shared" si="12"/>
        <v>15.418708240534521</v>
      </c>
    </row>
    <row r="261" spans="1:11" x14ac:dyDescent="0.3">
      <c r="A261" s="14">
        <v>2021</v>
      </c>
      <c r="B261" s="14">
        <f t="shared" ref="B261:B324" si="14">_xlfn.ISOWEEKNUM(C261)</f>
        <v>21</v>
      </c>
      <c r="C261" s="9">
        <v>44340</v>
      </c>
      <c r="D261" s="9">
        <v>44344</v>
      </c>
      <c r="E261" s="14">
        <f>VLOOKUP(F261,CarrierID!A:B,2,0)</f>
        <v>7</v>
      </c>
      <c r="F261" s="15" t="s">
        <v>4</v>
      </c>
      <c r="G261" t="str">
        <f>VLOOKUP(F261,Carrier_Category!A:B,2,0)</f>
        <v>Commuter</v>
      </c>
      <c r="H261" s="5">
        <v>14</v>
      </c>
      <c r="I261" s="7">
        <f t="shared" si="13"/>
        <v>2118</v>
      </c>
      <c r="J261" s="5">
        <v>395</v>
      </c>
      <c r="K261" s="18">
        <f t="shared" ref="K261:K324" si="15">J261/H261</f>
        <v>28.214285714285715</v>
      </c>
    </row>
    <row r="262" spans="1:11" x14ac:dyDescent="0.3">
      <c r="A262" s="14">
        <v>2021</v>
      </c>
      <c r="B262" s="14">
        <f t="shared" si="14"/>
        <v>21</v>
      </c>
      <c r="C262" s="9">
        <v>44340</v>
      </c>
      <c r="D262" s="9">
        <v>44344</v>
      </c>
      <c r="E262" s="14">
        <f>VLOOKUP(F262,CarrierID!A:B,2,0)</f>
        <v>11</v>
      </c>
      <c r="F262" s="15" t="s">
        <v>5</v>
      </c>
      <c r="G262" t="str">
        <f>VLOOKUP(F262,Carrier_Category!A:B,2,0)</f>
        <v>Intercity</v>
      </c>
      <c r="H262" s="5">
        <v>15</v>
      </c>
      <c r="I262" s="7">
        <f t="shared" si="13"/>
        <v>14</v>
      </c>
      <c r="J262" s="5">
        <v>409</v>
      </c>
      <c r="K262" s="18">
        <f t="shared" si="15"/>
        <v>27.266666666666666</v>
      </c>
    </row>
    <row r="263" spans="1:11" x14ac:dyDescent="0.3">
      <c r="A263" s="14">
        <v>2021</v>
      </c>
      <c r="B263" s="14">
        <f t="shared" si="14"/>
        <v>21</v>
      </c>
      <c r="C263" s="9">
        <v>44340</v>
      </c>
      <c r="D263" s="9">
        <v>44344</v>
      </c>
      <c r="E263" s="14">
        <f>VLOOKUP(F263,CarrierID!A:B,2,0)</f>
        <v>3</v>
      </c>
      <c r="F263" s="15" t="s">
        <v>6</v>
      </c>
      <c r="G263" t="str">
        <f>VLOOKUP(F263,Carrier_Category!A:B,2,0)</f>
        <v>Commuter</v>
      </c>
      <c r="H263" s="5">
        <v>86</v>
      </c>
      <c r="I263" s="7">
        <f t="shared" si="13"/>
        <v>13</v>
      </c>
      <c r="J263" s="5">
        <v>2003</v>
      </c>
      <c r="K263" s="18">
        <f t="shared" si="15"/>
        <v>23.290697674418606</v>
      </c>
    </row>
    <row r="264" spans="1:11" x14ac:dyDescent="0.3">
      <c r="A264" s="14">
        <v>2021</v>
      </c>
      <c r="B264" s="14">
        <f t="shared" si="14"/>
        <v>21</v>
      </c>
      <c r="C264" s="9">
        <v>44340</v>
      </c>
      <c r="D264" s="9">
        <v>44344</v>
      </c>
      <c r="E264" s="14">
        <f>VLOOKUP(F264,CarrierID!A:B,2,0)</f>
        <v>12</v>
      </c>
      <c r="F264" s="15" t="s">
        <v>25</v>
      </c>
      <c r="G264" t="str">
        <f>VLOOKUP(F264,Carrier_Category!A:B,2,0)</f>
        <v>Commuter</v>
      </c>
      <c r="H264" s="5">
        <v>12</v>
      </c>
      <c r="I264" s="7">
        <f t="shared" si="13"/>
        <v>84</v>
      </c>
      <c r="J264" s="5">
        <v>426</v>
      </c>
      <c r="K264" s="18">
        <f t="shared" si="15"/>
        <v>35.5</v>
      </c>
    </row>
    <row r="265" spans="1:11" x14ac:dyDescent="0.3">
      <c r="A265" s="14">
        <v>2021</v>
      </c>
      <c r="B265" s="14">
        <f t="shared" si="14"/>
        <v>21</v>
      </c>
      <c r="C265" s="9">
        <v>44340</v>
      </c>
      <c r="D265" s="9">
        <v>44344</v>
      </c>
      <c r="E265" s="14">
        <f>VLOOKUP(F265,CarrierID!A:B,2,0)</f>
        <v>10</v>
      </c>
      <c r="F265" s="15" t="s">
        <v>8</v>
      </c>
      <c r="G265" t="str">
        <f>VLOOKUP(F265,Carrier_Category!A:B,2,0)</f>
        <v>Intercity</v>
      </c>
      <c r="H265" s="5">
        <v>21</v>
      </c>
      <c r="I265" s="7">
        <f t="shared" si="13"/>
        <v>12</v>
      </c>
      <c r="J265" s="5">
        <v>619</v>
      </c>
      <c r="K265" s="18">
        <f t="shared" si="15"/>
        <v>29.476190476190474</v>
      </c>
    </row>
    <row r="266" spans="1:11" x14ac:dyDescent="0.3">
      <c r="A266" s="14">
        <v>2021</v>
      </c>
      <c r="B266" s="14">
        <f t="shared" si="14"/>
        <v>21</v>
      </c>
      <c r="C266" s="9">
        <v>44340</v>
      </c>
      <c r="D266" s="9">
        <v>44344</v>
      </c>
      <c r="E266" s="14">
        <f>VLOOKUP(F266,CarrierID!A:B,2,0)</f>
        <v>6</v>
      </c>
      <c r="F266" s="15" t="s">
        <v>9</v>
      </c>
      <c r="G266" t="str">
        <f>VLOOKUP(F266,Carrier_Category!A:B,2,0)</f>
        <v>Commuter</v>
      </c>
      <c r="H266" s="5">
        <v>88</v>
      </c>
      <c r="I266" s="7">
        <f t="shared" si="13"/>
        <v>24</v>
      </c>
      <c r="J266" s="5">
        <v>1322</v>
      </c>
      <c r="K266" s="18">
        <f t="shared" si="15"/>
        <v>15.022727272727273</v>
      </c>
    </row>
    <row r="267" spans="1:11" x14ac:dyDescent="0.3">
      <c r="A267" s="14">
        <v>2021</v>
      </c>
      <c r="B267" s="14">
        <f t="shared" si="14"/>
        <v>22</v>
      </c>
      <c r="C267" s="9">
        <v>44347</v>
      </c>
      <c r="D267" s="9">
        <v>44351</v>
      </c>
      <c r="E267" s="14">
        <f>VLOOKUP(F267,CarrierID!A:B,2,0)</f>
        <v>1</v>
      </c>
      <c r="F267" s="15" t="s">
        <v>0</v>
      </c>
      <c r="G267" t="str">
        <f>VLOOKUP(F267,Carrier_Category!A:B,2,0)</f>
        <v>Commuter</v>
      </c>
      <c r="H267" s="5">
        <v>36</v>
      </c>
      <c r="I267" s="7">
        <f t="shared" si="13"/>
        <v>88</v>
      </c>
      <c r="J267" s="5">
        <v>763</v>
      </c>
      <c r="K267" s="18">
        <f t="shared" si="15"/>
        <v>21.194444444444443</v>
      </c>
    </row>
    <row r="268" spans="1:11" x14ac:dyDescent="0.3">
      <c r="A268" s="14">
        <v>2021</v>
      </c>
      <c r="B268" s="14">
        <f t="shared" si="14"/>
        <v>22</v>
      </c>
      <c r="C268" s="9">
        <v>44347</v>
      </c>
      <c r="D268" s="9">
        <v>44351</v>
      </c>
      <c r="E268" s="14">
        <f>VLOOKUP(F268,CarrierID!A:B,2,0)</f>
        <v>5</v>
      </c>
      <c r="F268" s="15" t="s">
        <v>1</v>
      </c>
      <c r="G268" t="str">
        <f>VLOOKUP(F268,Carrier_Category!A:B,2,0)</f>
        <v>Intercity</v>
      </c>
      <c r="H268" s="5">
        <v>54</v>
      </c>
      <c r="I268" s="7">
        <f t="shared" si="13"/>
        <v>36</v>
      </c>
      <c r="J268" s="5">
        <v>1494</v>
      </c>
      <c r="K268" s="18">
        <f t="shared" si="15"/>
        <v>27.666666666666668</v>
      </c>
    </row>
    <row r="269" spans="1:11" x14ac:dyDescent="0.3">
      <c r="A269" s="14">
        <v>2021</v>
      </c>
      <c r="B269" s="14">
        <f t="shared" si="14"/>
        <v>22</v>
      </c>
      <c r="C269" s="9">
        <v>44347</v>
      </c>
      <c r="D269" s="9">
        <v>44351</v>
      </c>
      <c r="E269" s="14">
        <f>VLOOKUP(F269,CarrierID!A:B,2,0)</f>
        <v>8</v>
      </c>
      <c r="F269" s="15" t="s">
        <v>2</v>
      </c>
      <c r="G269" t="str">
        <f>VLOOKUP(F269,Carrier_Category!A:B,2,0)</f>
        <v>Commuter</v>
      </c>
      <c r="H269" s="5">
        <v>15</v>
      </c>
      <c r="I269" s="7">
        <f t="shared" ref="I269:I332" si="16">H258</f>
        <v>51</v>
      </c>
      <c r="J269" s="5">
        <v>573</v>
      </c>
      <c r="K269" s="18">
        <f t="shared" si="15"/>
        <v>38.200000000000003</v>
      </c>
    </row>
    <row r="270" spans="1:11" x14ac:dyDescent="0.3">
      <c r="A270" s="14">
        <v>2021</v>
      </c>
      <c r="B270" s="14">
        <f t="shared" si="14"/>
        <v>22</v>
      </c>
      <c r="C270" s="9">
        <v>44347</v>
      </c>
      <c r="D270" s="9">
        <v>44351</v>
      </c>
      <c r="E270" s="14">
        <f>VLOOKUP(F270,CarrierID!A:B,2,0)</f>
        <v>9</v>
      </c>
      <c r="F270" s="15" t="s">
        <v>3</v>
      </c>
      <c r="G270" t="str">
        <f>VLOOKUP(F270,Carrier_Category!A:B,2,0)</f>
        <v>NJT</v>
      </c>
      <c r="H270" s="5">
        <v>2238</v>
      </c>
      <c r="I270" s="7">
        <f t="shared" si="16"/>
        <v>15</v>
      </c>
      <c r="J270" s="5">
        <v>35698</v>
      </c>
      <c r="K270" s="18">
        <f t="shared" si="15"/>
        <v>15.950848972296694</v>
      </c>
    </row>
    <row r="271" spans="1:11" x14ac:dyDescent="0.3">
      <c r="A271" s="14">
        <v>2021</v>
      </c>
      <c r="B271" s="14">
        <f t="shared" si="14"/>
        <v>22</v>
      </c>
      <c r="C271" s="9">
        <v>44347</v>
      </c>
      <c r="D271" s="9">
        <v>44351</v>
      </c>
      <c r="E271" s="14">
        <f>VLOOKUP(F271,CarrierID!A:B,2,0)</f>
        <v>7</v>
      </c>
      <c r="F271" s="15" t="s">
        <v>4</v>
      </c>
      <c r="G271" t="str">
        <f>VLOOKUP(F271,Carrier_Category!A:B,2,0)</f>
        <v>Commuter</v>
      </c>
      <c r="H271" s="5">
        <v>14</v>
      </c>
      <c r="I271" s="7">
        <f t="shared" si="16"/>
        <v>2245</v>
      </c>
      <c r="J271" s="5">
        <v>403</v>
      </c>
      <c r="K271" s="18">
        <f t="shared" si="15"/>
        <v>28.785714285714285</v>
      </c>
    </row>
    <row r="272" spans="1:11" x14ac:dyDescent="0.3">
      <c r="A272" s="14">
        <v>2021</v>
      </c>
      <c r="B272" s="14">
        <f t="shared" si="14"/>
        <v>22</v>
      </c>
      <c r="C272" s="9">
        <v>44347</v>
      </c>
      <c r="D272" s="9">
        <v>44351</v>
      </c>
      <c r="E272" s="14">
        <f>VLOOKUP(F272,CarrierID!A:B,2,0)</f>
        <v>11</v>
      </c>
      <c r="F272" s="15" t="s">
        <v>5</v>
      </c>
      <c r="G272" t="str">
        <f>VLOOKUP(F272,Carrier_Category!A:B,2,0)</f>
        <v>Intercity</v>
      </c>
      <c r="H272" s="5">
        <v>16</v>
      </c>
      <c r="I272" s="7">
        <f t="shared" si="16"/>
        <v>14</v>
      </c>
      <c r="J272" s="5">
        <v>398</v>
      </c>
      <c r="K272" s="18">
        <f t="shared" si="15"/>
        <v>24.875</v>
      </c>
    </row>
    <row r="273" spans="1:11" x14ac:dyDescent="0.3">
      <c r="A273" s="14">
        <v>2021</v>
      </c>
      <c r="B273" s="14">
        <f t="shared" si="14"/>
        <v>22</v>
      </c>
      <c r="C273" s="9">
        <v>44347</v>
      </c>
      <c r="D273" s="9">
        <v>44351</v>
      </c>
      <c r="E273" s="14">
        <f>VLOOKUP(F273,CarrierID!A:B,2,0)</f>
        <v>3</v>
      </c>
      <c r="F273" s="15" t="s">
        <v>6</v>
      </c>
      <c r="G273" t="str">
        <f>VLOOKUP(F273,Carrier_Category!A:B,2,0)</f>
        <v>Commuter</v>
      </c>
      <c r="H273" s="5">
        <v>87</v>
      </c>
      <c r="I273" s="7">
        <f t="shared" si="16"/>
        <v>15</v>
      </c>
      <c r="J273" s="5">
        <v>2076</v>
      </c>
      <c r="K273" s="18">
        <f t="shared" si="15"/>
        <v>23.862068965517242</v>
      </c>
    </row>
    <row r="274" spans="1:11" x14ac:dyDescent="0.3">
      <c r="A274" s="14">
        <v>2021</v>
      </c>
      <c r="B274" s="14">
        <f t="shared" si="14"/>
        <v>22</v>
      </c>
      <c r="C274" s="9">
        <v>44347</v>
      </c>
      <c r="D274" s="9">
        <v>44351</v>
      </c>
      <c r="E274" s="14">
        <f>VLOOKUP(F274,CarrierID!A:B,2,0)</f>
        <v>12</v>
      </c>
      <c r="F274" s="15" t="s">
        <v>25</v>
      </c>
      <c r="G274" t="str">
        <f>VLOOKUP(F274,Carrier_Category!A:B,2,0)</f>
        <v>Commuter</v>
      </c>
      <c r="H274" s="5">
        <v>12</v>
      </c>
      <c r="I274" s="7">
        <f t="shared" si="16"/>
        <v>86</v>
      </c>
      <c r="J274" s="5">
        <v>421</v>
      </c>
      <c r="K274" s="18">
        <f t="shared" si="15"/>
        <v>35.083333333333336</v>
      </c>
    </row>
    <row r="275" spans="1:11" x14ac:dyDescent="0.3">
      <c r="A275" s="14">
        <v>2021</v>
      </c>
      <c r="B275" s="14">
        <f t="shared" si="14"/>
        <v>22</v>
      </c>
      <c r="C275" s="9">
        <v>44347</v>
      </c>
      <c r="D275" s="9">
        <v>44351</v>
      </c>
      <c r="E275" s="14">
        <f>VLOOKUP(F275,CarrierID!A:B,2,0)</f>
        <v>10</v>
      </c>
      <c r="F275" s="15" t="s">
        <v>8</v>
      </c>
      <c r="G275" t="str">
        <f>VLOOKUP(F275,Carrier_Category!A:B,2,0)</f>
        <v>Intercity</v>
      </c>
      <c r="H275" s="5">
        <v>27.4</v>
      </c>
      <c r="I275" s="7">
        <f t="shared" si="16"/>
        <v>12</v>
      </c>
      <c r="J275" s="5">
        <v>785</v>
      </c>
      <c r="K275" s="18">
        <f t="shared" si="15"/>
        <v>28.649635036496353</v>
      </c>
    </row>
    <row r="276" spans="1:11" x14ac:dyDescent="0.3">
      <c r="A276" s="14">
        <v>2021</v>
      </c>
      <c r="B276" s="14">
        <f t="shared" si="14"/>
        <v>22</v>
      </c>
      <c r="C276" s="9">
        <v>44347</v>
      </c>
      <c r="D276" s="9">
        <v>44351</v>
      </c>
      <c r="E276" s="14">
        <f>VLOOKUP(F276,CarrierID!A:B,2,0)</f>
        <v>6</v>
      </c>
      <c r="F276" s="15" t="s">
        <v>9</v>
      </c>
      <c r="G276" t="str">
        <f>VLOOKUP(F276,Carrier_Category!A:B,2,0)</f>
        <v>Commuter</v>
      </c>
      <c r="H276" s="5">
        <v>88</v>
      </c>
      <c r="I276" s="7">
        <f t="shared" si="16"/>
        <v>21</v>
      </c>
      <c r="J276" s="5">
        <v>1322</v>
      </c>
      <c r="K276" s="18">
        <f t="shared" si="15"/>
        <v>15.022727272727273</v>
      </c>
    </row>
    <row r="277" spans="1:11" x14ac:dyDescent="0.3">
      <c r="A277" s="14">
        <v>2021</v>
      </c>
      <c r="B277" s="14">
        <f t="shared" si="14"/>
        <v>23</v>
      </c>
      <c r="C277" s="9">
        <v>44354</v>
      </c>
      <c r="D277" s="9">
        <v>44358</v>
      </c>
      <c r="E277" s="14">
        <f>VLOOKUP(F277,CarrierID!A:B,2,0)</f>
        <v>1</v>
      </c>
      <c r="F277" s="15" t="s">
        <v>0</v>
      </c>
      <c r="G277" t="str">
        <f>VLOOKUP(F277,Carrier_Category!A:B,2,0)</f>
        <v>Commuter</v>
      </c>
      <c r="H277" s="5">
        <v>36</v>
      </c>
      <c r="I277" s="7">
        <f t="shared" si="16"/>
        <v>88</v>
      </c>
      <c r="J277" s="5">
        <v>763</v>
      </c>
      <c r="K277" s="18">
        <f t="shared" si="15"/>
        <v>21.194444444444443</v>
      </c>
    </row>
    <row r="278" spans="1:11" x14ac:dyDescent="0.3">
      <c r="A278" s="14">
        <v>2021</v>
      </c>
      <c r="B278" s="14">
        <f t="shared" si="14"/>
        <v>23</v>
      </c>
      <c r="C278" s="9">
        <v>44354</v>
      </c>
      <c r="D278" s="9">
        <v>44358</v>
      </c>
      <c r="E278" s="14">
        <f>VLOOKUP(F278,CarrierID!A:B,2,0)</f>
        <v>5</v>
      </c>
      <c r="F278" s="15" t="s">
        <v>1</v>
      </c>
      <c r="G278" t="str">
        <f>VLOOKUP(F278,Carrier_Category!A:B,2,0)</f>
        <v>Intercity</v>
      </c>
      <c r="H278" s="5">
        <v>51</v>
      </c>
      <c r="I278" s="7">
        <f t="shared" si="16"/>
        <v>36</v>
      </c>
      <c r="J278" s="5">
        <v>1384</v>
      </c>
      <c r="K278" s="18">
        <f t="shared" si="15"/>
        <v>27.137254901960784</v>
      </c>
    </row>
    <row r="279" spans="1:11" x14ac:dyDescent="0.3">
      <c r="A279" s="14">
        <v>2021</v>
      </c>
      <c r="B279" s="14">
        <f t="shared" si="14"/>
        <v>23</v>
      </c>
      <c r="C279" s="9">
        <v>44354</v>
      </c>
      <c r="D279" s="9">
        <v>44358</v>
      </c>
      <c r="E279" s="14">
        <f>VLOOKUP(F279,CarrierID!A:B,2,0)</f>
        <v>8</v>
      </c>
      <c r="F279" s="15" t="s">
        <v>2</v>
      </c>
      <c r="G279" t="str">
        <f>VLOOKUP(F279,Carrier_Category!A:B,2,0)</f>
        <v>Commuter</v>
      </c>
      <c r="H279" s="5">
        <v>15</v>
      </c>
      <c r="I279" s="7">
        <f t="shared" si="16"/>
        <v>54</v>
      </c>
      <c r="J279" s="5">
        <v>610</v>
      </c>
      <c r="K279" s="18">
        <f t="shared" si="15"/>
        <v>40.666666666666664</v>
      </c>
    </row>
    <row r="280" spans="1:11" x14ac:dyDescent="0.3">
      <c r="A280" s="14">
        <v>2021</v>
      </c>
      <c r="B280" s="14">
        <f t="shared" si="14"/>
        <v>23</v>
      </c>
      <c r="C280" s="9">
        <v>44354</v>
      </c>
      <c r="D280" s="9">
        <v>44358</v>
      </c>
      <c r="E280" s="14">
        <f>VLOOKUP(F280,CarrierID!A:B,2,0)</f>
        <v>9</v>
      </c>
      <c r="F280" s="15" t="s">
        <v>3</v>
      </c>
      <c r="G280" t="str">
        <f>VLOOKUP(F280,Carrier_Category!A:B,2,0)</f>
        <v>NJT</v>
      </c>
      <c r="H280" s="5">
        <v>2261</v>
      </c>
      <c r="I280" s="7">
        <f t="shared" si="16"/>
        <v>15</v>
      </c>
      <c r="J280" s="5">
        <v>35636</v>
      </c>
      <c r="K280" s="18">
        <f t="shared" si="15"/>
        <v>15.761167624944715</v>
      </c>
    </row>
    <row r="281" spans="1:11" x14ac:dyDescent="0.3">
      <c r="A281" s="14">
        <v>2021</v>
      </c>
      <c r="B281" s="14">
        <f t="shared" si="14"/>
        <v>23</v>
      </c>
      <c r="C281" s="9">
        <v>44354</v>
      </c>
      <c r="D281" s="9">
        <v>44358</v>
      </c>
      <c r="E281" s="14">
        <f>VLOOKUP(F281,CarrierID!A:B,2,0)</f>
        <v>7</v>
      </c>
      <c r="F281" s="15" t="s">
        <v>4</v>
      </c>
      <c r="G281" t="str">
        <f>VLOOKUP(F281,Carrier_Category!A:B,2,0)</f>
        <v>Commuter</v>
      </c>
      <c r="H281" s="5">
        <v>19</v>
      </c>
      <c r="I281" s="7">
        <f t="shared" si="16"/>
        <v>2238</v>
      </c>
      <c r="J281" s="5">
        <v>445</v>
      </c>
      <c r="K281" s="18">
        <f t="shared" si="15"/>
        <v>23.421052631578949</v>
      </c>
    </row>
    <row r="282" spans="1:11" x14ac:dyDescent="0.3">
      <c r="A282" s="14">
        <v>2021</v>
      </c>
      <c r="B282" s="14">
        <f t="shared" si="14"/>
        <v>23</v>
      </c>
      <c r="C282" s="9">
        <v>44354</v>
      </c>
      <c r="D282" s="9">
        <v>44358</v>
      </c>
      <c r="E282" s="14">
        <f>VLOOKUP(F282,CarrierID!A:B,2,0)</f>
        <v>11</v>
      </c>
      <c r="F282" s="15" t="s">
        <v>5</v>
      </c>
      <c r="G282" t="str">
        <f>VLOOKUP(F282,Carrier_Category!A:B,2,0)</f>
        <v>Intercity</v>
      </c>
      <c r="H282" s="5">
        <v>15</v>
      </c>
      <c r="I282" s="7">
        <f t="shared" si="16"/>
        <v>14</v>
      </c>
      <c r="J282" s="5">
        <v>363</v>
      </c>
      <c r="K282" s="18">
        <f t="shared" si="15"/>
        <v>24.2</v>
      </c>
    </row>
    <row r="283" spans="1:11" x14ac:dyDescent="0.3">
      <c r="A283" s="14">
        <v>2021</v>
      </c>
      <c r="B283" s="14">
        <f t="shared" si="14"/>
        <v>23</v>
      </c>
      <c r="C283" s="9">
        <v>44354</v>
      </c>
      <c r="D283" s="9">
        <v>44358</v>
      </c>
      <c r="E283" s="14">
        <f>VLOOKUP(F283,CarrierID!A:B,2,0)</f>
        <v>3</v>
      </c>
      <c r="F283" s="15" t="s">
        <v>6</v>
      </c>
      <c r="G283" t="str">
        <f>VLOOKUP(F283,Carrier_Category!A:B,2,0)</f>
        <v>Commuter</v>
      </c>
      <c r="H283" s="5">
        <v>90</v>
      </c>
      <c r="I283" s="7">
        <f t="shared" si="16"/>
        <v>16</v>
      </c>
      <c r="J283" s="5">
        <v>2172</v>
      </c>
      <c r="K283" s="18">
        <f t="shared" si="15"/>
        <v>24.133333333333333</v>
      </c>
    </row>
    <row r="284" spans="1:11" x14ac:dyDescent="0.3">
      <c r="A284" s="14">
        <v>2021</v>
      </c>
      <c r="B284" s="14">
        <f t="shared" si="14"/>
        <v>23</v>
      </c>
      <c r="C284" s="9">
        <v>44354</v>
      </c>
      <c r="D284" s="9">
        <v>44358</v>
      </c>
      <c r="E284" s="14">
        <f>VLOOKUP(F284,CarrierID!A:B,2,0)</f>
        <v>12</v>
      </c>
      <c r="F284" s="15" t="s">
        <v>25</v>
      </c>
      <c r="G284" t="str">
        <f>VLOOKUP(F284,Carrier_Category!A:B,2,0)</f>
        <v>Commuter</v>
      </c>
      <c r="H284" s="5">
        <v>13</v>
      </c>
      <c r="I284" s="7">
        <f t="shared" si="16"/>
        <v>87</v>
      </c>
      <c r="J284" s="5">
        <v>409</v>
      </c>
      <c r="K284" s="18">
        <f t="shared" si="15"/>
        <v>31.46153846153846</v>
      </c>
    </row>
    <row r="285" spans="1:11" x14ac:dyDescent="0.3">
      <c r="A285" s="14">
        <v>2021</v>
      </c>
      <c r="B285" s="14">
        <f t="shared" si="14"/>
        <v>23</v>
      </c>
      <c r="C285" s="9">
        <v>44354</v>
      </c>
      <c r="D285" s="9">
        <v>44358</v>
      </c>
      <c r="E285" s="14">
        <f>VLOOKUP(F285,CarrierID!A:B,2,0)</f>
        <v>10</v>
      </c>
      <c r="F285" s="15" t="s">
        <v>8</v>
      </c>
      <c r="G285" t="str">
        <f>VLOOKUP(F285,Carrier_Category!A:B,2,0)</f>
        <v>Intercity</v>
      </c>
      <c r="H285" s="5">
        <v>21</v>
      </c>
      <c r="I285" s="7">
        <f t="shared" si="16"/>
        <v>12</v>
      </c>
      <c r="J285" s="5">
        <v>570</v>
      </c>
      <c r="K285" s="18">
        <f t="shared" si="15"/>
        <v>27.142857142857142</v>
      </c>
    </row>
    <row r="286" spans="1:11" x14ac:dyDescent="0.3">
      <c r="A286" s="14">
        <v>2021</v>
      </c>
      <c r="B286" s="14">
        <f t="shared" si="14"/>
        <v>23</v>
      </c>
      <c r="C286" s="9">
        <v>44354</v>
      </c>
      <c r="D286" s="9">
        <v>44358</v>
      </c>
      <c r="E286" s="14">
        <f>VLOOKUP(F286,CarrierID!A:B,2,0)</f>
        <v>6</v>
      </c>
      <c r="F286" s="15" t="s">
        <v>9</v>
      </c>
      <c r="G286" t="str">
        <f>VLOOKUP(F286,Carrier_Category!A:B,2,0)</f>
        <v>Commuter</v>
      </c>
      <c r="H286" s="5">
        <v>96</v>
      </c>
      <c r="I286" s="7">
        <f t="shared" si="16"/>
        <v>27.4</v>
      </c>
      <c r="J286" s="5">
        <v>1446</v>
      </c>
      <c r="K286" s="18">
        <f t="shared" si="15"/>
        <v>15.0625</v>
      </c>
    </row>
    <row r="287" spans="1:11" x14ac:dyDescent="0.3">
      <c r="A287" s="14">
        <v>2021</v>
      </c>
      <c r="B287" s="14">
        <f t="shared" si="14"/>
        <v>24</v>
      </c>
      <c r="C287" s="9">
        <v>44361</v>
      </c>
      <c r="D287" s="9">
        <v>44365</v>
      </c>
      <c r="E287" s="14">
        <f>VLOOKUP(F287,CarrierID!A:B,2,0)</f>
        <v>1</v>
      </c>
      <c r="F287" s="15" t="s">
        <v>0</v>
      </c>
      <c r="G287" t="str">
        <f>VLOOKUP(F287,Carrier_Category!A:B,2,0)</f>
        <v>Commuter</v>
      </c>
      <c r="H287" s="5">
        <v>36</v>
      </c>
      <c r="I287" s="7">
        <f t="shared" si="16"/>
        <v>88</v>
      </c>
      <c r="J287" s="5">
        <v>792</v>
      </c>
      <c r="K287" s="18">
        <f t="shared" si="15"/>
        <v>22</v>
      </c>
    </row>
    <row r="288" spans="1:11" x14ac:dyDescent="0.3">
      <c r="A288" s="14">
        <v>2021</v>
      </c>
      <c r="B288" s="14">
        <f t="shared" si="14"/>
        <v>24</v>
      </c>
      <c r="C288" s="9">
        <v>44361</v>
      </c>
      <c r="D288" s="9">
        <v>44365</v>
      </c>
      <c r="E288" s="14">
        <f>VLOOKUP(F288,CarrierID!A:B,2,0)</f>
        <v>5</v>
      </c>
      <c r="F288" s="15" t="s">
        <v>1</v>
      </c>
      <c r="G288" t="str">
        <f>VLOOKUP(F288,Carrier_Category!A:B,2,0)</f>
        <v>Intercity</v>
      </c>
      <c r="H288" s="5">
        <v>52</v>
      </c>
      <c r="I288" s="7">
        <f t="shared" si="16"/>
        <v>36</v>
      </c>
      <c r="J288" s="5">
        <v>1477</v>
      </c>
      <c r="K288" s="18">
        <f t="shared" si="15"/>
        <v>28.403846153846153</v>
      </c>
    </row>
    <row r="289" spans="1:11" x14ac:dyDescent="0.3">
      <c r="A289" s="14">
        <v>2021</v>
      </c>
      <c r="B289" s="14">
        <f t="shared" si="14"/>
        <v>24</v>
      </c>
      <c r="C289" s="9">
        <v>44361</v>
      </c>
      <c r="D289" s="9">
        <v>44365</v>
      </c>
      <c r="E289" s="14">
        <f>VLOOKUP(F289,CarrierID!A:B,2,0)</f>
        <v>8</v>
      </c>
      <c r="F289" s="15" t="s">
        <v>2</v>
      </c>
      <c r="G289" t="str">
        <f>VLOOKUP(F289,Carrier_Category!A:B,2,0)</f>
        <v>Commuter</v>
      </c>
      <c r="H289" s="5">
        <v>15</v>
      </c>
      <c r="I289" s="7">
        <f t="shared" si="16"/>
        <v>51</v>
      </c>
      <c r="J289" s="5">
        <v>613</v>
      </c>
      <c r="K289" s="18">
        <f t="shared" si="15"/>
        <v>40.866666666666667</v>
      </c>
    </row>
    <row r="290" spans="1:11" x14ac:dyDescent="0.3">
      <c r="A290" s="14">
        <v>2021</v>
      </c>
      <c r="B290" s="14">
        <f t="shared" si="14"/>
        <v>24</v>
      </c>
      <c r="C290" s="9">
        <v>44361</v>
      </c>
      <c r="D290" s="9">
        <v>44365</v>
      </c>
      <c r="E290" s="14">
        <f>VLOOKUP(F290,CarrierID!A:B,2,0)</f>
        <v>9</v>
      </c>
      <c r="F290" s="15" t="s">
        <v>3</v>
      </c>
      <c r="G290" t="str">
        <f>VLOOKUP(F290,Carrier_Category!A:B,2,0)</f>
        <v>NJT</v>
      </c>
      <c r="H290" s="5">
        <v>2188</v>
      </c>
      <c r="I290" s="7">
        <f t="shared" si="16"/>
        <v>15</v>
      </c>
      <c r="J290" s="5">
        <v>39437</v>
      </c>
      <c r="K290" s="18">
        <f t="shared" si="15"/>
        <v>18.024223034734916</v>
      </c>
    </row>
    <row r="291" spans="1:11" x14ac:dyDescent="0.3">
      <c r="A291" s="14">
        <v>2021</v>
      </c>
      <c r="B291" s="14">
        <f t="shared" si="14"/>
        <v>24</v>
      </c>
      <c r="C291" s="9">
        <v>44361</v>
      </c>
      <c r="D291" s="9">
        <v>44365</v>
      </c>
      <c r="E291" s="14">
        <f>VLOOKUP(F291,CarrierID!A:B,2,0)</f>
        <v>7</v>
      </c>
      <c r="F291" s="15" t="s">
        <v>4</v>
      </c>
      <c r="G291" t="str">
        <f>VLOOKUP(F291,Carrier_Category!A:B,2,0)</f>
        <v>Commuter</v>
      </c>
      <c r="H291" s="5">
        <v>19</v>
      </c>
      <c r="I291" s="7">
        <f t="shared" si="16"/>
        <v>2261</v>
      </c>
      <c r="J291" s="5">
        <v>480</v>
      </c>
      <c r="K291" s="18">
        <f t="shared" si="15"/>
        <v>25.263157894736842</v>
      </c>
    </row>
    <row r="292" spans="1:11" x14ac:dyDescent="0.3">
      <c r="A292" s="14">
        <v>2021</v>
      </c>
      <c r="B292" s="14">
        <f t="shared" si="14"/>
        <v>24</v>
      </c>
      <c r="C292" s="9">
        <v>44361</v>
      </c>
      <c r="D292" s="9">
        <v>44365</v>
      </c>
      <c r="E292" s="14">
        <f>VLOOKUP(F292,CarrierID!A:B,2,0)</f>
        <v>11</v>
      </c>
      <c r="F292" s="15" t="s">
        <v>5</v>
      </c>
      <c r="G292" t="str">
        <f>VLOOKUP(F292,Carrier_Category!A:B,2,0)</f>
        <v>Intercity</v>
      </c>
      <c r="H292" s="5">
        <v>17</v>
      </c>
      <c r="I292" s="7">
        <f t="shared" si="16"/>
        <v>19</v>
      </c>
      <c r="J292" s="5">
        <v>426</v>
      </c>
      <c r="K292" s="18">
        <f t="shared" si="15"/>
        <v>25.058823529411764</v>
      </c>
    </row>
    <row r="293" spans="1:11" x14ac:dyDescent="0.3">
      <c r="A293" s="14">
        <v>2021</v>
      </c>
      <c r="B293" s="14">
        <f t="shared" si="14"/>
        <v>24</v>
      </c>
      <c r="C293" s="9">
        <v>44361</v>
      </c>
      <c r="D293" s="9">
        <v>44365</v>
      </c>
      <c r="E293" s="14">
        <f>VLOOKUP(F293,CarrierID!A:B,2,0)</f>
        <v>3</v>
      </c>
      <c r="F293" s="15" t="s">
        <v>6</v>
      </c>
      <c r="G293" t="str">
        <f>VLOOKUP(F293,Carrier_Category!A:B,2,0)</f>
        <v>Commuter</v>
      </c>
      <c r="H293" s="5">
        <v>91</v>
      </c>
      <c r="I293" s="7">
        <f t="shared" si="16"/>
        <v>15</v>
      </c>
      <c r="J293" s="5">
        <v>2306</v>
      </c>
      <c r="K293" s="18">
        <f t="shared" si="15"/>
        <v>25.340659340659339</v>
      </c>
    </row>
    <row r="294" spans="1:11" x14ac:dyDescent="0.3">
      <c r="A294" s="14">
        <v>2021</v>
      </c>
      <c r="B294" s="14">
        <f t="shared" si="14"/>
        <v>24</v>
      </c>
      <c r="C294" s="9">
        <v>44361</v>
      </c>
      <c r="D294" s="9">
        <v>44365</v>
      </c>
      <c r="E294" s="14">
        <f>VLOOKUP(F294,CarrierID!A:B,2,0)</f>
        <v>12</v>
      </c>
      <c r="F294" s="15" t="s">
        <v>25</v>
      </c>
      <c r="G294" t="str">
        <f>VLOOKUP(F294,Carrier_Category!A:B,2,0)</f>
        <v>Commuter</v>
      </c>
      <c r="H294" s="5">
        <v>13</v>
      </c>
      <c r="I294" s="7">
        <f t="shared" si="16"/>
        <v>90</v>
      </c>
      <c r="J294" s="5">
        <v>440</v>
      </c>
      <c r="K294" s="18">
        <f t="shared" si="15"/>
        <v>33.846153846153847</v>
      </c>
    </row>
    <row r="295" spans="1:11" x14ac:dyDescent="0.3">
      <c r="A295" s="14">
        <v>2021</v>
      </c>
      <c r="B295" s="14">
        <f t="shared" si="14"/>
        <v>24</v>
      </c>
      <c r="C295" s="9">
        <v>44361</v>
      </c>
      <c r="D295" s="9">
        <v>44365</v>
      </c>
      <c r="E295" s="14">
        <f>VLOOKUP(F295,CarrierID!A:B,2,0)</f>
        <v>10</v>
      </c>
      <c r="F295" s="15" t="s">
        <v>8</v>
      </c>
      <c r="G295" t="str">
        <f>VLOOKUP(F295,Carrier_Category!A:B,2,0)</f>
        <v>Intercity</v>
      </c>
      <c r="H295" s="5">
        <v>21</v>
      </c>
      <c r="I295" s="7">
        <f t="shared" si="16"/>
        <v>13</v>
      </c>
      <c r="J295" s="5">
        <v>674</v>
      </c>
      <c r="K295" s="18">
        <f t="shared" si="15"/>
        <v>32.095238095238095</v>
      </c>
    </row>
    <row r="296" spans="1:11" x14ac:dyDescent="0.3">
      <c r="A296" s="14">
        <v>2021</v>
      </c>
      <c r="B296" s="14">
        <f t="shared" si="14"/>
        <v>24</v>
      </c>
      <c r="C296" s="9">
        <v>44361</v>
      </c>
      <c r="D296" s="9">
        <v>44365</v>
      </c>
      <c r="E296" s="14">
        <f>VLOOKUP(F296,CarrierID!A:B,2,0)</f>
        <v>4</v>
      </c>
      <c r="F296" s="15" t="s">
        <v>24</v>
      </c>
      <c r="G296" t="str">
        <f>VLOOKUP(F296,Carrier_Category!A:B,2,0)</f>
        <v>Commuter</v>
      </c>
      <c r="H296" s="5">
        <v>16</v>
      </c>
      <c r="I296" s="7">
        <f t="shared" si="16"/>
        <v>21</v>
      </c>
      <c r="J296" s="5">
        <v>87</v>
      </c>
      <c r="K296" s="18">
        <f t="shared" si="15"/>
        <v>5.4375</v>
      </c>
    </row>
    <row r="297" spans="1:11" x14ac:dyDescent="0.3">
      <c r="A297" s="14">
        <v>2021</v>
      </c>
      <c r="B297" s="14">
        <f t="shared" si="14"/>
        <v>24</v>
      </c>
      <c r="C297" s="9">
        <v>44361</v>
      </c>
      <c r="D297" s="9">
        <v>44365</v>
      </c>
      <c r="E297" s="14">
        <f>VLOOKUP(F297,CarrierID!A:B,2,0)</f>
        <v>6</v>
      </c>
      <c r="F297" s="15" t="s">
        <v>9</v>
      </c>
      <c r="G297" t="str">
        <f>VLOOKUP(F297,Carrier_Category!A:B,2,0)</f>
        <v>Commuter</v>
      </c>
      <c r="H297" s="5">
        <v>95</v>
      </c>
      <c r="I297" s="7">
        <f t="shared" si="16"/>
        <v>96</v>
      </c>
      <c r="J297" s="5">
        <v>1346</v>
      </c>
      <c r="K297" s="18">
        <f t="shared" si="15"/>
        <v>14.168421052631579</v>
      </c>
    </row>
    <row r="298" spans="1:11" x14ac:dyDescent="0.3">
      <c r="A298" s="14">
        <v>2021</v>
      </c>
      <c r="B298" s="14">
        <f t="shared" si="14"/>
        <v>25</v>
      </c>
      <c r="C298" s="9">
        <v>44368</v>
      </c>
      <c r="D298" s="9">
        <v>44372</v>
      </c>
      <c r="E298" s="14">
        <f>VLOOKUP(F298,CarrierID!A:B,2,0)</f>
        <v>1</v>
      </c>
      <c r="F298" s="15" t="s">
        <v>0</v>
      </c>
      <c r="G298" t="str">
        <f>VLOOKUP(F298,Carrier_Category!A:B,2,0)</f>
        <v>Commuter</v>
      </c>
      <c r="H298" s="5">
        <v>36</v>
      </c>
      <c r="I298" s="7">
        <f t="shared" si="16"/>
        <v>36</v>
      </c>
      <c r="J298" s="5">
        <v>789</v>
      </c>
      <c r="K298" s="18">
        <f t="shared" si="15"/>
        <v>21.916666666666668</v>
      </c>
    </row>
    <row r="299" spans="1:11" x14ac:dyDescent="0.3">
      <c r="A299" s="14">
        <v>2021</v>
      </c>
      <c r="B299" s="14">
        <f t="shared" si="14"/>
        <v>25</v>
      </c>
      <c r="C299" s="9">
        <v>44368</v>
      </c>
      <c r="D299" s="9">
        <v>44372</v>
      </c>
      <c r="E299" s="14">
        <f>VLOOKUP(F299,CarrierID!A:B,2,0)</f>
        <v>5</v>
      </c>
      <c r="F299" s="15" t="s">
        <v>1</v>
      </c>
      <c r="G299" t="str">
        <f>VLOOKUP(F299,Carrier_Category!A:B,2,0)</f>
        <v>Intercity</v>
      </c>
      <c r="H299" s="5">
        <v>55</v>
      </c>
      <c r="I299" s="7">
        <f t="shared" si="16"/>
        <v>52</v>
      </c>
      <c r="J299" s="5">
        <v>1535</v>
      </c>
      <c r="K299" s="18">
        <f t="shared" si="15"/>
        <v>27.90909090909091</v>
      </c>
    </row>
    <row r="300" spans="1:11" x14ac:dyDescent="0.3">
      <c r="A300" s="14">
        <v>2021</v>
      </c>
      <c r="B300" s="14">
        <f t="shared" si="14"/>
        <v>25</v>
      </c>
      <c r="C300" s="9">
        <v>44368</v>
      </c>
      <c r="D300" s="9">
        <v>44372</v>
      </c>
      <c r="E300" s="14">
        <f>VLOOKUP(F300,CarrierID!A:B,2,0)</f>
        <v>8</v>
      </c>
      <c r="F300" s="15" t="s">
        <v>2</v>
      </c>
      <c r="G300" t="str">
        <f>VLOOKUP(F300,Carrier_Category!A:B,2,0)</f>
        <v>Commuter</v>
      </c>
      <c r="H300" s="5">
        <v>16</v>
      </c>
      <c r="I300" s="7">
        <f t="shared" si="16"/>
        <v>15</v>
      </c>
      <c r="J300" s="5">
        <v>635</v>
      </c>
      <c r="K300" s="18">
        <f t="shared" si="15"/>
        <v>39.6875</v>
      </c>
    </row>
    <row r="301" spans="1:11" x14ac:dyDescent="0.3">
      <c r="A301" s="14">
        <v>2021</v>
      </c>
      <c r="B301" s="14">
        <f t="shared" si="14"/>
        <v>25</v>
      </c>
      <c r="C301" s="9">
        <v>44368</v>
      </c>
      <c r="D301" s="9">
        <v>44372</v>
      </c>
      <c r="E301" s="14">
        <f>VLOOKUP(F301,CarrierID!A:B,2,0)</f>
        <v>9</v>
      </c>
      <c r="F301" s="15" t="s">
        <v>3</v>
      </c>
      <c r="G301" t="str">
        <f>VLOOKUP(F301,Carrier_Category!A:B,2,0)</f>
        <v>NJT</v>
      </c>
      <c r="H301" s="5">
        <v>2215</v>
      </c>
      <c r="I301" s="7">
        <f t="shared" si="16"/>
        <v>2188</v>
      </c>
      <c r="J301" s="5">
        <v>39951</v>
      </c>
      <c r="K301" s="18">
        <f t="shared" si="15"/>
        <v>18.036568848758463</v>
      </c>
    </row>
    <row r="302" spans="1:11" x14ac:dyDescent="0.3">
      <c r="A302" s="14">
        <v>2021</v>
      </c>
      <c r="B302" s="14">
        <f t="shared" si="14"/>
        <v>25</v>
      </c>
      <c r="C302" s="9">
        <v>44368</v>
      </c>
      <c r="D302" s="9">
        <v>44372</v>
      </c>
      <c r="E302" s="14">
        <f>VLOOKUP(F302,CarrierID!A:B,2,0)</f>
        <v>7</v>
      </c>
      <c r="F302" s="15" t="s">
        <v>4</v>
      </c>
      <c r="G302" t="str">
        <f>VLOOKUP(F302,Carrier_Category!A:B,2,0)</f>
        <v>Commuter</v>
      </c>
      <c r="H302" s="5">
        <v>19</v>
      </c>
      <c r="I302" s="7">
        <f t="shared" si="16"/>
        <v>19</v>
      </c>
      <c r="J302" s="5">
        <v>505</v>
      </c>
      <c r="K302" s="18">
        <f t="shared" si="15"/>
        <v>26.578947368421051</v>
      </c>
    </row>
    <row r="303" spans="1:11" x14ac:dyDescent="0.3">
      <c r="A303" s="14">
        <v>2021</v>
      </c>
      <c r="B303" s="14">
        <f t="shared" si="14"/>
        <v>25</v>
      </c>
      <c r="C303" s="9">
        <v>44368</v>
      </c>
      <c r="D303" s="9">
        <v>44372</v>
      </c>
      <c r="E303" s="14">
        <f>VLOOKUP(F303,CarrierID!A:B,2,0)</f>
        <v>11</v>
      </c>
      <c r="F303" s="15" t="s">
        <v>5</v>
      </c>
      <c r="G303" t="str">
        <f>VLOOKUP(F303,Carrier_Category!A:B,2,0)</f>
        <v>Intercity</v>
      </c>
      <c r="H303" s="5">
        <v>17</v>
      </c>
      <c r="I303" s="7">
        <f t="shared" si="16"/>
        <v>17</v>
      </c>
      <c r="J303" s="5">
        <v>428</v>
      </c>
      <c r="K303" s="18">
        <f t="shared" si="15"/>
        <v>25.176470588235293</v>
      </c>
    </row>
    <row r="304" spans="1:11" x14ac:dyDescent="0.3">
      <c r="A304" s="14">
        <v>2021</v>
      </c>
      <c r="B304" s="14">
        <f t="shared" si="14"/>
        <v>25</v>
      </c>
      <c r="C304" s="9">
        <v>44368</v>
      </c>
      <c r="D304" s="9">
        <v>44372</v>
      </c>
      <c r="E304" s="14">
        <f>VLOOKUP(F304,CarrierID!A:B,2,0)</f>
        <v>3</v>
      </c>
      <c r="F304" s="15" t="s">
        <v>6</v>
      </c>
      <c r="G304" t="str">
        <f>VLOOKUP(F304,Carrier_Category!A:B,2,0)</f>
        <v>Commuter</v>
      </c>
      <c r="H304" s="5">
        <v>91</v>
      </c>
      <c r="I304" s="7">
        <f t="shared" si="16"/>
        <v>91</v>
      </c>
      <c r="J304" s="5">
        <v>2347</v>
      </c>
      <c r="K304" s="18">
        <f t="shared" si="15"/>
        <v>25.791208791208792</v>
      </c>
    </row>
    <row r="305" spans="1:11" x14ac:dyDescent="0.3">
      <c r="A305" s="14">
        <v>2021</v>
      </c>
      <c r="B305" s="14">
        <f t="shared" si="14"/>
        <v>25</v>
      </c>
      <c r="C305" s="9">
        <v>44368</v>
      </c>
      <c r="D305" s="9">
        <v>44372</v>
      </c>
      <c r="E305" s="14">
        <f>VLOOKUP(F305,CarrierID!A:B,2,0)</f>
        <v>12</v>
      </c>
      <c r="F305" s="15" t="s">
        <v>25</v>
      </c>
      <c r="G305" t="str">
        <f>VLOOKUP(F305,Carrier_Category!A:B,2,0)</f>
        <v>Commuter</v>
      </c>
      <c r="H305" s="5">
        <v>14</v>
      </c>
      <c r="I305" s="7">
        <f t="shared" si="16"/>
        <v>13</v>
      </c>
      <c r="J305" s="5">
        <v>465</v>
      </c>
      <c r="K305" s="18">
        <f t="shared" si="15"/>
        <v>33.214285714285715</v>
      </c>
    </row>
    <row r="306" spans="1:11" x14ac:dyDescent="0.3">
      <c r="A306" s="14">
        <v>2021</v>
      </c>
      <c r="B306" s="14">
        <f t="shared" si="14"/>
        <v>25</v>
      </c>
      <c r="C306" s="9">
        <v>44368</v>
      </c>
      <c r="D306" s="9">
        <v>44372</v>
      </c>
      <c r="E306" s="14">
        <f>VLOOKUP(F306,CarrierID!A:B,2,0)</f>
        <v>10</v>
      </c>
      <c r="F306" s="15" t="s">
        <v>8</v>
      </c>
      <c r="G306" t="str">
        <f>VLOOKUP(F306,Carrier_Category!A:B,2,0)</f>
        <v>Intercity</v>
      </c>
      <c r="H306" s="5">
        <v>30</v>
      </c>
      <c r="I306" s="7">
        <f t="shared" si="16"/>
        <v>21</v>
      </c>
      <c r="J306" s="5">
        <v>855</v>
      </c>
      <c r="K306" s="18">
        <f t="shared" si="15"/>
        <v>28.5</v>
      </c>
    </row>
    <row r="307" spans="1:11" x14ac:dyDescent="0.3">
      <c r="A307" s="14">
        <v>2021</v>
      </c>
      <c r="B307" s="14">
        <f t="shared" si="14"/>
        <v>25</v>
      </c>
      <c r="C307" s="9">
        <v>44368</v>
      </c>
      <c r="D307" s="9">
        <v>44372</v>
      </c>
      <c r="E307" s="14">
        <f>VLOOKUP(F307,CarrierID!A:B,2,0)</f>
        <v>4</v>
      </c>
      <c r="F307" s="15" t="s">
        <v>24</v>
      </c>
      <c r="G307" t="str">
        <f>VLOOKUP(F307,Carrier_Category!A:B,2,0)</f>
        <v>Commuter</v>
      </c>
      <c r="H307" s="5">
        <v>16</v>
      </c>
      <c r="I307" s="7">
        <f t="shared" si="16"/>
        <v>16</v>
      </c>
      <c r="J307" s="5">
        <v>118</v>
      </c>
      <c r="K307" s="18">
        <f t="shared" si="15"/>
        <v>7.375</v>
      </c>
    </row>
    <row r="308" spans="1:11" x14ac:dyDescent="0.3">
      <c r="A308" s="14">
        <v>2021</v>
      </c>
      <c r="B308" s="14">
        <f t="shared" si="14"/>
        <v>25</v>
      </c>
      <c r="C308" s="9">
        <v>44368</v>
      </c>
      <c r="D308" s="9">
        <v>44372</v>
      </c>
      <c r="E308" s="14">
        <f>VLOOKUP(F308,CarrierID!A:B,2,0)</f>
        <v>6</v>
      </c>
      <c r="F308" s="15" t="s">
        <v>9</v>
      </c>
      <c r="G308" t="str">
        <f>VLOOKUP(F308,Carrier_Category!A:B,2,0)</f>
        <v>Commuter</v>
      </c>
      <c r="H308" s="5">
        <v>94</v>
      </c>
      <c r="I308" s="7">
        <f t="shared" si="16"/>
        <v>95</v>
      </c>
      <c r="J308" s="5">
        <v>1448</v>
      </c>
      <c r="K308" s="18">
        <f t="shared" si="15"/>
        <v>15.404255319148936</v>
      </c>
    </row>
    <row r="309" spans="1:11" x14ac:dyDescent="0.3">
      <c r="A309" s="14">
        <v>2021</v>
      </c>
      <c r="B309" s="14">
        <f t="shared" si="14"/>
        <v>26</v>
      </c>
      <c r="C309" s="9">
        <v>44375</v>
      </c>
      <c r="D309" s="9">
        <v>44379</v>
      </c>
      <c r="E309" s="14">
        <f>VLOOKUP(F309,CarrierID!A:B,2,0)</f>
        <v>1</v>
      </c>
      <c r="F309" s="15" t="s">
        <v>0</v>
      </c>
      <c r="G309" t="str">
        <f>VLOOKUP(F309,Carrier_Category!A:B,2,0)</f>
        <v>Commuter</v>
      </c>
      <c r="H309" s="5">
        <v>36</v>
      </c>
      <c r="I309" s="7">
        <f t="shared" si="16"/>
        <v>36</v>
      </c>
      <c r="J309" s="5">
        <v>923</v>
      </c>
      <c r="K309" s="18">
        <f t="shared" si="15"/>
        <v>25.638888888888889</v>
      </c>
    </row>
    <row r="310" spans="1:11" x14ac:dyDescent="0.3">
      <c r="A310" s="14">
        <v>2021</v>
      </c>
      <c r="B310" s="14">
        <f t="shared" si="14"/>
        <v>26</v>
      </c>
      <c r="C310" s="9">
        <v>44375</v>
      </c>
      <c r="D310" s="9">
        <v>44379</v>
      </c>
      <c r="E310" s="14">
        <f>VLOOKUP(F310,CarrierID!A:B,2,0)</f>
        <v>5</v>
      </c>
      <c r="F310" s="15" t="s">
        <v>1</v>
      </c>
      <c r="G310" t="str">
        <f>VLOOKUP(F310,Carrier_Category!A:B,2,0)</f>
        <v>Intercity</v>
      </c>
      <c r="H310" s="5">
        <v>60</v>
      </c>
      <c r="I310" s="7">
        <f t="shared" si="16"/>
        <v>55</v>
      </c>
      <c r="J310" s="5">
        <v>1819</v>
      </c>
      <c r="K310" s="18">
        <f t="shared" si="15"/>
        <v>30.316666666666666</v>
      </c>
    </row>
    <row r="311" spans="1:11" x14ac:dyDescent="0.3">
      <c r="A311" s="14">
        <v>2021</v>
      </c>
      <c r="B311" s="14">
        <f t="shared" si="14"/>
        <v>26</v>
      </c>
      <c r="C311" s="9">
        <v>44375</v>
      </c>
      <c r="D311" s="9">
        <v>44379</v>
      </c>
      <c r="E311" s="14">
        <f>VLOOKUP(F311,CarrierID!A:B,2,0)</f>
        <v>8</v>
      </c>
      <c r="F311" s="15" t="s">
        <v>2</v>
      </c>
      <c r="G311" t="str">
        <f>VLOOKUP(F311,Carrier_Category!A:B,2,0)</f>
        <v>Commuter</v>
      </c>
      <c r="H311" s="5">
        <v>17</v>
      </c>
      <c r="I311" s="7">
        <f t="shared" si="16"/>
        <v>16</v>
      </c>
      <c r="J311" s="5">
        <v>669</v>
      </c>
      <c r="K311" s="18">
        <f t="shared" si="15"/>
        <v>39.352941176470587</v>
      </c>
    </row>
    <row r="312" spans="1:11" x14ac:dyDescent="0.3">
      <c r="A312" s="14">
        <v>2021</v>
      </c>
      <c r="B312" s="14">
        <f t="shared" si="14"/>
        <v>26</v>
      </c>
      <c r="C312" s="9">
        <v>44375</v>
      </c>
      <c r="D312" s="9">
        <v>44379</v>
      </c>
      <c r="E312" s="14">
        <f>VLOOKUP(F312,CarrierID!A:B,2,0)</f>
        <v>9</v>
      </c>
      <c r="F312" s="15" t="s">
        <v>3</v>
      </c>
      <c r="G312" t="str">
        <f>VLOOKUP(F312,Carrier_Category!A:B,2,0)</f>
        <v>NJT</v>
      </c>
      <c r="H312" s="5">
        <v>2126</v>
      </c>
      <c r="I312" s="7">
        <f t="shared" si="16"/>
        <v>2215</v>
      </c>
      <c r="J312" s="5">
        <v>39282</v>
      </c>
      <c r="K312" s="18">
        <f t="shared" si="15"/>
        <v>18.47695202257761</v>
      </c>
    </row>
    <row r="313" spans="1:11" x14ac:dyDescent="0.3">
      <c r="A313" s="14">
        <v>2021</v>
      </c>
      <c r="B313" s="14">
        <f t="shared" si="14"/>
        <v>26</v>
      </c>
      <c r="C313" s="9">
        <v>44375</v>
      </c>
      <c r="D313" s="9">
        <v>44379</v>
      </c>
      <c r="E313" s="14">
        <f>VLOOKUP(F313,CarrierID!A:B,2,0)</f>
        <v>7</v>
      </c>
      <c r="F313" s="15" t="s">
        <v>4</v>
      </c>
      <c r="G313" t="str">
        <f>VLOOKUP(F313,Carrier_Category!A:B,2,0)</f>
        <v>Commuter</v>
      </c>
      <c r="H313" s="5">
        <v>20</v>
      </c>
      <c r="I313" s="7">
        <f t="shared" si="16"/>
        <v>19</v>
      </c>
      <c r="J313" s="5">
        <v>512</v>
      </c>
      <c r="K313" s="18">
        <f t="shared" si="15"/>
        <v>25.6</v>
      </c>
    </row>
    <row r="314" spans="1:11" x14ac:dyDescent="0.3">
      <c r="A314" s="14">
        <v>2021</v>
      </c>
      <c r="B314" s="14">
        <f t="shared" si="14"/>
        <v>26</v>
      </c>
      <c r="C314" s="9">
        <v>44375</v>
      </c>
      <c r="D314" s="9">
        <v>44379</v>
      </c>
      <c r="E314" s="14">
        <f>VLOOKUP(F314,CarrierID!A:B,2,0)</f>
        <v>11</v>
      </c>
      <c r="F314" s="15" t="s">
        <v>5</v>
      </c>
      <c r="G314" t="str">
        <f>VLOOKUP(F314,Carrier_Category!A:B,2,0)</f>
        <v>Intercity</v>
      </c>
      <c r="H314" s="5">
        <v>17</v>
      </c>
      <c r="I314" s="7">
        <f t="shared" si="16"/>
        <v>17</v>
      </c>
      <c r="J314" s="5">
        <v>479</v>
      </c>
      <c r="K314" s="18">
        <f t="shared" si="15"/>
        <v>28.176470588235293</v>
      </c>
    </row>
    <row r="315" spans="1:11" x14ac:dyDescent="0.3">
      <c r="A315" s="14">
        <v>2021</v>
      </c>
      <c r="B315" s="14">
        <f t="shared" si="14"/>
        <v>26</v>
      </c>
      <c r="C315" s="9">
        <v>44375</v>
      </c>
      <c r="D315" s="9">
        <v>44379</v>
      </c>
      <c r="E315" s="14">
        <f>VLOOKUP(F315,CarrierID!A:B,2,0)</f>
        <v>3</v>
      </c>
      <c r="F315" s="15" t="s">
        <v>6</v>
      </c>
      <c r="G315" t="str">
        <f>VLOOKUP(F315,Carrier_Category!A:B,2,0)</f>
        <v>Commuter</v>
      </c>
      <c r="H315" s="5">
        <v>92</v>
      </c>
      <c r="I315" s="7">
        <f t="shared" si="16"/>
        <v>91</v>
      </c>
      <c r="J315" s="5">
        <v>2363</v>
      </c>
      <c r="K315" s="18">
        <f t="shared" si="15"/>
        <v>25.684782608695652</v>
      </c>
    </row>
    <row r="316" spans="1:11" x14ac:dyDescent="0.3">
      <c r="A316" s="14">
        <v>2021</v>
      </c>
      <c r="B316" s="14">
        <f t="shared" si="14"/>
        <v>26</v>
      </c>
      <c r="C316" s="9">
        <v>44375</v>
      </c>
      <c r="D316" s="9">
        <v>44379</v>
      </c>
      <c r="E316" s="14">
        <f>VLOOKUP(F316,CarrierID!A:B,2,0)</f>
        <v>12</v>
      </c>
      <c r="F316" s="15" t="s">
        <v>25</v>
      </c>
      <c r="G316" t="str">
        <f>VLOOKUP(F316,Carrier_Category!A:B,2,0)</f>
        <v>Commuter</v>
      </c>
      <c r="H316" s="5">
        <v>14</v>
      </c>
      <c r="I316" s="7">
        <f t="shared" si="16"/>
        <v>14</v>
      </c>
      <c r="J316" s="5">
        <v>454</v>
      </c>
      <c r="K316" s="18">
        <f t="shared" si="15"/>
        <v>32.428571428571431</v>
      </c>
    </row>
    <row r="317" spans="1:11" x14ac:dyDescent="0.3">
      <c r="A317" s="14">
        <v>2021</v>
      </c>
      <c r="B317" s="14">
        <f t="shared" si="14"/>
        <v>26</v>
      </c>
      <c r="C317" s="9">
        <v>44375</v>
      </c>
      <c r="D317" s="9">
        <v>44379</v>
      </c>
      <c r="E317" s="14">
        <f>VLOOKUP(F317,CarrierID!A:B,2,0)</f>
        <v>10</v>
      </c>
      <c r="F317" s="15" t="s">
        <v>8</v>
      </c>
      <c r="G317" t="str">
        <f>VLOOKUP(F317,Carrier_Category!A:B,2,0)</f>
        <v>Intercity</v>
      </c>
      <c r="H317" s="5">
        <v>31</v>
      </c>
      <c r="I317" s="7">
        <f t="shared" si="16"/>
        <v>30</v>
      </c>
      <c r="J317" s="5">
        <v>1102</v>
      </c>
      <c r="K317" s="18">
        <f t="shared" si="15"/>
        <v>35.548387096774192</v>
      </c>
    </row>
    <row r="318" spans="1:11" x14ac:dyDescent="0.3">
      <c r="A318" s="14">
        <v>2021</v>
      </c>
      <c r="B318" s="14">
        <f t="shared" si="14"/>
        <v>26</v>
      </c>
      <c r="C318" s="9">
        <v>44375</v>
      </c>
      <c r="D318" s="9">
        <v>44379</v>
      </c>
      <c r="E318" s="14">
        <f>VLOOKUP(F318,CarrierID!A:B,2,0)</f>
        <v>4</v>
      </c>
      <c r="F318" s="15" t="s">
        <v>24</v>
      </c>
      <c r="G318" t="str">
        <f>VLOOKUP(F318,Carrier_Category!A:B,2,0)</f>
        <v>Commuter</v>
      </c>
      <c r="H318" s="5">
        <v>16</v>
      </c>
      <c r="I318" s="7">
        <f t="shared" si="16"/>
        <v>16</v>
      </c>
      <c r="J318" s="5">
        <v>132</v>
      </c>
      <c r="K318" s="18">
        <f t="shared" si="15"/>
        <v>8.25</v>
      </c>
    </row>
    <row r="319" spans="1:11" x14ac:dyDescent="0.3">
      <c r="A319" s="14">
        <v>2021</v>
      </c>
      <c r="B319" s="14">
        <f t="shared" si="14"/>
        <v>26</v>
      </c>
      <c r="C319" s="9">
        <v>44375</v>
      </c>
      <c r="D319" s="9">
        <v>44379</v>
      </c>
      <c r="E319" s="14">
        <f>VLOOKUP(F319,CarrierID!A:B,2,0)</f>
        <v>6</v>
      </c>
      <c r="F319" s="15" t="s">
        <v>9</v>
      </c>
      <c r="G319" t="str">
        <f>VLOOKUP(F319,Carrier_Category!A:B,2,0)</f>
        <v>Commuter</v>
      </c>
      <c r="H319" s="5">
        <v>94</v>
      </c>
      <c r="I319" s="7">
        <f t="shared" si="16"/>
        <v>94</v>
      </c>
      <c r="J319" s="5">
        <v>1448</v>
      </c>
      <c r="K319" s="18">
        <f t="shared" si="15"/>
        <v>15.404255319148936</v>
      </c>
    </row>
    <row r="320" spans="1:11" x14ac:dyDescent="0.3">
      <c r="A320" s="14">
        <v>2021</v>
      </c>
      <c r="B320" s="14">
        <f t="shared" si="14"/>
        <v>27</v>
      </c>
      <c r="C320" s="9">
        <v>44382</v>
      </c>
      <c r="D320" s="9">
        <v>44386</v>
      </c>
      <c r="E320" s="14">
        <f>VLOOKUP(F320,CarrierID!A:B,2,0)</f>
        <v>1</v>
      </c>
      <c r="F320" s="15" t="s">
        <v>0</v>
      </c>
      <c r="G320" t="str">
        <f>VLOOKUP(F320,Carrier_Category!A:B,2,0)</f>
        <v>Commuter</v>
      </c>
      <c r="H320" s="5">
        <v>35</v>
      </c>
      <c r="I320" s="7">
        <f t="shared" si="16"/>
        <v>36</v>
      </c>
      <c r="J320" s="5">
        <v>778</v>
      </c>
      <c r="K320" s="18">
        <f t="shared" si="15"/>
        <v>22.228571428571428</v>
      </c>
    </row>
    <row r="321" spans="1:11" x14ac:dyDescent="0.3">
      <c r="A321" s="14">
        <v>2021</v>
      </c>
      <c r="B321" s="14">
        <f t="shared" si="14"/>
        <v>27</v>
      </c>
      <c r="C321" s="9">
        <v>44382</v>
      </c>
      <c r="D321" s="9">
        <v>44386</v>
      </c>
      <c r="E321" s="14">
        <f>VLOOKUP(F321,CarrierID!A:B,2,0)</f>
        <v>5</v>
      </c>
      <c r="F321" s="15" t="s">
        <v>1</v>
      </c>
      <c r="G321" t="str">
        <f>VLOOKUP(F321,Carrier_Category!A:B,2,0)</f>
        <v>Intercity</v>
      </c>
      <c r="H321" s="5">
        <v>61</v>
      </c>
      <c r="I321" s="7">
        <f t="shared" si="16"/>
        <v>60</v>
      </c>
      <c r="J321" s="5">
        <v>1850</v>
      </c>
      <c r="K321" s="18">
        <f t="shared" si="15"/>
        <v>30.327868852459016</v>
      </c>
    </row>
    <row r="322" spans="1:11" x14ac:dyDescent="0.3">
      <c r="A322" s="14">
        <v>2021</v>
      </c>
      <c r="B322" s="14">
        <f t="shared" si="14"/>
        <v>27</v>
      </c>
      <c r="C322" s="9">
        <v>44382</v>
      </c>
      <c r="D322" s="9">
        <v>44386</v>
      </c>
      <c r="E322" s="14">
        <f>VLOOKUP(F322,CarrierID!A:B,2,0)</f>
        <v>8</v>
      </c>
      <c r="F322" s="15" t="s">
        <v>2</v>
      </c>
      <c r="G322" t="str">
        <f>VLOOKUP(F322,Carrier_Category!A:B,2,0)</f>
        <v>Commuter</v>
      </c>
      <c r="H322" s="5">
        <v>18</v>
      </c>
      <c r="I322" s="7">
        <f t="shared" si="16"/>
        <v>17</v>
      </c>
      <c r="J322" s="5">
        <v>686</v>
      </c>
      <c r="K322" s="18">
        <f t="shared" si="15"/>
        <v>38.111111111111114</v>
      </c>
    </row>
    <row r="323" spans="1:11" x14ac:dyDescent="0.3">
      <c r="A323" s="14">
        <v>2021</v>
      </c>
      <c r="B323" s="14">
        <f t="shared" si="14"/>
        <v>27</v>
      </c>
      <c r="C323" s="9">
        <v>44382</v>
      </c>
      <c r="D323" s="9">
        <v>44386</v>
      </c>
      <c r="E323" s="14">
        <f>VLOOKUP(F323,CarrierID!A:B,2,0)</f>
        <v>9</v>
      </c>
      <c r="F323" s="15" t="s">
        <v>3</v>
      </c>
      <c r="G323" t="str">
        <f>VLOOKUP(F323,Carrier_Category!A:B,2,0)</f>
        <v>NJT</v>
      </c>
      <c r="H323" s="5">
        <v>2126</v>
      </c>
      <c r="I323" s="7">
        <f t="shared" si="16"/>
        <v>2126</v>
      </c>
      <c r="J323" s="5">
        <v>39100</v>
      </c>
      <c r="K323" s="18">
        <f t="shared" si="15"/>
        <v>18.391345249294449</v>
      </c>
    </row>
    <row r="324" spans="1:11" x14ac:dyDescent="0.3">
      <c r="A324" s="14">
        <v>2021</v>
      </c>
      <c r="B324" s="14">
        <f t="shared" si="14"/>
        <v>27</v>
      </c>
      <c r="C324" s="9">
        <v>44382</v>
      </c>
      <c r="D324" s="9">
        <v>44386</v>
      </c>
      <c r="E324" s="14">
        <f>VLOOKUP(F324,CarrierID!A:B,2,0)</f>
        <v>7</v>
      </c>
      <c r="F324" s="15" t="s">
        <v>4</v>
      </c>
      <c r="G324" t="str">
        <f>VLOOKUP(F324,Carrier_Category!A:B,2,0)</f>
        <v>Commuter</v>
      </c>
      <c r="H324" s="5">
        <v>20</v>
      </c>
      <c r="I324" s="7">
        <f t="shared" si="16"/>
        <v>20</v>
      </c>
      <c r="J324" s="5">
        <v>543</v>
      </c>
      <c r="K324" s="18">
        <f t="shared" si="15"/>
        <v>27.15</v>
      </c>
    </row>
    <row r="325" spans="1:11" x14ac:dyDescent="0.3">
      <c r="A325" s="14">
        <v>2021</v>
      </c>
      <c r="B325" s="14">
        <f t="shared" ref="B325:B388" si="17">_xlfn.ISOWEEKNUM(C325)</f>
        <v>27</v>
      </c>
      <c r="C325" s="9">
        <v>44382</v>
      </c>
      <c r="D325" s="9">
        <v>44386</v>
      </c>
      <c r="E325" s="14">
        <f>VLOOKUP(F325,CarrierID!A:B,2,0)</f>
        <v>11</v>
      </c>
      <c r="F325" s="15" t="s">
        <v>5</v>
      </c>
      <c r="G325" t="str">
        <f>VLOOKUP(F325,Carrier_Category!A:B,2,0)</f>
        <v>Intercity</v>
      </c>
      <c r="H325" s="5">
        <v>19</v>
      </c>
      <c r="I325" s="7">
        <f t="shared" si="16"/>
        <v>17</v>
      </c>
      <c r="J325" s="5">
        <v>492</v>
      </c>
      <c r="K325" s="18">
        <f t="shared" ref="K325:K388" si="18">J325/H325</f>
        <v>25.894736842105264</v>
      </c>
    </row>
    <row r="326" spans="1:11" x14ac:dyDescent="0.3">
      <c r="A326" s="14">
        <v>2021</v>
      </c>
      <c r="B326" s="14">
        <f t="shared" si="17"/>
        <v>27</v>
      </c>
      <c r="C326" s="9">
        <v>44382</v>
      </c>
      <c r="D326" s="9">
        <v>44386</v>
      </c>
      <c r="E326" s="14">
        <f>VLOOKUP(F326,CarrierID!A:B,2,0)</f>
        <v>3</v>
      </c>
      <c r="F326" s="15" t="s">
        <v>6</v>
      </c>
      <c r="G326" t="str">
        <f>VLOOKUP(F326,Carrier_Category!A:B,2,0)</f>
        <v>Commuter</v>
      </c>
      <c r="H326" s="5">
        <v>94</v>
      </c>
      <c r="I326" s="7">
        <f t="shared" si="16"/>
        <v>92</v>
      </c>
      <c r="J326" s="5">
        <v>2459</v>
      </c>
      <c r="K326" s="18">
        <f t="shared" si="18"/>
        <v>26.159574468085108</v>
      </c>
    </row>
    <row r="327" spans="1:11" x14ac:dyDescent="0.3">
      <c r="A327" s="14">
        <v>2021</v>
      </c>
      <c r="B327" s="14">
        <f t="shared" si="17"/>
        <v>27</v>
      </c>
      <c r="C327" s="9">
        <v>44382</v>
      </c>
      <c r="D327" s="9">
        <v>44386</v>
      </c>
      <c r="E327" s="14">
        <f>VLOOKUP(F327,CarrierID!A:B,2,0)</f>
        <v>12</v>
      </c>
      <c r="F327" s="15" t="s">
        <v>25</v>
      </c>
      <c r="G327" t="str">
        <f>VLOOKUP(F327,Carrier_Category!A:B,2,0)</f>
        <v>Commuter</v>
      </c>
      <c r="H327" s="5">
        <v>14</v>
      </c>
      <c r="I327" s="7">
        <f t="shared" si="16"/>
        <v>14</v>
      </c>
      <c r="J327" s="5">
        <v>480</v>
      </c>
      <c r="K327" s="18">
        <f t="shared" si="18"/>
        <v>34.285714285714285</v>
      </c>
    </row>
    <row r="328" spans="1:11" x14ac:dyDescent="0.3">
      <c r="A328" s="14">
        <v>2021</v>
      </c>
      <c r="B328" s="14">
        <f t="shared" si="17"/>
        <v>27</v>
      </c>
      <c r="C328" s="9">
        <v>44382</v>
      </c>
      <c r="D328" s="9">
        <v>44386</v>
      </c>
      <c r="E328" s="14">
        <f>VLOOKUP(F328,CarrierID!A:B,2,0)</f>
        <v>10</v>
      </c>
      <c r="F328" s="15" t="s">
        <v>8</v>
      </c>
      <c r="G328" t="str">
        <f>VLOOKUP(F328,Carrier_Category!A:B,2,0)</f>
        <v>Intercity</v>
      </c>
      <c r="H328" s="5">
        <v>34</v>
      </c>
      <c r="I328" s="7">
        <f t="shared" si="16"/>
        <v>31</v>
      </c>
      <c r="J328" s="5">
        <v>1262</v>
      </c>
      <c r="K328" s="18">
        <f t="shared" si="18"/>
        <v>37.117647058823529</v>
      </c>
    </row>
    <row r="329" spans="1:11" x14ac:dyDescent="0.3">
      <c r="A329" s="14">
        <v>2021</v>
      </c>
      <c r="B329" s="14">
        <f t="shared" si="17"/>
        <v>27</v>
      </c>
      <c r="C329" s="9">
        <v>44382</v>
      </c>
      <c r="D329" s="9">
        <v>44386</v>
      </c>
      <c r="E329" s="14">
        <f>VLOOKUP(F329,CarrierID!A:B,2,0)</f>
        <v>4</v>
      </c>
      <c r="F329" s="15" t="s">
        <v>24</v>
      </c>
      <c r="G329" t="str">
        <f>VLOOKUP(F329,Carrier_Category!A:B,2,0)</f>
        <v>Commuter</v>
      </c>
      <c r="H329" s="5">
        <v>16</v>
      </c>
      <c r="I329" s="7">
        <f t="shared" si="16"/>
        <v>16</v>
      </c>
      <c r="J329" s="5">
        <v>155</v>
      </c>
      <c r="K329" s="18">
        <f t="shared" si="18"/>
        <v>9.6875</v>
      </c>
    </row>
    <row r="330" spans="1:11" x14ac:dyDescent="0.3">
      <c r="A330" s="14">
        <v>2021</v>
      </c>
      <c r="B330" s="14">
        <f t="shared" si="17"/>
        <v>27</v>
      </c>
      <c r="C330" s="9">
        <v>44382</v>
      </c>
      <c r="D330" s="9">
        <v>44386</v>
      </c>
      <c r="E330" s="14">
        <f>VLOOKUP(F330,CarrierID!A:B,2,0)</f>
        <v>6</v>
      </c>
      <c r="F330" s="15" t="s">
        <v>9</v>
      </c>
      <c r="G330" t="str">
        <f>VLOOKUP(F330,Carrier_Category!A:B,2,0)</f>
        <v>Commuter</v>
      </c>
      <c r="H330" s="5">
        <v>93</v>
      </c>
      <c r="I330" s="7">
        <f t="shared" si="16"/>
        <v>94</v>
      </c>
      <c r="J330" s="5">
        <v>1437</v>
      </c>
      <c r="K330" s="18">
        <f t="shared" si="18"/>
        <v>15.451612903225806</v>
      </c>
    </row>
    <row r="331" spans="1:11" x14ac:dyDescent="0.3">
      <c r="A331" s="14">
        <v>2021</v>
      </c>
      <c r="B331" s="14">
        <f t="shared" si="17"/>
        <v>28</v>
      </c>
      <c r="C331" s="9">
        <v>44389</v>
      </c>
      <c r="D331" s="9">
        <v>44393</v>
      </c>
      <c r="E331" s="14">
        <f>VLOOKUP(F331,CarrierID!A:B,2,0)</f>
        <v>1</v>
      </c>
      <c r="F331" s="15" t="s">
        <v>0</v>
      </c>
      <c r="G331" t="str">
        <f>VLOOKUP(F331,Carrier_Category!A:B,2,0)</f>
        <v>Commuter</v>
      </c>
      <c r="H331" s="5">
        <v>35</v>
      </c>
      <c r="I331" s="7">
        <f t="shared" si="16"/>
        <v>35</v>
      </c>
      <c r="J331" s="5">
        <v>843</v>
      </c>
      <c r="K331" s="18">
        <f t="shared" si="18"/>
        <v>24.085714285714285</v>
      </c>
    </row>
    <row r="332" spans="1:11" x14ac:dyDescent="0.3">
      <c r="A332" s="14">
        <v>2021</v>
      </c>
      <c r="B332" s="14">
        <f t="shared" si="17"/>
        <v>28</v>
      </c>
      <c r="C332" s="9">
        <v>44389</v>
      </c>
      <c r="D332" s="9">
        <v>44393</v>
      </c>
      <c r="E332" s="14">
        <f>VLOOKUP(F332,CarrierID!A:B,2,0)</f>
        <v>5</v>
      </c>
      <c r="F332" s="15" t="s">
        <v>1</v>
      </c>
      <c r="G332" t="str">
        <f>VLOOKUP(F332,Carrier_Category!A:B,2,0)</f>
        <v>Intercity</v>
      </c>
      <c r="H332" s="5">
        <v>61</v>
      </c>
      <c r="I332" s="7">
        <f t="shared" si="16"/>
        <v>61</v>
      </c>
      <c r="J332" s="5">
        <v>1850</v>
      </c>
      <c r="K332" s="18">
        <f t="shared" si="18"/>
        <v>30.327868852459016</v>
      </c>
    </row>
    <row r="333" spans="1:11" x14ac:dyDescent="0.3">
      <c r="A333" s="14">
        <v>2021</v>
      </c>
      <c r="B333" s="14">
        <f t="shared" si="17"/>
        <v>28</v>
      </c>
      <c r="C333" s="9">
        <v>44389</v>
      </c>
      <c r="D333" s="9">
        <v>44393</v>
      </c>
      <c r="E333" s="14">
        <f>VLOOKUP(F333,CarrierID!A:B,2,0)</f>
        <v>8</v>
      </c>
      <c r="F333" s="15" t="s">
        <v>2</v>
      </c>
      <c r="G333" t="str">
        <f>VLOOKUP(F333,Carrier_Category!A:B,2,0)</f>
        <v>Commuter</v>
      </c>
      <c r="H333" s="5">
        <v>17</v>
      </c>
      <c r="I333" s="7">
        <f t="shared" ref="I333:I396" si="19">H322</f>
        <v>18</v>
      </c>
      <c r="J333" s="5">
        <v>670</v>
      </c>
      <c r="K333" s="18">
        <f t="shared" si="18"/>
        <v>39.411764705882355</v>
      </c>
    </row>
    <row r="334" spans="1:11" x14ac:dyDescent="0.3">
      <c r="A334" s="14">
        <v>2021</v>
      </c>
      <c r="B334" s="14">
        <f t="shared" si="17"/>
        <v>28</v>
      </c>
      <c r="C334" s="9">
        <v>44389</v>
      </c>
      <c r="D334" s="9">
        <v>44393</v>
      </c>
      <c r="E334" s="14">
        <f>VLOOKUP(F334,CarrierID!A:B,2,0)</f>
        <v>9</v>
      </c>
      <c r="F334" s="15" t="s">
        <v>3</v>
      </c>
      <c r="G334" t="str">
        <f>VLOOKUP(F334,Carrier_Category!A:B,2,0)</f>
        <v>NJT</v>
      </c>
      <c r="H334" s="5">
        <v>2135</v>
      </c>
      <c r="I334" s="7">
        <f t="shared" si="19"/>
        <v>2126</v>
      </c>
      <c r="J334" s="5">
        <v>40256</v>
      </c>
      <c r="K334" s="18">
        <f t="shared" si="18"/>
        <v>18.855269320843092</v>
      </c>
    </row>
    <row r="335" spans="1:11" x14ac:dyDescent="0.3">
      <c r="A335" s="14">
        <v>2021</v>
      </c>
      <c r="B335" s="14">
        <f t="shared" si="17"/>
        <v>28</v>
      </c>
      <c r="C335" s="9">
        <v>44389</v>
      </c>
      <c r="D335" s="9">
        <v>44393</v>
      </c>
      <c r="E335" s="14">
        <f>VLOOKUP(F335,CarrierID!A:B,2,0)</f>
        <v>7</v>
      </c>
      <c r="F335" s="15" t="s">
        <v>4</v>
      </c>
      <c r="G335" t="str">
        <f>VLOOKUP(F335,Carrier_Category!A:B,2,0)</f>
        <v>Commuter</v>
      </c>
      <c r="H335" s="5">
        <v>20</v>
      </c>
      <c r="I335" s="7">
        <f t="shared" si="19"/>
        <v>20</v>
      </c>
      <c r="J335" s="5">
        <v>557</v>
      </c>
      <c r="K335" s="18">
        <f t="shared" si="18"/>
        <v>27.85</v>
      </c>
    </row>
    <row r="336" spans="1:11" x14ac:dyDescent="0.3">
      <c r="A336" s="14">
        <v>2021</v>
      </c>
      <c r="B336" s="14">
        <f t="shared" si="17"/>
        <v>28</v>
      </c>
      <c r="C336" s="9">
        <v>44389</v>
      </c>
      <c r="D336" s="9">
        <v>44393</v>
      </c>
      <c r="E336" s="14">
        <f>VLOOKUP(F336,CarrierID!A:B,2,0)</f>
        <v>11</v>
      </c>
      <c r="F336" s="15" t="s">
        <v>5</v>
      </c>
      <c r="G336" t="str">
        <f>VLOOKUP(F336,Carrier_Category!A:B,2,0)</f>
        <v>Intercity</v>
      </c>
      <c r="H336" s="5">
        <v>17</v>
      </c>
      <c r="I336" s="7">
        <f t="shared" si="19"/>
        <v>19</v>
      </c>
      <c r="J336" s="5">
        <v>421</v>
      </c>
      <c r="K336" s="18">
        <f t="shared" si="18"/>
        <v>24.764705882352942</v>
      </c>
    </row>
    <row r="337" spans="1:11" x14ac:dyDescent="0.3">
      <c r="A337" s="14">
        <v>2021</v>
      </c>
      <c r="B337" s="14">
        <f t="shared" si="17"/>
        <v>28</v>
      </c>
      <c r="C337" s="9">
        <v>44389</v>
      </c>
      <c r="D337" s="9">
        <v>44393</v>
      </c>
      <c r="E337" s="14">
        <f>VLOOKUP(F337,CarrierID!A:B,2,0)</f>
        <v>3</v>
      </c>
      <c r="F337" s="15" t="s">
        <v>6</v>
      </c>
      <c r="G337" t="str">
        <f>VLOOKUP(F337,Carrier_Category!A:B,2,0)</f>
        <v>Commuter</v>
      </c>
      <c r="H337" s="5">
        <v>95</v>
      </c>
      <c r="I337" s="7">
        <f t="shared" si="19"/>
        <v>94</v>
      </c>
      <c r="J337" s="5">
        <v>2630</v>
      </c>
      <c r="K337" s="18">
        <f t="shared" si="18"/>
        <v>27.684210526315791</v>
      </c>
    </row>
    <row r="338" spans="1:11" x14ac:dyDescent="0.3">
      <c r="A338" s="14">
        <v>2021</v>
      </c>
      <c r="B338" s="14">
        <f t="shared" si="17"/>
        <v>28</v>
      </c>
      <c r="C338" s="9">
        <v>44389</v>
      </c>
      <c r="D338" s="9">
        <v>44393</v>
      </c>
      <c r="E338" s="14">
        <f>VLOOKUP(F338,CarrierID!A:B,2,0)</f>
        <v>12</v>
      </c>
      <c r="F338" s="15" t="s">
        <v>25</v>
      </c>
      <c r="G338" t="str">
        <f>VLOOKUP(F338,Carrier_Category!A:B,2,0)</f>
        <v>Commuter</v>
      </c>
      <c r="H338" s="5">
        <v>14</v>
      </c>
      <c r="I338" s="7">
        <f t="shared" si="19"/>
        <v>14</v>
      </c>
      <c r="J338" s="5">
        <v>467</v>
      </c>
      <c r="K338" s="18">
        <f t="shared" si="18"/>
        <v>33.357142857142854</v>
      </c>
    </row>
    <row r="339" spans="1:11" x14ac:dyDescent="0.3">
      <c r="A339" s="14">
        <v>2021</v>
      </c>
      <c r="B339" s="14">
        <f t="shared" si="17"/>
        <v>28</v>
      </c>
      <c r="C339" s="9">
        <v>44389</v>
      </c>
      <c r="D339" s="9">
        <v>44393</v>
      </c>
      <c r="E339" s="14">
        <f>VLOOKUP(F339,CarrierID!A:B,2,0)</f>
        <v>10</v>
      </c>
      <c r="F339" s="15" t="s">
        <v>8</v>
      </c>
      <c r="G339" t="str">
        <f>VLOOKUP(F339,Carrier_Category!A:B,2,0)</f>
        <v>Intercity</v>
      </c>
      <c r="H339" s="5">
        <v>34</v>
      </c>
      <c r="I339" s="7">
        <f t="shared" si="19"/>
        <v>34</v>
      </c>
      <c r="J339" s="5">
        <v>1262</v>
      </c>
      <c r="K339" s="18">
        <f t="shared" si="18"/>
        <v>37.117647058823529</v>
      </c>
    </row>
    <row r="340" spans="1:11" x14ac:dyDescent="0.3">
      <c r="A340" s="14">
        <v>2021</v>
      </c>
      <c r="B340" s="14">
        <f t="shared" si="17"/>
        <v>28</v>
      </c>
      <c r="C340" s="9">
        <v>44389</v>
      </c>
      <c r="D340" s="9">
        <v>44393</v>
      </c>
      <c r="E340" s="14">
        <f>VLOOKUP(F340,CarrierID!A:B,2,0)</f>
        <v>4</v>
      </c>
      <c r="F340" s="15" t="s">
        <v>24</v>
      </c>
      <c r="G340" t="str">
        <f>VLOOKUP(F340,Carrier_Category!A:B,2,0)</f>
        <v>Commuter</v>
      </c>
      <c r="H340" s="5">
        <v>16</v>
      </c>
      <c r="I340" s="7">
        <f t="shared" si="19"/>
        <v>16</v>
      </c>
      <c r="J340" s="5">
        <v>188</v>
      </c>
      <c r="K340" s="18">
        <f t="shared" si="18"/>
        <v>11.75</v>
      </c>
    </row>
    <row r="341" spans="1:11" x14ac:dyDescent="0.3">
      <c r="A341" s="14">
        <v>2021</v>
      </c>
      <c r="B341" s="14">
        <f t="shared" si="17"/>
        <v>28</v>
      </c>
      <c r="C341" s="9">
        <v>44389</v>
      </c>
      <c r="D341" s="9">
        <v>44393</v>
      </c>
      <c r="E341" s="14">
        <f>VLOOKUP(F341,CarrierID!A:B,2,0)</f>
        <v>6</v>
      </c>
      <c r="F341" s="15" t="s">
        <v>9</v>
      </c>
      <c r="G341" t="str">
        <f>VLOOKUP(F341,Carrier_Category!A:B,2,0)</f>
        <v>Commuter</v>
      </c>
      <c r="H341" s="5">
        <v>93</v>
      </c>
      <c r="I341" s="7">
        <f t="shared" si="19"/>
        <v>93</v>
      </c>
      <c r="J341" s="5">
        <v>1437</v>
      </c>
      <c r="K341" s="18">
        <f t="shared" si="18"/>
        <v>15.451612903225806</v>
      </c>
    </row>
    <row r="342" spans="1:11" x14ac:dyDescent="0.3">
      <c r="A342" s="14">
        <v>2021</v>
      </c>
      <c r="B342" s="14">
        <f t="shared" si="17"/>
        <v>29</v>
      </c>
      <c r="C342" s="9">
        <v>44396</v>
      </c>
      <c r="D342" s="9">
        <v>44400</v>
      </c>
      <c r="E342" s="14">
        <f>VLOOKUP(F342,CarrierID!A:B,2,0)</f>
        <v>1</v>
      </c>
      <c r="F342" s="15" t="s">
        <v>0</v>
      </c>
      <c r="G342" t="str">
        <f>VLOOKUP(F342,Carrier_Category!A:B,2,0)</f>
        <v>Commuter</v>
      </c>
      <c r="H342" s="5">
        <v>35</v>
      </c>
      <c r="I342" s="7">
        <f t="shared" si="19"/>
        <v>35</v>
      </c>
      <c r="J342" s="5">
        <v>869</v>
      </c>
      <c r="K342" s="18">
        <f t="shared" si="18"/>
        <v>24.828571428571429</v>
      </c>
    </row>
    <row r="343" spans="1:11" x14ac:dyDescent="0.3">
      <c r="A343" s="14">
        <v>2021</v>
      </c>
      <c r="B343" s="14">
        <f t="shared" si="17"/>
        <v>29</v>
      </c>
      <c r="C343" s="9">
        <v>44396</v>
      </c>
      <c r="D343" s="9">
        <v>44400</v>
      </c>
      <c r="E343" s="14">
        <f>VLOOKUP(F343,CarrierID!A:B,2,0)</f>
        <v>5</v>
      </c>
      <c r="F343" s="15" t="s">
        <v>1</v>
      </c>
      <c r="G343" t="str">
        <f>VLOOKUP(F343,Carrier_Category!A:B,2,0)</f>
        <v>Intercity</v>
      </c>
      <c r="H343" s="5">
        <v>58</v>
      </c>
      <c r="I343" s="7">
        <f t="shared" si="19"/>
        <v>61</v>
      </c>
      <c r="J343" s="5">
        <v>1685</v>
      </c>
      <c r="K343" s="18">
        <f t="shared" si="18"/>
        <v>29.051724137931036</v>
      </c>
    </row>
    <row r="344" spans="1:11" x14ac:dyDescent="0.3">
      <c r="A344" s="14">
        <v>2021</v>
      </c>
      <c r="B344" s="14">
        <f t="shared" si="17"/>
        <v>29</v>
      </c>
      <c r="C344" s="9">
        <v>44396</v>
      </c>
      <c r="D344" s="9">
        <v>44400</v>
      </c>
      <c r="E344" s="14">
        <f>VLOOKUP(F344,CarrierID!A:B,2,0)</f>
        <v>8</v>
      </c>
      <c r="F344" s="15" t="s">
        <v>2</v>
      </c>
      <c r="G344" t="str">
        <f>VLOOKUP(F344,Carrier_Category!A:B,2,0)</f>
        <v>Commuter</v>
      </c>
      <c r="H344" s="5">
        <v>17</v>
      </c>
      <c r="I344" s="7">
        <f t="shared" si="19"/>
        <v>17</v>
      </c>
      <c r="J344" s="5">
        <v>704</v>
      </c>
      <c r="K344" s="18">
        <f t="shared" si="18"/>
        <v>41.411764705882355</v>
      </c>
    </row>
    <row r="345" spans="1:11" x14ac:dyDescent="0.3">
      <c r="A345" s="14">
        <v>2021</v>
      </c>
      <c r="B345" s="14">
        <f t="shared" si="17"/>
        <v>29</v>
      </c>
      <c r="C345" s="9">
        <v>44396</v>
      </c>
      <c r="D345" s="9">
        <v>44400</v>
      </c>
      <c r="E345" s="14">
        <f>VLOOKUP(F345,CarrierID!A:B,2,0)</f>
        <v>9</v>
      </c>
      <c r="F345" s="15" t="s">
        <v>3</v>
      </c>
      <c r="G345" t="str">
        <f>VLOOKUP(F345,Carrier_Category!A:B,2,0)</f>
        <v>NJT</v>
      </c>
      <c r="H345" s="5">
        <v>2097</v>
      </c>
      <c r="I345" s="7">
        <f t="shared" si="19"/>
        <v>2135</v>
      </c>
      <c r="J345" s="5">
        <v>39440</v>
      </c>
      <c r="K345" s="18">
        <f t="shared" si="18"/>
        <v>18.807820696232714</v>
      </c>
    </row>
    <row r="346" spans="1:11" x14ac:dyDescent="0.3">
      <c r="A346" s="14">
        <v>2021</v>
      </c>
      <c r="B346" s="14">
        <f t="shared" si="17"/>
        <v>29</v>
      </c>
      <c r="C346" s="9">
        <v>44396</v>
      </c>
      <c r="D346" s="9">
        <v>44400</v>
      </c>
      <c r="E346" s="14">
        <f>VLOOKUP(F346,CarrierID!A:B,2,0)</f>
        <v>7</v>
      </c>
      <c r="F346" s="15" t="s">
        <v>4</v>
      </c>
      <c r="G346" t="str">
        <f>VLOOKUP(F346,Carrier_Category!A:B,2,0)</f>
        <v>Commuter</v>
      </c>
      <c r="H346" s="5">
        <v>20</v>
      </c>
      <c r="I346" s="7">
        <f t="shared" si="19"/>
        <v>20</v>
      </c>
      <c r="J346" s="5">
        <v>579</v>
      </c>
      <c r="K346" s="18">
        <f t="shared" si="18"/>
        <v>28.95</v>
      </c>
    </row>
    <row r="347" spans="1:11" x14ac:dyDescent="0.3">
      <c r="A347" s="14">
        <v>2021</v>
      </c>
      <c r="B347" s="14">
        <f t="shared" si="17"/>
        <v>29</v>
      </c>
      <c r="C347" s="9">
        <v>44396</v>
      </c>
      <c r="D347" s="9">
        <v>44400</v>
      </c>
      <c r="E347" s="14">
        <f>VLOOKUP(F347,CarrierID!A:B,2,0)</f>
        <v>11</v>
      </c>
      <c r="F347" s="15" t="s">
        <v>5</v>
      </c>
      <c r="G347" t="str">
        <f>VLOOKUP(F347,Carrier_Category!A:B,2,0)</f>
        <v>Intercity</v>
      </c>
      <c r="H347" s="5">
        <v>17</v>
      </c>
      <c r="I347" s="7">
        <f t="shared" si="19"/>
        <v>17</v>
      </c>
      <c r="J347" s="5">
        <v>451</v>
      </c>
      <c r="K347" s="18">
        <f t="shared" si="18"/>
        <v>26.529411764705884</v>
      </c>
    </row>
    <row r="348" spans="1:11" x14ac:dyDescent="0.3">
      <c r="A348" s="14">
        <v>2021</v>
      </c>
      <c r="B348" s="14">
        <f t="shared" si="17"/>
        <v>29</v>
      </c>
      <c r="C348" s="9">
        <v>44396</v>
      </c>
      <c r="D348" s="9">
        <v>44400</v>
      </c>
      <c r="E348" s="14">
        <f>VLOOKUP(F348,CarrierID!A:B,2,0)</f>
        <v>3</v>
      </c>
      <c r="F348" s="15" t="s">
        <v>6</v>
      </c>
      <c r="G348" t="str">
        <f>VLOOKUP(F348,Carrier_Category!A:B,2,0)</f>
        <v>Commuter</v>
      </c>
      <c r="H348" s="5">
        <v>99</v>
      </c>
      <c r="I348" s="7">
        <f t="shared" si="19"/>
        <v>95</v>
      </c>
      <c r="J348" s="5">
        <v>2716</v>
      </c>
      <c r="K348" s="18">
        <f t="shared" si="18"/>
        <v>27.434343434343436</v>
      </c>
    </row>
    <row r="349" spans="1:11" x14ac:dyDescent="0.3">
      <c r="A349" s="14">
        <v>2021</v>
      </c>
      <c r="B349" s="14">
        <f t="shared" si="17"/>
        <v>29</v>
      </c>
      <c r="C349" s="9">
        <v>44396</v>
      </c>
      <c r="D349" s="9">
        <v>44400</v>
      </c>
      <c r="E349" s="14">
        <f>VLOOKUP(F349,CarrierID!A:B,2,0)</f>
        <v>12</v>
      </c>
      <c r="F349" s="15" t="s">
        <v>25</v>
      </c>
      <c r="G349" t="str">
        <f>VLOOKUP(F349,Carrier_Category!A:B,2,0)</f>
        <v>Commuter</v>
      </c>
      <c r="H349" s="5">
        <v>15</v>
      </c>
      <c r="I349" s="7">
        <f t="shared" si="19"/>
        <v>14</v>
      </c>
      <c r="J349" s="5">
        <v>495</v>
      </c>
      <c r="K349" s="18">
        <f t="shared" si="18"/>
        <v>33</v>
      </c>
    </row>
    <row r="350" spans="1:11" x14ac:dyDescent="0.3">
      <c r="A350" s="14">
        <v>2021</v>
      </c>
      <c r="B350" s="14">
        <f t="shared" si="17"/>
        <v>29</v>
      </c>
      <c r="C350" s="9">
        <v>44396</v>
      </c>
      <c r="D350" s="9">
        <v>44400</v>
      </c>
      <c r="E350" s="14">
        <f>VLOOKUP(F350,CarrierID!A:B,2,0)</f>
        <v>10</v>
      </c>
      <c r="F350" s="15" t="s">
        <v>8</v>
      </c>
      <c r="G350" t="str">
        <f>VLOOKUP(F350,Carrier_Category!A:B,2,0)</f>
        <v>Intercity</v>
      </c>
      <c r="H350" s="5">
        <v>25</v>
      </c>
      <c r="I350" s="7">
        <f t="shared" si="19"/>
        <v>34</v>
      </c>
      <c r="J350" s="5">
        <v>819</v>
      </c>
      <c r="K350" s="18">
        <f t="shared" si="18"/>
        <v>32.76</v>
      </c>
    </row>
    <row r="351" spans="1:11" x14ac:dyDescent="0.3">
      <c r="A351" s="14">
        <v>2021</v>
      </c>
      <c r="B351" s="14">
        <f t="shared" si="17"/>
        <v>29</v>
      </c>
      <c r="C351" s="9">
        <v>44396</v>
      </c>
      <c r="D351" s="9">
        <v>44400</v>
      </c>
      <c r="E351" s="14">
        <f>VLOOKUP(F351,CarrierID!A:B,2,0)</f>
        <v>4</v>
      </c>
      <c r="F351" s="15" t="s">
        <v>24</v>
      </c>
      <c r="G351" t="str">
        <f>VLOOKUP(F351,Carrier_Category!A:B,2,0)</f>
        <v>Commuter</v>
      </c>
      <c r="H351" s="5">
        <v>16</v>
      </c>
      <c r="I351" s="7">
        <f t="shared" si="19"/>
        <v>16</v>
      </c>
      <c r="J351" s="5">
        <v>194</v>
      </c>
      <c r="K351" s="18">
        <f t="shared" si="18"/>
        <v>12.125</v>
      </c>
    </row>
    <row r="352" spans="1:11" x14ac:dyDescent="0.3">
      <c r="A352" s="14">
        <v>2021</v>
      </c>
      <c r="B352" s="14">
        <f t="shared" si="17"/>
        <v>29</v>
      </c>
      <c r="C352" s="9">
        <v>44396</v>
      </c>
      <c r="D352" s="9">
        <v>44400</v>
      </c>
      <c r="E352" s="14">
        <f>VLOOKUP(F352,CarrierID!A:B,2,0)</f>
        <v>6</v>
      </c>
      <c r="F352" s="15" t="s">
        <v>9</v>
      </c>
      <c r="G352" t="str">
        <f>VLOOKUP(F352,Carrier_Category!A:B,2,0)</f>
        <v>Commuter</v>
      </c>
      <c r="H352" s="5">
        <v>89</v>
      </c>
      <c r="I352" s="7">
        <f t="shared" si="19"/>
        <v>93</v>
      </c>
      <c r="J352" s="5">
        <v>1455</v>
      </c>
      <c r="K352" s="18">
        <f t="shared" si="18"/>
        <v>16.348314606741575</v>
      </c>
    </row>
    <row r="353" spans="1:11" x14ac:dyDescent="0.3">
      <c r="A353" s="14">
        <v>2021</v>
      </c>
      <c r="B353" s="14">
        <f t="shared" si="17"/>
        <v>30</v>
      </c>
      <c r="C353" s="9">
        <v>44403</v>
      </c>
      <c r="D353" s="9">
        <v>44407</v>
      </c>
      <c r="E353" s="14">
        <f>VLOOKUP(F353,CarrierID!A:B,2,0)</f>
        <v>1</v>
      </c>
      <c r="F353" s="15" t="s">
        <v>0</v>
      </c>
      <c r="G353" t="str">
        <f>VLOOKUP(F353,Carrier_Category!A:B,2,0)</f>
        <v>Commuter</v>
      </c>
      <c r="H353" s="5">
        <v>35</v>
      </c>
      <c r="I353" s="7">
        <f t="shared" si="19"/>
        <v>35</v>
      </c>
      <c r="J353" s="5">
        <v>872</v>
      </c>
      <c r="K353" s="18">
        <f t="shared" si="18"/>
        <v>24.914285714285715</v>
      </c>
    </row>
    <row r="354" spans="1:11" x14ac:dyDescent="0.3">
      <c r="A354" s="14">
        <v>2021</v>
      </c>
      <c r="B354" s="14">
        <f t="shared" si="17"/>
        <v>30</v>
      </c>
      <c r="C354" s="9">
        <v>44403</v>
      </c>
      <c r="D354" s="9">
        <v>44407</v>
      </c>
      <c r="E354" s="14">
        <f>VLOOKUP(F354,CarrierID!A:B,2,0)</f>
        <v>5</v>
      </c>
      <c r="F354" s="15" t="s">
        <v>1</v>
      </c>
      <c r="G354" t="str">
        <f>VLOOKUP(F354,Carrier_Category!A:B,2,0)</f>
        <v>Intercity</v>
      </c>
      <c r="H354" s="5">
        <v>59</v>
      </c>
      <c r="I354" s="7">
        <f t="shared" si="19"/>
        <v>58</v>
      </c>
      <c r="J354" s="5">
        <v>1672</v>
      </c>
      <c r="K354" s="18">
        <f t="shared" si="18"/>
        <v>28.338983050847457</v>
      </c>
    </row>
    <row r="355" spans="1:11" x14ac:dyDescent="0.3">
      <c r="A355" s="14">
        <v>2021</v>
      </c>
      <c r="B355" s="14">
        <f t="shared" si="17"/>
        <v>30</v>
      </c>
      <c r="C355" s="9">
        <v>44403</v>
      </c>
      <c r="D355" s="9">
        <v>44407</v>
      </c>
      <c r="E355" s="14">
        <f>VLOOKUP(F355,CarrierID!A:B,2,0)</f>
        <v>8</v>
      </c>
      <c r="F355" s="15" t="s">
        <v>2</v>
      </c>
      <c r="G355" t="str">
        <f>VLOOKUP(F355,Carrier_Category!A:B,2,0)</f>
        <v>Commuter</v>
      </c>
      <c r="H355" s="5">
        <v>17</v>
      </c>
      <c r="I355" s="7">
        <f t="shared" si="19"/>
        <v>17</v>
      </c>
      <c r="J355" s="5">
        <v>680</v>
      </c>
      <c r="K355" s="18">
        <f t="shared" si="18"/>
        <v>40</v>
      </c>
    </row>
    <row r="356" spans="1:11" x14ac:dyDescent="0.3">
      <c r="A356" s="14">
        <v>2021</v>
      </c>
      <c r="B356" s="14">
        <f t="shared" si="17"/>
        <v>30</v>
      </c>
      <c r="C356" s="9">
        <v>44403</v>
      </c>
      <c r="D356" s="9">
        <v>44407</v>
      </c>
      <c r="E356" s="14">
        <f>VLOOKUP(F356,CarrierID!A:B,2,0)</f>
        <v>9</v>
      </c>
      <c r="F356" s="15" t="s">
        <v>3</v>
      </c>
      <c r="G356" t="str">
        <f>VLOOKUP(F356,Carrier_Category!A:B,2,0)</f>
        <v>NJT</v>
      </c>
      <c r="H356" s="5">
        <v>2080</v>
      </c>
      <c r="I356" s="7">
        <f t="shared" si="19"/>
        <v>2097</v>
      </c>
      <c r="J356" s="5">
        <v>40047</v>
      </c>
      <c r="K356" s="18">
        <f t="shared" si="18"/>
        <v>19.253365384615385</v>
      </c>
    </row>
    <row r="357" spans="1:11" x14ac:dyDescent="0.3">
      <c r="A357" s="14">
        <v>2021</v>
      </c>
      <c r="B357" s="14">
        <f t="shared" si="17"/>
        <v>30</v>
      </c>
      <c r="C357" s="9">
        <v>44403</v>
      </c>
      <c r="D357" s="9">
        <v>44407</v>
      </c>
      <c r="E357" s="14">
        <f>VLOOKUP(F357,CarrierID!A:B,2,0)</f>
        <v>7</v>
      </c>
      <c r="F357" s="15" t="s">
        <v>4</v>
      </c>
      <c r="G357" t="str">
        <f>VLOOKUP(F357,Carrier_Category!A:B,2,0)</f>
        <v>Commuter</v>
      </c>
      <c r="H357" s="5">
        <v>20</v>
      </c>
      <c r="I357" s="7">
        <f t="shared" si="19"/>
        <v>20</v>
      </c>
      <c r="J357" s="5">
        <v>578</v>
      </c>
      <c r="K357" s="18">
        <f t="shared" si="18"/>
        <v>28.9</v>
      </c>
    </row>
    <row r="358" spans="1:11" x14ac:dyDescent="0.3">
      <c r="A358" s="14">
        <v>2021</v>
      </c>
      <c r="B358" s="14">
        <f t="shared" si="17"/>
        <v>30</v>
      </c>
      <c r="C358" s="9">
        <v>44403</v>
      </c>
      <c r="D358" s="9">
        <v>44407</v>
      </c>
      <c r="E358" s="14">
        <f>VLOOKUP(F358,CarrierID!A:B,2,0)</f>
        <v>11</v>
      </c>
      <c r="F358" s="15" t="s">
        <v>5</v>
      </c>
      <c r="G358" t="str">
        <f>VLOOKUP(F358,Carrier_Category!A:B,2,0)</f>
        <v>Intercity</v>
      </c>
      <c r="H358" s="5">
        <v>17</v>
      </c>
      <c r="I358" s="7">
        <f t="shared" si="19"/>
        <v>17</v>
      </c>
      <c r="J358" s="5">
        <v>468</v>
      </c>
      <c r="K358" s="18">
        <f t="shared" si="18"/>
        <v>27.529411764705884</v>
      </c>
    </row>
    <row r="359" spans="1:11" x14ac:dyDescent="0.3">
      <c r="A359" s="14">
        <v>2021</v>
      </c>
      <c r="B359" s="14">
        <f t="shared" si="17"/>
        <v>30</v>
      </c>
      <c r="C359" s="9">
        <v>44403</v>
      </c>
      <c r="D359" s="9">
        <v>44407</v>
      </c>
      <c r="E359" s="14">
        <f>VLOOKUP(F359,CarrierID!A:B,2,0)</f>
        <v>3</v>
      </c>
      <c r="F359" s="15" t="s">
        <v>6</v>
      </c>
      <c r="G359" t="str">
        <f>VLOOKUP(F359,Carrier_Category!A:B,2,0)</f>
        <v>Commuter</v>
      </c>
      <c r="H359" s="5">
        <v>101</v>
      </c>
      <c r="I359" s="7">
        <f t="shared" si="19"/>
        <v>99</v>
      </c>
      <c r="J359" s="5">
        <v>2776</v>
      </c>
      <c r="K359" s="18">
        <f t="shared" si="18"/>
        <v>27.485148514851485</v>
      </c>
    </row>
    <row r="360" spans="1:11" x14ac:dyDescent="0.3">
      <c r="A360" s="14">
        <v>2021</v>
      </c>
      <c r="B360" s="14">
        <f t="shared" si="17"/>
        <v>30</v>
      </c>
      <c r="C360" s="9">
        <v>44403</v>
      </c>
      <c r="D360" s="9">
        <v>44407</v>
      </c>
      <c r="E360" s="14">
        <f>VLOOKUP(F360,CarrierID!A:B,2,0)</f>
        <v>12</v>
      </c>
      <c r="F360" s="15" t="s">
        <v>25</v>
      </c>
      <c r="G360" t="str">
        <f>VLOOKUP(F360,Carrier_Category!A:B,2,0)</f>
        <v>Commuter</v>
      </c>
      <c r="H360" s="5">
        <v>15</v>
      </c>
      <c r="I360" s="7">
        <f t="shared" si="19"/>
        <v>15</v>
      </c>
      <c r="J360" s="5">
        <v>484</v>
      </c>
      <c r="K360" s="18">
        <f t="shared" si="18"/>
        <v>32.266666666666666</v>
      </c>
    </row>
    <row r="361" spans="1:11" x14ac:dyDescent="0.3">
      <c r="A361" s="14">
        <v>2021</v>
      </c>
      <c r="B361" s="14">
        <f t="shared" si="17"/>
        <v>30</v>
      </c>
      <c r="C361" s="9">
        <v>44403</v>
      </c>
      <c r="D361" s="9">
        <v>44407</v>
      </c>
      <c r="E361" s="14">
        <f>VLOOKUP(F361,CarrierID!A:B,2,0)</f>
        <v>10</v>
      </c>
      <c r="F361" s="15" t="s">
        <v>8</v>
      </c>
      <c r="G361" t="str">
        <f>VLOOKUP(F361,Carrier_Category!A:B,2,0)</f>
        <v>Intercity</v>
      </c>
      <c r="H361" s="5">
        <v>25</v>
      </c>
      <c r="I361" s="7">
        <f t="shared" si="19"/>
        <v>25</v>
      </c>
      <c r="J361" s="5">
        <v>770</v>
      </c>
      <c r="K361" s="18">
        <f t="shared" si="18"/>
        <v>30.8</v>
      </c>
    </row>
    <row r="362" spans="1:11" x14ac:dyDescent="0.3">
      <c r="A362" s="14">
        <v>2021</v>
      </c>
      <c r="B362" s="14">
        <f t="shared" si="17"/>
        <v>30</v>
      </c>
      <c r="C362" s="9">
        <v>44403</v>
      </c>
      <c r="D362" s="9">
        <v>44407</v>
      </c>
      <c r="E362" s="14">
        <f>VLOOKUP(F362,CarrierID!A:B,2,0)</f>
        <v>4</v>
      </c>
      <c r="F362" s="15" t="s">
        <v>24</v>
      </c>
      <c r="G362" t="str">
        <f>VLOOKUP(F362,Carrier_Category!A:B,2,0)</f>
        <v>Commuter</v>
      </c>
      <c r="H362" s="5">
        <v>16</v>
      </c>
      <c r="I362" s="7">
        <f t="shared" si="19"/>
        <v>16</v>
      </c>
      <c r="J362" s="5">
        <v>189</v>
      </c>
      <c r="K362" s="18">
        <f t="shared" si="18"/>
        <v>11.8125</v>
      </c>
    </row>
    <row r="363" spans="1:11" x14ac:dyDescent="0.3">
      <c r="A363" s="14">
        <v>2021</v>
      </c>
      <c r="B363" s="14">
        <f t="shared" si="17"/>
        <v>30</v>
      </c>
      <c r="C363" s="9">
        <v>44403</v>
      </c>
      <c r="D363" s="9">
        <v>44407</v>
      </c>
      <c r="E363" s="14">
        <f>VLOOKUP(F363,CarrierID!A:B,2,0)</f>
        <v>6</v>
      </c>
      <c r="F363" s="15" t="s">
        <v>9</v>
      </c>
      <c r="G363" t="str">
        <f>VLOOKUP(F363,Carrier_Category!A:B,2,0)</f>
        <v>Commuter</v>
      </c>
      <c r="H363" s="5">
        <v>94</v>
      </c>
      <c r="I363" s="7">
        <f t="shared" si="19"/>
        <v>89</v>
      </c>
      <c r="J363" s="5">
        <v>1530</v>
      </c>
      <c r="K363" s="18">
        <f t="shared" si="18"/>
        <v>16.276595744680851</v>
      </c>
    </row>
    <row r="364" spans="1:11" x14ac:dyDescent="0.3">
      <c r="A364" s="14">
        <v>2021</v>
      </c>
      <c r="B364" s="14">
        <f t="shared" si="17"/>
        <v>31</v>
      </c>
      <c r="C364" s="9">
        <v>44410</v>
      </c>
      <c r="D364" s="9">
        <v>44414</v>
      </c>
      <c r="E364" s="14">
        <f>VLOOKUP(F364,CarrierID!A:B,2,0)</f>
        <v>1</v>
      </c>
      <c r="F364" s="15" t="s">
        <v>0</v>
      </c>
      <c r="G364" t="str">
        <f>VLOOKUP(F364,Carrier_Category!A:B,2,0)</f>
        <v>Commuter</v>
      </c>
      <c r="H364" s="5">
        <v>36</v>
      </c>
      <c r="I364" s="7">
        <f t="shared" si="19"/>
        <v>35</v>
      </c>
      <c r="J364" s="5">
        <v>869</v>
      </c>
      <c r="K364" s="18">
        <f t="shared" si="18"/>
        <v>24.138888888888889</v>
      </c>
    </row>
    <row r="365" spans="1:11" x14ac:dyDescent="0.3">
      <c r="A365" s="14">
        <v>2021</v>
      </c>
      <c r="B365" s="14">
        <f t="shared" si="17"/>
        <v>31</v>
      </c>
      <c r="C365" s="9">
        <v>44410</v>
      </c>
      <c r="D365" s="9">
        <v>44414</v>
      </c>
      <c r="E365" s="14">
        <f>VLOOKUP(F365,CarrierID!A:B,2,0)</f>
        <v>5</v>
      </c>
      <c r="F365" s="15" t="s">
        <v>1</v>
      </c>
      <c r="G365" t="str">
        <f>VLOOKUP(F365,Carrier_Category!A:B,2,0)</f>
        <v>Intercity</v>
      </c>
      <c r="H365" s="5">
        <v>60</v>
      </c>
      <c r="I365" s="7">
        <f t="shared" si="19"/>
        <v>59</v>
      </c>
      <c r="J365" s="5">
        <v>1724</v>
      </c>
      <c r="K365" s="18">
        <f t="shared" si="18"/>
        <v>28.733333333333334</v>
      </c>
    </row>
    <row r="366" spans="1:11" x14ac:dyDescent="0.3">
      <c r="A366" s="14">
        <v>2021</v>
      </c>
      <c r="B366" s="14">
        <f t="shared" si="17"/>
        <v>31</v>
      </c>
      <c r="C366" s="9">
        <v>44410</v>
      </c>
      <c r="D366" s="9">
        <v>44414</v>
      </c>
      <c r="E366" s="14">
        <f>VLOOKUP(F366,CarrierID!A:B,2,0)</f>
        <v>8</v>
      </c>
      <c r="F366" s="15" t="s">
        <v>2</v>
      </c>
      <c r="G366" t="str">
        <f>VLOOKUP(F366,Carrier_Category!A:B,2,0)</f>
        <v>Commuter</v>
      </c>
      <c r="H366" s="5">
        <v>17</v>
      </c>
      <c r="I366" s="7">
        <f t="shared" si="19"/>
        <v>17</v>
      </c>
      <c r="J366" s="5">
        <v>695</v>
      </c>
      <c r="K366" s="18">
        <f t="shared" si="18"/>
        <v>40.882352941176471</v>
      </c>
    </row>
    <row r="367" spans="1:11" x14ac:dyDescent="0.3">
      <c r="A367" s="14">
        <v>2021</v>
      </c>
      <c r="B367" s="14">
        <f t="shared" si="17"/>
        <v>31</v>
      </c>
      <c r="C367" s="9">
        <v>44410</v>
      </c>
      <c r="D367" s="9">
        <v>44414</v>
      </c>
      <c r="E367" s="14">
        <f>VLOOKUP(F367,CarrierID!A:B,2,0)</f>
        <v>9</v>
      </c>
      <c r="F367" s="15" t="s">
        <v>3</v>
      </c>
      <c r="G367" t="str">
        <f>VLOOKUP(F367,Carrier_Category!A:B,2,0)</f>
        <v>NJT</v>
      </c>
      <c r="H367" s="5">
        <v>2116</v>
      </c>
      <c r="I367" s="7">
        <f t="shared" si="19"/>
        <v>2080</v>
      </c>
      <c r="J367" s="5">
        <v>40106</v>
      </c>
      <c r="K367" s="18">
        <f t="shared" si="18"/>
        <v>18.953686200378073</v>
      </c>
    </row>
    <row r="368" spans="1:11" x14ac:dyDescent="0.3">
      <c r="A368" s="14">
        <v>2021</v>
      </c>
      <c r="B368" s="14">
        <f t="shared" si="17"/>
        <v>31</v>
      </c>
      <c r="C368" s="9">
        <v>44410</v>
      </c>
      <c r="D368" s="9">
        <v>44414</v>
      </c>
      <c r="E368" s="14">
        <f>VLOOKUP(F368,CarrierID!A:B,2,0)</f>
        <v>7</v>
      </c>
      <c r="F368" s="15" t="s">
        <v>4</v>
      </c>
      <c r="G368" t="str">
        <f>VLOOKUP(F368,Carrier_Category!A:B,2,0)</f>
        <v>Commuter</v>
      </c>
      <c r="H368" s="5">
        <v>20</v>
      </c>
      <c r="I368" s="7">
        <f t="shared" si="19"/>
        <v>20</v>
      </c>
      <c r="J368" s="5">
        <v>582</v>
      </c>
      <c r="K368" s="18">
        <f t="shared" si="18"/>
        <v>29.1</v>
      </c>
    </row>
    <row r="369" spans="1:11" x14ac:dyDescent="0.3">
      <c r="A369" s="14">
        <v>2021</v>
      </c>
      <c r="B369" s="14">
        <f t="shared" si="17"/>
        <v>31</v>
      </c>
      <c r="C369" s="9">
        <v>44410</v>
      </c>
      <c r="D369" s="9">
        <v>44414</v>
      </c>
      <c r="E369" s="14">
        <f>VLOOKUP(F369,CarrierID!A:B,2,0)</f>
        <v>11</v>
      </c>
      <c r="F369" s="15" t="s">
        <v>5</v>
      </c>
      <c r="G369" t="str">
        <f>VLOOKUP(F369,Carrier_Category!A:B,2,0)</f>
        <v>Intercity</v>
      </c>
      <c r="H369" s="5">
        <v>18</v>
      </c>
      <c r="I369" s="7">
        <f t="shared" si="19"/>
        <v>17</v>
      </c>
      <c r="J369" s="5">
        <v>464</v>
      </c>
      <c r="K369" s="18">
        <f t="shared" si="18"/>
        <v>25.777777777777779</v>
      </c>
    </row>
    <row r="370" spans="1:11" x14ac:dyDescent="0.3">
      <c r="A370" s="14">
        <v>2021</v>
      </c>
      <c r="B370" s="14">
        <f t="shared" si="17"/>
        <v>31</v>
      </c>
      <c r="C370" s="9">
        <v>44410</v>
      </c>
      <c r="D370" s="9">
        <v>44414</v>
      </c>
      <c r="E370" s="14">
        <f>VLOOKUP(F370,CarrierID!A:B,2,0)</f>
        <v>3</v>
      </c>
      <c r="F370" s="15" t="s">
        <v>6</v>
      </c>
      <c r="G370" t="str">
        <f>VLOOKUP(F370,Carrier_Category!A:B,2,0)</f>
        <v>Commuter</v>
      </c>
      <c r="H370" s="5">
        <v>102</v>
      </c>
      <c r="I370" s="7">
        <f t="shared" si="19"/>
        <v>101</v>
      </c>
      <c r="J370" s="5">
        <v>2740</v>
      </c>
      <c r="K370" s="18">
        <f t="shared" si="18"/>
        <v>26.862745098039216</v>
      </c>
    </row>
    <row r="371" spans="1:11" x14ac:dyDescent="0.3">
      <c r="A371" s="14">
        <v>2021</v>
      </c>
      <c r="B371" s="14">
        <f t="shared" si="17"/>
        <v>31</v>
      </c>
      <c r="C371" s="9">
        <v>44410</v>
      </c>
      <c r="D371" s="9">
        <v>44414</v>
      </c>
      <c r="E371" s="14">
        <f>VLOOKUP(F371,CarrierID!A:B,2,0)</f>
        <v>12</v>
      </c>
      <c r="F371" s="15" t="s">
        <v>25</v>
      </c>
      <c r="G371" t="str">
        <f>VLOOKUP(F371,Carrier_Category!A:B,2,0)</f>
        <v>Commuter</v>
      </c>
      <c r="H371" s="5">
        <v>15</v>
      </c>
      <c r="I371" s="7">
        <f t="shared" si="19"/>
        <v>15</v>
      </c>
      <c r="J371" s="5">
        <v>495</v>
      </c>
      <c r="K371" s="18">
        <f t="shared" si="18"/>
        <v>33</v>
      </c>
    </row>
    <row r="372" spans="1:11" x14ac:dyDescent="0.3">
      <c r="A372" s="14">
        <v>2021</v>
      </c>
      <c r="B372" s="14">
        <f t="shared" si="17"/>
        <v>31</v>
      </c>
      <c r="C372" s="9">
        <v>44410</v>
      </c>
      <c r="D372" s="9">
        <v>44414</v>
      </c>
      <c r="E372" s="14">
        <f>VLOOKUP(F372,CarrierID!A:B,2,0)</f>
        <v>10</v>
      </c>
      <c r="F372" s="15" t="s">
        <v>8</v>
      </c>
      <c r="G372" t="str">
        <f>VLOOKUP(F372,Carrier_Category!A:B,2,0)</f>
        <v>Intercity</v>
      </c>
      <c r="H372" s="5">
        <v>25</v>
      </c>
      <c r="I372" s="7">
        <f t="shared" si="19"/>
        <v>25</v>
      </c>
      <c r="J372" s="5">
        <v>790</v>
      </c>
      <c r="K372" s="18">
        <f t="shared" si="18"/>
        <v>31.6</v>
      </c>
    </row>
    <row r="373" spans="1:11" x14ac:dyDescent="0.3">
      <c r="A373" s="14">
        <v>2021</v>
      </c>
      <c r="B373" s="14">
        <f t="shared" si="17"/>
        <v>31</v>
      </c>
      <c r="C373" s="9">
        <v>44410</v>
      </c>
      <c r="D373" s="9">
        <v>44414</v>
      </c>
      <c r="E373" s="14">
        <f>VLOOKUP(F373,CarrierID!A:B,2,0)</f>
        <v>4</v>
      </c>
      <c r="F373" s="15" t="s">
        <v>24</v>
      </c>
      <c r="G373" t="str">
        <f>VLOOKUP(F373,Carrier_Category!A:B,2,0)</f>
        <v>Commuter</v>
      </c>
      <c r="H373" s="5">
        <v>16</v>
      </c>
      <c r="I373" s="7">
        <f t="shared" si="19"/>
        <v>16</v>
      </c>
      <c r="J373" s="5">
        <v>198</v>
      </c>
      <c r="K373" s="18">
        <f t="shared" si="18"/>
        <v>12.375</v>
      </c>
    </row>
    <row r="374" spans="1:11" x14ac:dyDescent="0.3">
      <c r="A374" s="14">
        <v>2021</v>
      </c>
      <c r="B374" s="14">
        <f t="shared" si="17"/>
        <v>31</v>
      </c>
      <c r="C374" s="9">
        <v>44410</v>
      </c>
      <c r="D374" s="9">
        <v>44414</v>
      </c>
      <c r="E374" s="14">
        <f>VLOOKUP(F374,CarrierID!A:B,2,0)</f>
        <v>6</v>
      </c>
      <c r="F374" s="15" t="s">
        <v>9</v>
      </c>
      <c r="G374" t="str">
        <f>VLOOKUP(F374,Carrier_Category!A:B,2,0)</f>
        <v>Commuter</v>
      </c>
      <c r="H374" s="5">
        <v>94</v>
      </c>
      <c r="I374" s="7">
        <f t="shared" si="19"/>
        <v>94</v>
      </c>
      <c r="J374" s="5">
        <v>1530</v>
      </c>
      <c r="K374" s="18">
        <f t="shared" si="18"/>
        <v>16.276595744680851</v>
      </c>
    </row>
    <row r="375" spans="1:11" x14ac:dyDescent="0.3">
      <c r="A375" s="14">
        <v>2021</v>
      </c>
      <c r="B375" s="14">
        <f t="shared" si="17"/>
        <v>32</v>
      </c>
      <c r="C375" s="9">
        <v>44417</v>
      </c>
      <c r="D375" s="9">
        <v>44421</v>
      </c>
      <c r="E375" s="14">
        <f>VLOOKUP(F375,CarrierID!A:B,2,0)</f>
        <v>1</v>
      </c>
      <c r="F375" s="15" t="s">
        <v>0</v>
      </c>
      <c r="G375" t="str">
        <f>VLOOKUP(F375,Carrier_Category!A:B,2,0)</f>
        <v>Commuter</v>
      </c>
      <c r="H375" s="5">
        <v>35</v>
      </c>
      <c r="I375" s="7">
        <f t="shared" si="19"/>
        <v>36</v>
      </c>
      <c r="J375" s="5">
        <v>826</v>
      </c>
      <c r="K375" s="18">
        <f t="shared" si="18"/>
        <v>23.6</v>
      </c>
    </row>
    <row r="376" spans="1:11" x14ac:dyDescent="0.3">
      <c r="A376" s="14">
        <v>2021</v>
      </c>
      <c r="B376" s="14">
        <f t="shared" si="17"/>
        <v>32</v>
      </c>
      <c r="C376" s="9">
        <v>44417</v>
      </c>
      <c r="D376" s="9">
        <v>44421</v>
      </c>
      <c r="E376" s="14">
        <f>VLOOKUP(F376,CarrierID!A:B,2,0)</f>
        <v>5</v>
      </c>
      <c r="F376" s="15" t="s">
        <v>1</v>
      </c>
      <c r="G376" t="str">
        <f>VLOOKUP(F376,Carrier_Category!A:B,2,0)</f>
        <v>Intercity</v>
      </c>
      <c r="H376" s="5">
        <v>58</v>
      </c>
      <c r="I376" s="7">
        <f t="shared" si="19"/>
        <v>60</v>
      </c>
      <c r="J376" s="5">
        <v>1890</v>
      </c>
      <c r="K376" s="18">
        <f t="shared" si="18"/>
        <v>32.586206896551722</v>
      </c>
    </row>
    <row r="377" spans="1:11" x14ac:dyDescent="0.3">
      <c r="A377" s="14">
        <v>2021</v>
      </c>
      <c r="B377" s="14">
        <f t="shared" si="17"/>
        <v>32</v>
      </c>
      <c r="C377" s="9">
        <v>44417</v>
      </c>
      <c r="D377" s="9">
        <v>44421</v>
      </c>
      <c r="E377" s="14">
        <f>VLOOKUP(F377,CarrierID!A:B,2,0)</f>
        <v>8</v>
      </c>
      <c r="F377" s="15" t="s">
        <v>2</v>
      </c>
      <c r="G377" t="str">
        <f>VLOOKUP(F377,Carrier_Category!A:B,2,0)</f>
        <v>Commuter</v>
      </c>
      <c r="H377" s="5">
        <v>17</v>
      </c>
      <c r="I377" s="7">
        <f t="shared" si="19"/>
        <v>17</v>
      </c>
      <c r="J377" s="5">
        <v>697</v>
      </c>
      <c r="K377" s="18">
        <f t="shared" si="18"/>
        <v>41</v>
      </c>
    </row>
    <row r="378" spans="1:11" x14ac:dyDescent="0.3">
      <c r="A378" s="14">
        <v>2021</v>
      </c>
      <c r="B378" s="14">
        <f t="shared" si="17"/>
        <v>32</v>
      </c>
      <c r="C378" s="9">
        <v>44417</v>
      </c>
      <c r="D378" s="9">
        <v>44421</v>
      </c>
      <c r="E378" s="14">
        <f>VLOOKUP(F378,CarrierID!A:B,2,0)</f>
        <v>9</v>
      </c>
      <c r="F378" s="15" t="s">
        <v>3</v>
      </c>
      <c r="G378" t="str">
        <f>VLOOKUP(F378,Carrier_Category!A:B,2,0)</f>
        <v>NJT</v>
      </c>
      <c r="H378" s="5">
        <v>2140</v>
      </c>
      <c r="I378" s="7">
        <f t="shared" si="19"/>
        <v>2116</v>
      </c>
      <c r="J378" s="5">
        <v>40372</v>
      </c>
      <c r="K378" s="18">
        <f t="shared" si="18"/>
        <v>18.865420560747662</v>
      </c>
    </row>
    <row r="379" spans="1:11" x14ac:dyDescent="0.3">
      <c r="A379" s="14">
        <v>2021</v>
      </c>
      <c r="B379" s="14">
        <f t="shared" si="17"/>
        <v>32</v>
      </c>
      <c r="C379" s="9">
        <v>44417</v>
      </c>
      <c r="D379" s="9">
        <v>44421</v>
      </c>
      <c r="E379" s="14">
        <f>VLOOKUP(F379,CarrierID!A:B,2,0)</f>
        <v>7</v>
      </c>
      <c r="F379" s="15" t="s">
        <v>4</v>
      </c>
      <c r="G379" t="str">
        <f>VLOOKUP(F379,Carrier_Category!A:B,2,0)</f>
        <v>Commuter</v>
      </c>
      <c r="H379" s="5">
        <v>20</v>
      </c>
      <c r="I379" s="7">
        <f t="shared" si="19"/>
        <v>20</v>
      </c>
      <c r="J379" s="5">
        <v>582</v>
      </c>
      <c r="K379" s="18">
        <f t="shared" si="18"/>
        <v>29.1</v>
      </c>
    </row>
    <row r="380" spans="1:11" x14ac:dyDescent="0.3">
      <c r="A380" s="14">
        <v>2021</v>
      </c>
      <c r="B380" s="14">
        <f t="shared" si="17"/>
        <v>32</v>
      </c>
      <c r="C380" s="9">
        <v>44417</v>
      </c>
      <c r="D380" s="9">
        <v>44421</v>
      </c>
      <c r="E380" s="14">
        <f>VLOOKUP(F380,CarrierID!A:B,2,0)</f>
        <v>11</v>
      </c>
      <c r="F380" s="15" t="s">
        <v>5</v>
      </c>
      <c r="G380" t="str">
        <f>VLOOKUP(F380,Carrier_Category!A:B,2,0)</f>
        <v>Intercity</v>
      </c>
      <c r="H380" s="5">
        <v>17</v>
      </c>
      <c r="I380" s="7">
        <f t="shared" si="19"/>
        <v>18</v>
      </c>
      <c r="J380" s="5">
        <v>469</v>
      </c>
      <c r="K380" s="18">
        <f t="shared" si="18"/>
        <v>27.588235294117649</v>
      </c>
    </row>
    <row r="381" spans="1:11" x14ac:dyDescent="0.3">
      <c r="A381" s="14">
        <v>2021</v>
      </c>
      <c r="B381" s="14">
        <f t="shared" si="17"/>
        <v>32</v>
      </c>
      <c r="C381" s="9">
        <v>44417</v>
      </c>
      <c r="D381" s="9">
        <v>44421</v>
      </c>
      <c r="E381" s="14">
        <f>VLOOKUP(F381,CarrierID!A:B,2,0)</f>
        <v>3</v>
      </c>
      <c r="F381" s="15" t="s">
        <v>6</v>
      </c>
      <c r="G381" t="str">
        <f>VLOOKUP(F381,Carrier_Category!A:B,2,0)</f>
        <v>Commuter</v>
      </c>
      <c r="H381" s="5">
        <v>103</v>
      </c>
      <c r="I381" s="7">
        <f t="shared" si="19"/>
        <v>102</v>
      </c>
      <c r="J381" s="5">
        <v>2666</v>
      </c>
      <c r="K381" s="18">
        <f t="shared" si="18"/>
        <v>25.883495145631066</v>
      </c>
    </row>
    <row r="382" spans="1:11" x14ac:dyDescent="0.3">
      <c r="A382" s="14">
        <v>2021</v>
      </c>
      <c r="B382" s="14">
        <f t="shared" si="17"/>
        <v>32</v>
      </c>
      <c r="C382" s="9">
        <v>44417</v>
      </c>
      <c r="D382" s="9">
        <v>44421</v>
      </c>
      <c r="E382" s="14">
        <f>VLOOKUP(F382,CarrierID!A:B,2,0)</f>
        <v>12</v>
      </c>
      <c r="F382" s="15" t="s">
        <v>25</v>
      </c>
      <c r="G382" t="str">
        <f>VLOOKUP(F382,Carrier_Category!A:B,2,0)</f>
        <v>Commuter</v>
      </c>
      <c r="H382" s="5">
        <v>15</v>
      </c>
      <c r="I382" s="7">
        <f t="shared" si="19"/>
        <v>15</v>
      </c>
      <c r="J382" s="5">
        <v>479</v>
      </c>
      <c r="K382" s="18">
        <f t="shared" si="18"/>
        <v>31.933333333333334</v>
      </c>
    </row>
    <row r="383" spans="1:11" x14ac:dyDescent="0.3">
      <c r="A383" s="14">
        <v>2021</v>
      </c>
      <c r="B383" s="14">
        <f t="shared" si="17"/>
        <v>32</v>
      </c>
      <c r="C383" s="9">
        <v>44417</v>
      </c>
      <c r="D383" s="9">
        <v>44421</v>
      </c>
      <c r="E383" s="14">
        <f>VLOOKUP(F383,CarrierID!A:B,2,0)</f>
        <v>10</v>
      </c>
      <c r="F383" s="15" t="s">
        <v>8</v>
      </c>
      <c r="G383" t="str">
        <f>VLOOKUP(F383,Carrier_Category!A:B,2,0)</f>
        <v>Intercity</v>
      </c>
      <c r="H383" s="5">
        <v>25</v>
      </c>
      <c r="I383" s="7">
        <f t="shared" si="19"/>
        <v>25</v>
      </c>
      <c r="J383" s="5">
        <v>835</v>
      </c>
      <c r="K383" s="18">
        <f t="shared" si="18"/>
        <v>33.4</v>
      </c>
    </row>
    <row r="384" spans="1:11" x14ac:dyDescent="0.3">
      <c r="A384" s="14">
        <v>2021</v>
      </c>
      <c r="B384" s="14">
        <f t="shared" si="17"/>
        <v>32</v>
      </c>
      <c r="C384" s="9">
        <v>44417</v>
      </c>
      <c r="D384" s="9">
        <v>44421</v>
      </c>
      <c r="E384" s="14">
        <f>VLOOKUP(F384,CarrierID!A:B,2,0)</f>
        <v>4</v>
      </c>
      <c r="F384" s="15" t="s">
        <v>24</v>
      </c>
      <c r="G384" t="str">
        <f>VLOOKUP(F384,Carrier_Category!A:B,2,0)</f>
        <v>Commuter</v>
      </c>
      <c r="H384" s="5">
        <v>16</v>
      </c>
      <c r="I384" s="7">
        <f t="shared" si="19"/>
        <v>16</v>
      </c>
      <c r="J384" s="5">
        <v>182</v>
      </c>
      <c r="K384" s="18">
        <f t="shared" si="18"/>
        <v>11.375</v>
      </c>
    </row>
    <row r="385" spans="1:11" x14ac:dyDescent="0.3">
      <c r="A385" s="14">
        <v>2021</v>
      </c>
      <c r="B385" s="14">
        <f t="shared" si="17"/>
        <v>32</v>
      </c>
      <c r="C385" s="9">
        <v>44417</v>
      </c>
      <c r="D385" s="9">
        <v>44421</v>
      </c>
      <c r="E385" s="14">
        <f>VLOOKUP(F385,CarrierID!A:B,2,0)</f>
        <v>6</v>
      </c>
      <c r="F385" s="15" t="s">
        <v>9</v>
      </c>
      <c r="G385" t="str">
        <f>VLOOKUP(F385,Carrier_Category!A:B,2,0)</f>
        <v>Commuter</v>
      </c>
      <c r="H385" s="5">
        <v>99</v>
      </c>
      <c r="I385" s="7">
        <f t="shared" si="19"/>
        <v>94</v>
      </c>
      <c r="J385" s="5">
        <v>1558</v>
      </c>
      <c r="K385" s="18">
        <f t="shared" si="18"/>
        <v>15.737373737373737</v>
      </c>
    </row>
    <row r="386" spans="1:11" x14ac:dyDescent="0.3">
      <c r="A386" s="14">
        <v>2021</v>
      </c>
      <c r="B386" s="14">
        <f t="shared" si="17"/>
        <v>33</v>
      </c>
      <c r="C386" s="9">
        <v>44424</v>
      </c>
      <c r="D386" s="9">
        <v>44428</v>
      </c>
      <c r="E386" s="14">
        <f>VLOOKUP(F386,CarrierID!A:B,2,0)</f>
        <v>1</v>
      </c>
      <c r="F386" s="15" t="s">
        <v>0</v>
      </c>
      <c r="G386" t="str">
        <f>VLOOKUP(F386,Carrier_Category!A:B,2,0)</f>
        <v>Commuter</v>
      </c>
      <c r="H386" s="5">
        <v>35</v>
      </c>
      <c r="I386" s="7">
        <f t="shared" si="19"/>
        <v>35</v>
      </c>
      <c r="J386" s="5">
        <v>770</v>
      </c>
      <c r="K386" s="18">
        <f t="shared" si="18"/>
        <v>22</v>
      </c>
    </row>
    <row r="387" spans="1:11" x14ac:dyDescent="0.3">
      <c r="A387" s="14">
        <v>2021</v>
      </c>
      <c r="B387" s="14">
        <f t="shared" si="17"/>
        <v>33</v>
      </c>
      <c r="C387" s="9">
        <v>44424</v>
      </c>
      <c r="D387" s="9">
        <v>44428</v>
      </c>
      <c r="E387" s="14">
        <f>VLOOKUP(F387,CarrierID!A:B,2,0)</f>
        <v>5</v>
      </c>
      <c r="F387" s="15" t="s">
        <v>1</v>
      </c>
      <c r="G387" t="str">
        <f>VLOOKUP(F387,Carrier_Category!A:B,2,0)</f>
        <v>Intercity</v>
      </c>
      <c r="H387" s="5">
        <v>58</v>
      </c>
      <c r="I387" s="7">
        <f t="shared" si="19"/>
        <v>58</v>
      </c>
      <c r="J387" s="5">
        <v>1723</v>
      </c>
      <c r="K387" s="18">
        <f t="shared" si="18"/>
        <v>29.706896551724139</v>
      </c>
    </row>
    <row r="388" spans="1:11" x14ac:dyDescent="0.3">
      <c r="A388" s="14">
        <v>2021</v>
      </c>
      <c r="B388" s="14">
        <f t="shared" si="17"/>
        <v>33</v>
      </c>
      <c r="C388" s="9">
        <v>44424</v>
      </c>
      <c r="D388" s="9">
        <v>44428</v>
      </c>
      <c r="E388" s="14">
        <f>VLOOKUP(F388,CarrierID!A:B,2,0)</f>
        <v>8</v>
      </c>
      <c r="F388" s="15" t="s">
        <v>2</v>
      </c>
      <c r="G388" t="str">
        <f>VLOOKUP(F388,Carrier_Category!A:B,2,0)</f>
        <v>Commuter</v>
      </c>
      <c r="H388" s="5">
        <v>17</v>
      </c>
      <c r="I388" s="7">
        <f t="shared" si="19"/>
        <v>17</v>
      </c>
      <c r="J388" s="5">
        <v>662</v>
      </c>
      <c r="K388" s="18">
        <f t="shared" si="18"/>
        <v>38.941176470588232</v>
      </c>
    </row>
    <row r="389" spans="1:11" x14ac:dyDescent="0.3">
      <c r="A389" s="14">
        <v>2021</v>
      </c>
      <c r="B389" s="14">
        <f t="shared" ref="B389:B452" si="20">_xlfn.ISOWEEKNUM(C389)</f>
        <v>33</v>
      </c>
      <c r="C389" s="9">
        <v>44424</v>
      </c>
      <c r="D389" s="9">
        <v>44428</v>
      </c>
      <c r="E389" s="14">
        <f>VLOOKUP(F389,CarrierID!A:B,2,0)</f>
        <v>9</v>
      </c>
      <c r="F389" s="15" t="s">
        <v>3</v>
      </c>
      <c r="G389" t="str">
        <f>VLOOKUP(F389,Carrier_Category!A:B,2,0)</f>
        <v>NJT</v>
      </c>
      <c r="H389" s="5">
        <v>2133</v>
      </c>
      <c r="I389" s="7">
        <f t="shared" si="19"/>
        <v>2140</v>
      </c>
      <c r="J389" s="5">
        <v>40215</v>
      </c>
      <c r="K389" s="18">
        <f t="shared" ref="K389:K452" si="21">J389/H389</f>
        <v>18.853727144866387</v>
      </c>
    </row>
    <row r="390" spans="1:11" x14ac:dyDescent="0.3">
      <c r="A390" s="14">
        <v>2021</v>
      </c>
      <c r="B390" s="14">
        <f t="shared" si="20"/>
        <v>33</v>
      </c>
      <c r="C390" s="9">
        <v>44424</v>
      </c>
      <c r="D390" s="9">
        <v>44428</v>
      </c>
      <c r="E390" s="14">
        <f>VLOOKUP(F390,CarrierID!A:B,2,0)</f>
        <v>7</v>
      </c>
      <c r="F390" s="15" t="s">
        <v>4</v>
      </c>
      <c r="G390" t="str">
        <f>VLOOKUP(F390,Carrier_Category!A:B,2,0)</f>
        <v>Commuter</v>
      </c>
      <c r="H390" s="5">
        <v>20</v>
      </c>
      <c r="I390" s="7">
        <f t="shared" si="19"/>
        <v>20</v>
      </c>
      <c r="J390" s="5">
        <v>555</v>
      </c>
      <c r="K390" s="18">
        <f t="shared" si="21"/>
        <v>27.75</v>
      </c>
    </row>
    <row r="391" spans="1:11" x14ac:dyDescent="0.3">
      <c r="A391" s="14">
        <v>2021</v>
      </c>
      <c r="B391" s="14">
        <f t="shared" si="20"/>
        <v>33</v>
      </c>
      <c r="C391" s="9">
        <v>44424</v>
      </c>
      <c r="D391" s="9">
        <v>44428</v>
      </c>
      <c r="E391" s="14">
        <f>VLOOKUP(F391,CarrierID!A:B,2,0)</f>
        <v>11</v>
      </c>
      <c r="F391" s="15" t="s">
        <v>5</v>
      </c>
      <c r="G391" t="str">
        <f>VLOOKUP(F391,Carrier_Category!A:B,2,0)</f>
        <v>Intercity</v>
      </c>
      <c r="H391" s="5">
        <v>18</v>
      </c>
      <c r="I391" s="7">
        <f t="shared" si="19"/>
        <v>17</v>
      </c>
      <c r="J391" s="5">
        <v>495</v>
      </c>
      <c r="K391" s="18">
        <f t="shared" si="21"/>
        <v>27.5</v>
      </c>
    </row>
    <row r="392" spans="1:11" x14ac:dyDescent="0.3">
      <c r="A392" s="14">
        <v>2021</v>
      </c>
      <c r="B392" s="14">
        <f t="shared" si="20"/>
        <v>33</v>
      </c>
      <c r="C392" s="9">
        <v>44424</v>
      </c>
      <c r="D392" s="9">
        <v>44428</v>
      </c>
      <c r="E392" s="14">
        <f>VLOOKUP(F392,CarrierID!A:B,2,0)</f>
        <v>3</v>
      </c>
      <c r="F392" s="15" t="s">
        <v>6</v>
      </c>
      <c r="G392" t="str">
        <f>VLOOKUP(F392,Carrier_Category!A:B,2,0)</f>
        <v>Commuter</v>
      </c>
      <c r="H392" s="5">
        <v>107</v>
      </c>
      <c r="I392" s="7">
        <f t="shared" si="19"/>
        <v>103</v>
      </c>
      <c r="J392" s="5">
        <v>2669</v>
      </c>
      <c r="K392" s="18">
        <f t="shared" si="21"/>
        <v>24.943925233644858</v>
      </c>
    </row>
    <row r="393" spans="1:11" x14ac:dyDescent="0.3">
      <c r="A393" s="14">
        <v>2021</v>
      </c>
      <c r="B393" s="14">
        <f t="shared" si="20"/>
        <v>33</v>
      </c>
      <c r="C393" s="9">
        <v>44424</v>
      </c>
      <c r="D393" s="9">
        <v>44428</v>
      </c>
      <c r="E393" s="14">
        <f>VLOOKUP(F393,CarrierID!A:B,2,0)</f>
        <v>12</v>
      </c>
      <c r="F393" s="15" t="s">
        <v>25</v>
      </c>
      <c r="G393" t="str">
        <f>VLOOKUP(F393,Carrier_Category!A:B,2,0)</f>
        <v>Commuter</v>
      </c>
      <c r="H393" s="5">
        <v>17</v>
      </c>
      <c r="I393" s="7">
        <f t="shared" si="19"/>
        <v>15</v>
      </c>
      <c r="J393" s="5">
        <v>468</v>
      </c>
      <c r="K393" s="18">
        <f t="shared" si="21"/>
        <v>27.529411764705884</v>
      </c>
    </row>
    <row r="394" spans="1:11" x14ac:dyDescent="0.3">
      <c r="A394" s="14">
        <v>2021</v>
      </c>
      <c r="B394" s="14">
        <f t="shared" si="20"/>
        <v>33</v>
      </c>
      <c r="C394" s="9">
        <v>44424</v>
      </c>
      <c r="D394" s="9">
        <v>44428</v>
      </c>
      <c r="E394" s="14">
        <f>VLOOKUP(F394,CarrierID!A:B,2,0)</f>
        <v>10</v>
      </c>
      <c r="F394" s="15" t="s">
        <v>8</v>
      </c>
      <c r="G394" t="str">
        <f>VLOOKUP(F394,Carrier_Category!A:B,2,0)</f>
        <v>Intercity</v>
      </c>
      <c r="H394" s="5">
        <v>31</v>
      </c>
      <c r="I394" s="7">
        <f t="shared" si="19"/>
        <v>25</v>
      </c>
      <c r="J394" s="5">
        <v>968</v>
      </c>
      <c r="K394" s="18">
        <f t="shared" si="21"/>
        <v>31.225806451612904</v>
      </c>
    </row>
    <row r="395" spans="1:11" x14ac:dyDescent="0.3">
      <c r="A395" s="14">
        <v>2021</v>
      </c>
      <c r="B395" s="14">
        <f t="shared" si="20"/>
        <v>33</v>
      </c>
      <c r="C395" s="9">
        <v>44424</v>
      </c>
      <c r="D395" s="9">
        <v>44428</v>
      </c>
      <c r="E395" s="14">
        <f>VLOOKUP(F395,CarrierID!A:B,2,0)</f>
        <v>4</v>
      </c>
      <c r="F395" s="15" t="s">
        <v>24</v>
      </c>
      <c r="G395" t="str">
        <f>VLOOKUP(F395,Carrier_Category!A:B,2,0)</f>
        <v>Commuter</v>
      </c>
      <c r="H395" s="5">
        <v>16</v>
      </c>
      <c r="I395" s="7">
        <f t="shared" si="19"/>
        <v>16</v>
      </c>
      <c r="J395" s="5">
        <v>212</v>
      </c>
      <c r="K395" s="18">
        <f t="shared" si="21"/>
        <v>13.25</v>
      </c>
    </row>
    <row r="396" spans="1:11" x14ac:dyDescent="0.3">
      <c r="A396" s="14">
        <v>2021</v>
      </c>
      <c r="B396" s="14">
        <f t="shared" si="20"/>
        <v>33</v>
      </c>
      <c r="C396" s="9">
        <v>44424</v>
      </c>
      <c r="D396" s="9">
        <v>44428</v>
      </c>
      <c r="E396" s="14">
        <f>VLOOKUP(F396,CarrierID!A:B,2,0)</f>
        <v>6</v>
      </c>
      <c r="F396" s="15" t="s">
        <v>9</v>
      </c>
      <c r="G396" t="str">
        <f>VLOOKUP(F396,Carrier_Category!A:B,2,0)</f>
        <v>Commuter</v>
      </c>
      <c r="H396" s="5">
        <v>99</v>
      </c>
      <c r="I396" s="7">
        <f t="shared" si="19"/>
        <v>99</v>
      </c>
      <c r="J396" s="5">
        <v>1507</v>
      </c>
      <c r="K396" s="18">
        <f t="shared" si="21"/>
        <v>15.222222222222221</v>
      </c>
    </row>
    <row r="397" spans="1:11" x14ac:dyDescent="0.3">
      <c r="A397" s="14">
        <v>2021</v>
      </c>
      <c r="B397" s="14">
        <f t="shared" si="20"/>
        <v>34</v>
      </c>
      <c r="C397" s="9">
        <v>44431</v>
      </c>
      <c r="D397" s="9">
        <v>44435</v>
      </c>
      <c r="E397" s="14">
        <f>VLOOKUP(F397,CarrierID!A:B,2,0)</f>
        <v>1</v>
      </c>
      <c r="F397" s="15" t="s">
        <v>0</v>
      </c>
      <c r="G397" t="str">
        <f>VLOOKUP(F397,Carrier_Category!A:B,2,0)</f>
        <v>Commuter</v>
      </c>
      <c r="H397" s="5">
        <v>35</v>
      </c>
      <c r="I397" s="7">
        <f t="shared" ref="I397:I460" si="22">H386</f>
        <v>35</v>
      </c>
      <c r="J397" s="5">
        <v>780</v>
      </c>
      <c r="K397" s="18">
        <f t="shared" si="21"/>
        <v>22.285714285714285</v>
      </c>
    </row>
    <row r="398" spans="1:11" x14ac:dyDescent="0.3">
      <c r="A398" s="14">
        <v>2021</v>
      </c>
      <c r="B398" s="14">
        <f t="shared" si="20"/>
        <v>34</v>
      </c>
      <c r="C398" s="9">
        <v>44431</v>
      </c>
      <c r="D398" s="9">
        <v>44435</v>
      </c>
      <c r="E398" s="14">
        <f>VLOOKUP(F398,CarrierID!A:B,2,0)</f>
        <v>5</v>
      </c>
      <c r="F398" s="15" t="s">
        <v>1</v>
      </c>
      <c r="G398" t="str">
        <f>VLOOKUP(F398,Carrier_Category!A:B,2,0)</f>
        <v>Intercity</v>
      </c>
      <c r="H398" s="5">
        <v>59</v>
      </c>
      <c r="I398" s="7">
        <f t="shared" si="22"/>
        <v>58</v>
      </c>
      <c r="J398" s="5">
        <v>1888</v>
      </c>
      <c r="K398" s="18">
        <f t="shared" si="21"/>
        <v>32</v>
      </c>
    </row>
    <row r="399" spans="1:11" x14ac:dyDescent="0.3">
      <c r="A399" s="14">
        <v>2021</v>
      </c>
      <c r="B399" s="14">
        <f t="shared" si="20"/>
        <v>34</v>
      </c>
      <c r="C399" s="9">
        <v>44431</v>
      </c>
      <c r="D399" s="9">
        <v>44435</v>
      </c>
      <c r="E399" s="14">
        <f>VLOOKUP(F399,CarrierID!A:B,2,0)</f>
        <v>8</v>
      </c>
      <c r="F399" s="15" t="s">
        <v>2</v>
      </c>
      <c r="G399" t="str">
        <f>VLOOKUP(F399,Carrier_Category!A:B,2,0)</f>
        <v>Commuter</v>
      </c>
      <c r="H399" s="5">
        <v>17</v>
      </c>
      <c r="I399" s="7">
        <f t="shared" si="22"/>
        <v>17</v>
      </c>
      <c r="J399" s="5">
        <v>652</v>
      </c>
      <c r="K399" s="18">
        <f t="shared" si="21"/>
        <v>38.352941176470587</v>
      </c>
    </row>
    <row r="400" spans="1:11" x14ac:dyDescent="0.3">
      <c r="A400" s="14">
        <v>2021</v>
      </c>
      <c r="B400" s="14">
        <f t="shared" si="20"/>
        <v>34</v>
      </c>
      <c r="C400" s="9">
        <v>44431</v>
      </c>
      <c r="D400" s="9">
        <v>44435</v>
      </c>
      <c r="E400" s="14">
        <f>VLOOKUP(F400,CarrierID!A:B,2,0)</f>
        <v>9</v>
      </c>
      <c r="F400" s="15" t="s">
        <v>3</v>
      </c>
      <c r="G400" t="str">
        <f>VLOOKUP(F400,Carrier_Category!A:B,2,0)</f>
        <v>NJT</v>
      </c>
      <c r="H400" s="5">
        <v>2141</v>
      </c>
      <c r="I400" s="7">
        <f t="shared" si="22"/>
        <v>2133</v>
      </c>
      <c r="J400" s="5">
        <v>40837</v>
      </c>
      <c r="K400" s="18">
        <f t="shared" si="21"/>
        <v>19.073797290985521</v>
      </c>
    </row>
    <row r="401" spans="1:11" x14ac:dyDescent="0.3">
      <c r="A401" s="14">
        <v>2021</v>
      </c>
      <c r="B401" s="14">
        <f t="shared" si="20"/>
        <v>34</v>
      </c>
      <c r="C401" s="9">
        <v>44431</v>
      </c>
      <c r="D401" s="9">
        <v>44435</v>
      </c>
      <c r="E401" s="14">
        <f>VLOOKUP(F401,CarrierID!A:B,2,0)</f>
        <v>7</v>
      </c>
      <c r="F401" s="15" t="s">
        <v>4</v>
      </c>
      <c r="G401" t="str">
        <f>VLOOKUP(F401,Carrier_Category!A:B,2,0)</f>
        <v>Commuter</v>
      </c>
      <c r="H401" s="5">
        <v>20</v>
      </c>
      <c r="I401" s="7">
        <f t="shared" si="22"/>
        <v>20</v>
      </c>
      <c r="J401" s="5">
        <v>551</v>
      </c>
      <c r="K401" s="18">
        <f t="shared" si="21"/>
        <v>27.55</v>
      </c>
    </row>
    <row r="402" spans="1:11" x14ac:dyDescent="0.3">
      <c r="A402" s="14">
        <v>2021</v>
      </c>
      <c r="B402" s="14">
        <f t="shared" si="20"/>
        <v>34</v>
      </c>
      <c r="C402" s="9">
        <v>44431</v>
      </c>
      <c r="D402" s="9">
        <v>44435</v>
      </c>
      <c r="E402" s="14">
        <f>VLOOKUP(F402,CarrierID!A:B,2,0)</f>
        <v>11</v>
      </c>
      <c r="F402" s="15" t="s">
        <v>5</v>
      </c>
      <c r="G402" t="str">
        <f>VLOOKUP(F402,Carrier_Category!A:B,2,0)</f>
        <v>Intercity</v>
      </c>
      <c r="H402" s="5">
        <v>19</v>
      </c>
      <c r="I402" s="7">
        <f t="shared" si="22"/>
        <v>18</v>
      </c>
      <c r="J402" s="5">
        <v>516</v>
      </c>
      <c r="K402" s="18">
        <f t="shared" si="21"/>
        <v>27.157894736842106</v>
      </c>
    </row>
    <row r="403" spans="1:11" x14ac:dyDescent="0.3">
      <c r="A403" s="14">
        <v>2021</v>
      </c>
      <c r="B403" s="14">
        <f t="shared" si="20"/>
        <v>34</v>
      </c>
      <c r="C403" s="9">
        <v>44431</v>
      </c>
      <c r="D403" s="9">
        <v>44435</v>
      </c>
      <c r="E403" s="14">
        <f>VLOOKUP(F403,CarrierID!A:B,2,0)</f>
        <v>3</v>
      </c>
      <c r="F403" s="15" t="s">
        <v>6</v>
      </c>
      <c r="G403" t="str">
        <f>VLOOKUP(F403,Carrier_Category!A:B,2,0)</f>
        <v>Commuter</v>
      </c>
      <c r="H403" s="5">
        <v>110</v>
      </c>
      <c r="I403" s="7">
        <f t="shared" si="22"/>
        <v>107</v>
      </c>
      <c r="J403" s="5">
        <v>2555</v>
      </c>
      <c r="K403" s="18">
        <f t="shared" si="21"/>
        <v>23.227272727272727</v>
      </c>
    </row>
    <row r="404" spans="1:11" x14ac:dyDescent="0.3">
      <c r="A404" s="14">
        <v>2021</v>
      </c>
      <c r="B404" s="14">
        <f t="shared" si="20"/>
        <v>34</v>
      </c>
      <c r="C404" s="9">
        <v>44431</v>
      </c>
      <c r="D404" s="9">
        <v>44435</v>
      </c>
      <c r="E404" s="14">
        <f>VLOOKUP(F404,CarrierID!A:B,2,0)</f>
        <v>12</v>
      </c>
      <c r="F404" s="15" t="s">
        <v>25</v>
      </c>
      <c r="G404" t="str">
        <f>VLOOKUP(F404,Carrier_Category!A:B,2,0)</f>
        <v>Commuter</v>
      </c>
      <c r="H404" s="5">
        <v>17</v>
      </c>
      <c r="I404" s="7">
        <f t="shared" si="22"/>
        <v>17</v>
      </c>
      <c r="J404" s="5">
        <v>458</v>
      </c>
      <c r="K404" s="18">
        <f t="shared" si="21"/>
        <v>26.941176470588236</v>
      </c>
    </row>
    <row r="405" spans="1:11" x14ac:dyDescent="0.3">
      <c r="A405" s="14">
        <v>2021</v>
      </c>
      <c r="B405" s="14">
        <f t="shared" si="20"/>
        <v>34</v>
      </c>
      <c r="C405" s="9">
        <v>44431</v>
      </c>
      <c r="D405" s="9">
        <v>44435</v>
      </c>
      <c r="E405" s="14">
        <f>VLOOKUP(F405,CarrierID!A:B,2,0)</f>
        <v>10</v>
      </c>
      <c r="F405" s="15" t="s">
        <v>8</v>
      </c>
      <c r="G405" t="str">
        <f>VLOOKUP(F405,Carrier_Category!A:B,2,0)</f>
        <v>Intercity</v>
      </c>
      <c r="H405" s="5">
        <v>26</v>
      </c>
      <c r="I405" s="7">
        <f t="shared" si="22"/>
        <v>31</v>
      </c>
      <c r="J405" s="5">
        <v>908</v>
      </c>
      <c r="K405" s="18">
        <f t="shared" si="21"/>
        <v>34.92307692307692</v>
      </c>
    </row>
    <row r="406" spans="1:11" x14ac:dyDescent="0.3">
      <c r="A406" s="14">
        <v>2021</v>
      </c>
      <c r="B406" s="14">
        <f t="shared" si="20"/>
        <v>34</v>
      </c>
      <c r="C406" s="9">
        <v>44431</v>
      </c>
      <c r="D406" s="9">
        <v>44435</v>
      </c>
      <c r="E406" s="14">
        <f>VLOOKUP(F406,CarrierID!A:B,2,0)</f>
        <v>4</v>
      </c>
      <c r="F406" s="15" t="s">
        <v>24</v>
      </c>
      <c r="G406" t="str">
        <f>VLOOKUP(F406,Carrier_Category!A:B,2,0)</f>
        <v>Commuter</v>
      </c>
      <c r="H406" s="5">
        <v>16</v>
      </c>
      <c r="I406" s="7">
        <f t="shared" si="22"/>
        <v>16</v>
      </c>
      <c r="J406" s="5">
        <v>203</v>
      </c>
      <c r="K406" s="18">
        <f t="shared" si="21"/>
        <v>12.6875</v>
      </c>
    </row>
    <row r="407" spans="1:11" x14ac:dyDescent="0.3">
      <c r="A407" s="14">
        <v>2021</v>
      </c>
      <c r="B407" s="14">
        <f t="shared" si="20"/>
        <v>34</v>
      </c>
      <c r="C407" s="9">
        <v>44431</v>
      </c>
      <c r="D407" s="9">
        <v>44435</v>
      </c>
      <c r="E407" s="14">
        <f>VLOOKUP(F407,CarrierID!A:B,2,0)</f>
        <v>6</v>
      </c>
      <c r="F407" s="15" t="s">
        <v>9</v>
      </c>
      <c r="G407" t="str">
        <f>VLOOKUP(F407,Carrier_Category!A:B,2,0)</f>
        <v>Commuter</v>
      </c>
      <c r="H407" s="5">
        <v>90</v>
      </c>
      <c r="I407" s="7">
        <f t="shared" si="22"/>
        <v>99</v>
      </c>
      <c r="J407" s="5">
        <v>1438</v>
      </c>
      <c r="K407" s="18">
        <f t="shared" si="21"/>
        <v>15.977777777777778</v>
      </c>
    </row>
    <row r="408" spans="1:11" x14ac:dyDescent="0.3">
      <c r="A408" s="14">
        <v>2021</v>
      </c>
      <c r="B408" s="14">
        <f t="shared" si="20"/>
        <v>35</v>
      </c>
      <c r="C408" s="9">
        <v>44438</v>
      </c>
      <c r="D408" s="9">
        <v>44442</v>
      </c>
      <c r="E408" s="14">
        <f>VLOOKUP(F408,CarrierID!A:B,2,0)</f>
        <v>1</v>
      </c>
      <c r="F408" s="15" t="s">
        <v>0</v>
      </c>
      <c r="G408" t="str">
        <f>VLOOKUP(F408,Carrier_Category!A:B,2,0)</f>
        <v>Commuter</v>
      </c>
      <c r="H408" s="5">
        <v>35</v>
      </c>
      <c r="I408" s="7">
        <f t="shared" si="22"/>
        <v>35</v>
      </c>
      <c r="J408" s="5">
        <v>799</v>
      </c>
      <c r="K408" s="18">
        <f t="shared" si="21"/>
        <v>22.828571428571429</v>
      </c>
    </row>
    <row r="409" spans="1:11" x14ac:dyDescent="0.3">
      <c r="A409" s="14">
        <v>2021</v>
      </c>
      <c r="B409" s="14">
        <f t="shared" si="20"/>
        <v>35</v>
      </c>
      <c r="C409" s="9">
        <v>44438</v>
      </c>
      <c r="D409" s="9">
        <v>44442</v>
      </c>
      <c r="E409" s="14">
        <f>VLOOKUP(F409,CarrierID!A:B,2,0)</f>
        <v>5</v>
      </c>
      <c r="F409" s="15" t="s">
        <v>1</v>
      </c>
      <c r="G409" t="str">
        <f>VLOOKUP(F409,Carrier_Category!A:B,2,0)</f>
        <v>Intercity</v>
      </c>
      <c r="H409" s="5">
        <v>58</v>
      </c>
      <c r="I409" s="7">
        <f t="shared" si="22"/>
        <v>59</v>
      </c>
      <c r="J409" s="5">
        <v>1687</v>
      </c>
      <c r="K409" s="18">
        <f t="shared" si="21"/>
        <v>29.086206896551722</v>
      </c>
    </row>
    <row r="410" spans="1:11" x14ac:dyDescent="0.3">
      <c r="A410" s="14">
        <v>2021</v>
      </c>
      <c r="B410" s="14">
        <f t="shared" si="20"/>
        <v>35</v>
      </c>
      <c r="C410" s="9">
        <v>44438</v>
      </c>
      <c r="D410" s="9">
        <v>44442</v>
      </c>
      <c r="E410" s="14">
        <f>VLOOKUP(F410,CarrierID!A:B,2,0)</f>
        <v>8</v>
      </c>
      <c r="F410" s="15" t="s">
        <v>2</v>
      </c>
      <c r="G410" t="str">
        <f>VLOOKUP(F410,Carrier_Category!A:B,2,0)</f>
        <v>Commuter</v>
      </c>
      <c r="H410" s="5">
        <v>17</v>
      </c>
      <c r="I410" s="7">
        <f t="shared" si="22"/>
        <v>17</v>
      </c>
      <c r="J410" s="5">
        <v>622</v>
      </c>
      <c r="K410" s="18">
        <f t="shared" si="21"/>
        <v>36.588235294117645</v>
      </c>
    </row>
    <row r="411" spans="1:11" x14ac:dyDescent="0.3">
      <c r="A411" s="14">
        <v>2021</v>
      </c>
      <c r="B411" s="14">
        <f t="shared" si="20"/>
        <v>35</v>
      </c>
      <c r="C411" s="9">
        <v>44438</v>
      </c>
      <c r="D411" s="9">
        <v>44442</v>
      </c>
      <c r="E411" s="14">
        <f>VLOOKUP(F411,CarrierID!A:B,2,0)</f>
        <v>9</v>
      </c>
      <c r="F411" s="15" t="s">
        <v>3</v>
      </c>
      <c r="G411" t="str">
        <f>VLOOKUP(F411,Carrier_Category!A:B,2,0)</f>
        <v>NJT</v>
      </c>
      <c r="H411" s="5">
        <v>2019</v>
      </c>
      <c r="I411" s="7">
        <f t="shared" si="22"/>
        <v>2141</v>
      </c>
      <c r="J411" s="5">
        <v>36433</v>
      </c>
      <c r="K411" s="18">
        <f t="shared" si="21"/>
        <v>18.04507181773155</v>
      </c>
    </row>
    <row r="412" spans="1:11" x14ac:dyDescent="0.3">
      <c r="A412" s="14">
        <v>2021</v>
      </c>
      <c r="B412" s="14">
        <f t="shared" si="20"/>
        <v>35</v>
      </c>
      <c r="C412" s="9">
        <v>44438</v>
      </c>
      <c r="D412" s="9">
        <v>44442</v>
      </c>
      <c r="E412" s="14">
        <f>VLOOKUP(F412,CarrierID!A:B,2,0)</f>
        <v>7</v>
      </c>
      <c r="F412" s="15" t="s">
        <v>4</v>
      </c>
      <c r="G412" t="str">
        <f>VLOOKUP(F412,Carrier_Category!A:B,2,0)</f>
        <v>Commuter</v>
      </c>
      <c r="H412" s="5">
        <v>20</v>
      </c>
      <c r="I412" s="7">
        <f t="shared" si="22"/>
        <v>20</v>
      </c>
      <c r="J412" s="5">
        <v>521</v>
      </c>
      <c r="K412" s="18">
        <f t="shared" si="21"/>
        <v>26.05</v>
      </c>
    </row>
    <row r="413" spans="1:11" x14ac:dyDescent="0.3">
      <c r="A413" s="14">
        <v>2021</v>
      </c>
      <c r="B413" s="14">
        <f t="shared" si="20"/>
        <v>35</v>
      </c>
      <c r="C413" s="9">
        <v>44438</v>
      </c>
      <c r="D413" s="9">
        <v>44442</v>
      </c>
      <c r="E413" s="14">
        <f>VLOOKUP(F413,CarrierID!A:B,2,0)</f>
        <v>11</v>
      </c>
      <c r="F413" s="15" t="s">
        <v>5</v>
      </c>
      <c r="G413" t="str">
        <f>VLOOKUP(F413,Carrier_Category!A:B,2,0)</f>
        <v>Intercity</v>
      </c>
      <c r="H413" s="5">
        <v>18</v>
      </c>
      <c r="I413" s="7">
        <f t="shared" si="22"/>
        <v>19</v>
      </c>
      <c r="J413" s="5">
        <v>498</v>
      </c>
      <c r="K413" s="18">
        <f t="shared" si="21"/>
        <v>27.666666666666668</v>
      </c>
    </row>
    <row r="414" spans="1:11" x14ac:dyDescent="0.3">
      <c r="A414" s="14">
        <v>2021</v>
      </c>
      <c r="B414" s="14">
        <f t="shared" si="20"/>
        <v>35</v>
      </c>
      <c r="C414" s="9">
        <v>44438</v>
      </c>
      <c r="D414" s="9">
        <v>44442</v>
      </c>
      <c r="E414" s="14">
        <f>VLOOKUP(F414,CarrierID!A:B,2,0)</f>
        <v>3</v>
      </c>
      <c r="F414" s="15" t="s">
        <v>6</v>
      </c>
      <c r="G414" t="str">
        <f>VLOOKUP(F414,Carrier_Category!A:B,2,0)</f>
        <v>Commuter</v>
      </c>
      <c r="H414" s="5">
        <v>109</v>
      </c>
      <c r="I414" s="7">
        <f t="shared" si="22"/>
        <v>110</v>
      </c>
      <c r="J414" s="5">
        <v>2521</v>
      </c>
      <c r="K414" s="18">
        <f t="shared" si="21"/>
        <v>23.128440366972477</v>
      </c>
    </row>
    <row r="415" spans="1:11" x14ac:dyDescent="0.3">
      <c r="A415" s="14">
        <v>2021</v>
      </c>
      <c r="B415" s="14">
        <f t="shared" si="20"/>
        <v>35</v>
      </c>
      <c r="C415" s="9">
        <v>44438</v>
      </c>
      <c r="D415" s="9">
        <v>44442</v>
      </c>
      <c r="E415" s="14">
        <f>VLOOKUP(F415,CarrierID!A:B,2,0)</f>
        <v>12</v>
      </c>
      <c r="F415" s="15" t="s">
        <v>25</v>
      </c>
      <c r="G415" t="str">
        <f>VLOOKUP(F415,Carrier_Category!A:B,2,0)</f>
        <v>Commuter</v>
      </c>
      <c r="H415" s="5">
        <v>17</v>
      </c>
      <c r="I415" s="7">
        <f t="shared" si="22"/>
        <v>17</v>
      </c>
      <c r="J415" s="5">
        <v>420</v>
      </c>
      <c r="K415" s="18">
        <f t="shared" si="21"/>
        <v>24.705882352941178</v>
      </c>
    </row>
    <row r="416" spans="1:11" x14ac:dyDescent="0.3">
      <c r="A416" s="14">
        <v>2021</v>
      </c>
      <c r="B416" s="14">
        <f t="shared" si="20"/>
        <v>35</v>
      </c>
      <c r="C416" s="9">
        <v>44438</v>
      </c>
      <c r="D416" s="9">
        <v>44442</v>
      </c>
      <c r="E416" s="14">
        <f>VLOOKUP(F416,CarrierID!A:B,2,0)</f>
        <v>10</v>
      </c>
      <c r="F416" s="15" t="s">
        <v>8</v>
      </c>
      <c r="G416" t="str">
        <f>VLOOKUP(F416,Carrier_Category!A:B,2,0)</f>
        <v>Intercity</v>
      </c>
      <c r="H416" s="5">
        <v>24</v>
      </c>
      <c r="I416" s="7">
        <f t="shared" si="22"/>
        <v>26</v>
      </c>
      <c r="J416" s="5">
        <v>709</v>
      </c>
      <c r="K416" s="18">
        <f t="shared" si="21"/>
        <v>29.541666666666668</v>
      </c>
    </row>
    <row r="417" spans="1:11" x14ac:dyDescent="0.3">
      <c r="A417" s="14">
        <v>2021</v>
      </c>
      <c r="B417" s="14">
        <f t="shared" si="20"/>
        <v>35</v>
      </c>
      <c r="C417" s="9">
        <v>44438</v>
      </c>
      <c r="D417" s="9">
        <v>44442</v>
      </c>
      <c r="E417" s="14">
        <f>VLOOKUP(F417,CarrierID!A:B,2,0)</f>
        <v>4</v>
      </c>
      <c r="F417" s="15" t="s">
        <v>24</v>
      </c>
      <c r="G417" t="str">
        <f>VLOOKUP(F417,Carrier_Category!A:B,2,0)</f>
        <v>Commuter</v>
      </c>
      <c r="H417" s="5">
        <v>16</v>
      </c>
      <c r="I417" s="7">
        <f t="shared" si="22"/>
        <v>16</v>
      </c>
      <c r="J417" s="5">
        <v>199</v>
      </c>
      <c r="K417" s="18">
        <f t="shared" si="21"/>
        <v>12.4375</v>
      </c>
    </row>
    <row r="418" spans="1:11" x14ac:dyDescent="0.3">
      <c r="A418" s="14">
        <v>2021</v>
      </c>
      <c r="B418" s="14">
        <f t="shared" si="20"/>
        <v>35</v>
      </c>
      <c r="C418" s="9">
        <v>44438</v>
      </c>
      <c r="D418" s="9">
        <v>44442</v>
      </c>
      <c r="E418" s="14">
        <f>VLOOKUP(F418,CarrierID!A:B,2,0)</f>
        <v>6</v>
      </c>
      <c r="F418" s="15" t="s">
        <v>9</v>
      </c>
      <c r="G418" t="str">
        <f>VLOOKUP(F418,Carrier_Category!A:B,2,0)</f>
        <v>Commuter</v>
      </c>
      <c r="H418" s="5">
        <v>92</v>
      </c>
      <c r="I418" s="7">
        <f t="shared" si="22"/>
        <v>90</v>
      </c>
      <c r="J418" s="5">
        <v>1426</v>
      </c>
      <c r="K418" s="18">
        <f t="shared" si="21"/>
        <v>15.5</v>
      </c>
    </row>
    <row r="419" spans="1:11" x14ac:dyDescent="0.3">
      <c r="A419" s="14">
        <v>2021</v>
      </c>
      <c r="B419" s="14">
        <f t="shared" si="20"/>
        <v>36</v>
      </c>
      <c r="C419" s="9">
        <v>44445</v>
      </c>
      <c r="D419" s="9">
        <v>44449</v>
      </c>
      <c r="E419" s="14">
        <f>VLOOKUP(F419,CarrierID!A:B,2,0)</f>
        <v>1</v>
      </c>
      <c r="F419" s="15" t="s">
        <v>0</v>
      </c>
      <c r="G419" t="str">
        <f>VLOOKUP(F419,Carrier_Category!A:B,2,0)</f>
        <v>Commuter</v>
      </c>
      <c r="H419" s="5">
        <v>34</v>
      </c>
      <c r="I419" s="7">
        <f t="shared" si="22"/>
        <v>35</v>
      </c>
      <c r="J419" s="5">
        <v>791</v>
      </c>
      <c r="K419" s="18">
        <f t="shared" si="21"/>
        <v>23.264705882352942</v>
      </c>
    </row>
    <row r="420" spans="1:11" x14ac:dyDescent="0.3">
      <c r="A420" s="14">
        <v>2021</v>
      </c>
      <c r="B420" s="14">
        <f t="shared" si="20"/>
        <v>36</v>
      </c>
      <c r="C420" s="9">
        <v>44445</v>
      </c>
      <c r="D420" s="9">
        <v>44449</v>
      </c>
      <c r="E420" s="14">
        <f>VLOOKUP(F420,CarrierID!A:B,2,0)</f>
        <v>5</v>
      </c>
      <c r="F420" s="15" t="s">
        <v>1</v>
      </c>
      <c r="G420" t="str">
        <f>VLOOKUP(F420,Carrier_Category!A:B,2,0)</f>
        <v>Intercity</v>
      </c>
      <c r="H420" s="5">
        <v>61</v>
      </c>
      <c r="I420" s="7">
        <f t="shared" si="22"/>
        <v>58</v>
      </c>
      <c r="J420" s="5">
        <v>1707</v>
      </c>
      <c r="K420" s="18">
        <f t="shared" si="21"/>
        <v>27.983606557377048</v>
      </c>
    </row>
    <row r="421" spans="1:11" x14ac:dyDescent="0.3">
      <c r="A421" s="14">
        <v>2021</v>
      </c>
      <c r="B421" s="14">
        <f t="shared" si="20"/>
        <v>36</v>
      </c>
      <c r="C421" s="9">
        <v>44445</v>
      </c>
      <c r="D421" s="9">
        <v>44449</v>
      </c>
      <c r="E421" s="14">
        <f>VLOOKUP(F421,CarrierID!A:B,2,0)</f>
        <v>8</v>
      </c>
      <c r="F421" s="15" t="s">
        <v>2</v>
      </c>
      <c r="G421" t="str">
        <f>VLOOKUP(F421,Carrier_Category!A:B,2,0)</f>
        <v>Commuter</v>
      </c>
      <c r="H421" s="5">
        <v>17</v>
      </c>
      <c r="I421" s="7">
        <f t="shared" si="22"/>
        <v>17</v>
      </c>
      <c r="J421" s="5">
        <v>679</v>
      </c>
      <c r="K421" s="18">
        <f t="shared" si="21"/>
        <v>39.941176470588232</v>
      </c>
    </row>
    <row r="422" spans="1:11" x14ac:dyDescent="0.3">
      <c r="A422" s="14">
        <v>2021</v>
      </c>
      <c r="B422" s="14">
        <f t="shared" si="20"/>
        <v>36</v>
      </c>
      <c r="C422" s="9">
        <v>44445</v>
      </c>
      <c r="D422" s="9">
        <v>44449</v>
      </c>
      <c r="E422" s="14">
        <f>VLOOKUP(F422,CarrierID!A:B,2,0)</f>
        <v>9</v>
      </c>
      <c r="F422" s="15" t="s">
        <v>3</v>
      </c>
      <c r="G422" t="str">
        <f>VLOOKUP(F422,Carrier_Category!A:B,2,0)</f>
        <v>NJT</v>
      </c>
      <c r="H422" s="5">
        <v>2132</v>
      </c>
      <c r="I422" s="7">
        <f t="shared" si="22"/>
        <v>2019</v>
      </c>
      <c r="J422" s="5">
        <v>41099</v>
      </c>
      <c r="K422" s="18">
        <f t="shared" si="21"/>
        <v>19.277204502814261</v>
      </c>
    </row>
    <row r="423" spans="1:11" x14ac:dyDescent="0.3">
      <c r="A423" s="14">
        <v>2021</v>
      </c>
      <c r="B423" s="14">
        <f t="shared" si="20"/>
        <v>36</v>
      </c>
      <c r="C423" s="9">
        <v>44445</v>
      </c>
      <c r="D423" s="9">
        <v>44449</v>
      </c>
      <c r="E423" s="14">
        <f>VLOOKUP(F423,CarrierID!A:B,2,0)</f>
        <v>7</v>
      </c>
      <c r="F423" s="15" t="s">
        <v>4</v>
      </c>
      <c r="G423" t="str">
        <f>VLOOKUP(F423,Carrier_Category!A:B,2,0)</f>
        <v>Commuter</v>
      </c>
      <c r="H423" s="5">
        <v>25</v>
      </c>
      <c r="I423" s="7">
        <f t="shared" si="22"/>
        <v>20</v>
      </c>
      <c r="J423" s="5">
        <v>604</v>
      </c>
      <c r="K423" s="18">
        <f t="shared" si="21"/>
        <v>24.16</v>
      </c>
    </row>
    <row r="424" spans="1:11" x14ac:dyDescent="0.3">
      <c r="A424" s="14">
        <v>2021</v>
      </c>
      <c r="B424" s="14">
        <f t="shared" si="20"/>
        <v>36</v>
      </c>
      <c r="C424" s="9">
        <v>44445</v>
      </c>
      <c r="D424" s="9">
        <v>44449</v>
      </c>
      <c r="E424" s="14">
        <f>VLOOKUP(F424,CarrierID!A:B,2,0)</f>
        <v>11</v>
      </c>
      <c r="F424" s="15" t="s">
        <v>5</v>
      </c>
      <c r="G424" t="str">
        <f>VLOOKUP(F424,Carrier_Category!A:B,2,0)</f>
        <v>Intercity</v>
      </c>
      <c r="H424" s="5">
        <v>21</v>
      </c>
      <c r="I424" s="7">
        <f t="shared" si="22"/>
        <v>18</v>
      </c>
      <c r="J424" s="5">
        <v>680</v>
      </c>
      <c r="K424" s="18">
        <f t="shared" si="21"/>
        <v>32.38095238095238</v>
      </c>
    </row>
    <row r="425" spans="1:11" x14ac:dyDescent="0.3">
      <c r="A425" s="14">
        <v>2021</v>
      </c>
      <c r="B425" s="14">
        <f t="shared" si="20"/>
        <v>36</v>
      </c>
      <c r="C425" s="9">
        <v>44445</v>
      </c>
      <c r="D425" s="9">
        <v>44449</v>
      </c>
      <c r="E425" s="14">
        <f>VLOOKUP(F425,CarrierID!A:B,2,0)</f>
        <v>3</v>
      </c>
      <c r="F425" s="15" t="s">
        <v>6</v>
      </c>
      <c r="G425" t="str">
        <f>VLOOKUP(F425,Carrier_Category!A:B,2,0)</f>
        <v>Commuter</v>
      </c>
      <c r="H425" s="5">
        <v>108</v>
      </c>
      <c r="I425" s="7">
        <f t="shared" si="22"/>
        <v>109</v>
      </c>
      <c r="J425" s="5">
        <v>2864</v>
      </c>
      <c r="K425" s="18">
        <f t="shared" si="21"/>
        <v>26.518518518518519</v>
      </c>
    </row>
    <row r="426" spans="1:11" x14ac:dyDescent="0.3">
      <c r="A426" s="14">
        <v>2021</v>
      </c>
      <c r="B426" s="14">
        <f t="shared" si="20"/>
        <v>36</v>
      </c>
      <c r="C426" s="9">
        <v>44445</v>
      </c>
      <c r="D426" s="9">
        <v>44449</v>
      </c>
      <c r="E426" s="14">
        <f>VLOOKUP(F426,CarrierID!A:B,2,0)</f>
        <v>12</v>
      </c>
      <c r="F426" s="15" t="s">
        <v>25</v>
      </c>
      <c r="G426" t="str">
        <f>VLOOKUP(F426,Carrier_Category!A:B,2,0)</f>
        <v>Commuter</v>
      </c>
      <c r="H426" s="5">
        <v>17</v>
      </c>
      <c r="I426" s="7">
        <f t="shared" si="22"/>
        <v>17</v>
      </c>
      <c r="J426" s="5">
        <v>500</v>
      </c>
      <c r="K426" s="18">
        <f t="shared" si="21"/>
        <v>29.411764705882351</v>
      </c>
    </row>
    <row r="427" spans="1:11" x14ac:dyDescent="0.3">
      <c r="A427" s="14">
        <v>2021</v>
      </c>
      <c r="B427" s="14">
        <f t="shared" si="20"/>
        <v>36</v>
      </c>
      <c r="C427" s="9">
        <v>44445</v>
      </c>
      <c r="D427" s="9">
        <v>44449</v>
      </c>
      <c r="E427" s="14">
        <f>VLOOKUP(F427,CarrierID!A:B,2,0)</f>
        <v>10</v>
      </c>
      <c r="F427" s="15" t="s">
        <v>8</v>
      </c>
      <c r="G427" t="str">
        <f>VLOOKUP(F427,Carrier_Category!A:B,2,0)</f>
        <v>Intercity</v>
      </c>
      <c r="H427" s="5">
        <v>24</v>
      </c>
      <c r="I427" s="7">
        <f t="shared" si="22"/>
        <v>24</v>
      </c>
      <c r="J427" s="5">
        <v>776</v>
      </c>
      <c r="K427" s="18">
        <f t="shared" si="21"/>
        <v>32.333333333333336</v>
      </c>
    </row>
    <row r="428" spans="1:11" x14ac:dyDescent="0.3">
      <c r="A428" s="14">
        <v>2021</v>
      </c>
      <c r="B428" s="14">
        <f t="shared" si="20"/>
        <v>36</v>
      </c>
      <c r="C428" s="9">
        <v>44445</v>
      </c>
      <c r="D428" s="9">
        <v>44449</v>
      </c>
      <c r="E428" s="14">
        <f>VLOOKUP(F428,CarrierID!A:B,2,0)</f>
        <v>4</v>
      </c>
      <c r="F428" s="15" t="s">
        <v>24</v>
      </c>
      <c r="G428" t="str">
        <f>VLOOKUP(F428,Carrier_Category!A:B,2,0)</f>
        <v>Commuter</v>
      </c>
      <c r="H428" s="5">
        <v>16</v>
      </c>
      <c r="I428" s="7">
        <f t="shared" si="22"/>
        <v>16</v>
      </c>
      <c r="J428" s="5">
        <v>218</v>
      </c>
      <c r="K428" s="18">
        <f t="shared" si="21"/>
        <v>13.625</v>
      </c>
    </row>
    <row r="429" spans="1:11" x14ac:dyDescent="0.3">
      <c r="A429" s="14">
        <v>2021</v>
      </c>
      <c r="B429" s="14">
        <f t="shared" si="20"/>
        <v>36</v>
      </c>
      <c r="C429" s="9">
        <v>44445</v>
      </c>
      <c r="D429" s="9">
        <v>44449</v>
      </c>
      <c r="E429" s="14">
        <f>VLOOKUP(F429,CarrierID!A:B,2,0)</f>
        <v>6</v>
      </c>
      <c r="F429" s="15" t="s">
        <v>9</v>
      </c>
      <c r="G429" t="str">
        <f>VLOOKUP(F429,Carrier_Category!A:B,2,0)</f>
        <v>Commuter</v>
      </c>
      <c r="H429" s="5">
        <v>82</v>
      </c>
      <c r="I429" s="7">
        <f t="shared" si="22"/>
        <v>92</v>
      </c>
      <c r="J429" s="5">
        <v>1441</v>
      </c>
      <c r="K429" s="18">
        <f t="shared" si="21"/>
        <v>17.573170731707318</v>
      </c>
    </row>
    <row r="430" spans="1:11" x14ac:dyDescent="0.3">
      <c r="A430" s="14">
        <v>2021</v>
      </c>
      <c r="B430" s="14">
        <f t="shared" si="20"/>
        <v>37</v>
      </c>
      <c r="C430" s="9">
        <v>44452</v>
      </c>
      <c r="D430" s="9">
        <v>44456</v>
      </c>
      <c r="E430" s="14">
        <f>VLOOKUP(F430,CarrierID!A:B,2,0)</f>
        <v>1</v>
      </c>
      <c r="F430" s="15" t="s">
        <v>0</v>
      </c>
      <c r="G430" t="str">
        <f>VLOOKUP(F430,Carrier_Category!A:B,2,0)</f>
        <v>Commuter</v>
      </c>
      <c r="H430" s="5">
        <v>34</v>
      </c>
      <c r="I430" s="7">
        <f t="shared" si="22"/>
        <v>34</v>
      </c>
      <c r="J430" s="5">
        <v>952</v>
      </c>
      <c r="K430" s="18">
        <f t="shared" si="21"/>
        <v>28</v>
      </c>
    </row>
    <row r="431" spans="1:11" x14ac:dyDescent="0.3">
      <c r="A431" s="14">
        <v>2021</v>
      </c>
      <c r="B431" s="14">
        <f t="shared" si="20"/>
        <v>37</v>
      </c>
      <c r="C431" s="9">
        <v>44452</v>
      </c>
      <c r="D431" s="9">
        <v>44456</v>
      </c>
      <c r="E431" s="14">
        <f>VLOOKUP(F431,CarrierID!A:B,2,0)</f>
        <v>5</v>
      </c>
      <c r="F431" s="15" t="s">
        <v>1</v>
      </c>
      <c r="G431" t="str">
        <f>VLOOKUP(F431,Carrier_Category!A:B,2,0)</f>
        <v>Intercity</v>
      </c>
      <c r="H431" s="5">
        <v>59</v>
      </c>
      <c r="I431" s="7">
        <f t="shared" si="22"/>
        <v>61</v>
      </c>
      <c r="J431" s="5">
        <v>1388</v>
      </c>
      <c r="K431" s="18">
        <f t="shared" si="21"/>
        <v>23.525423728813561</v>
      </c>
    </row>
    <row r="432" spans="1:11" x14ac:dyDescent="0.3">
      <c r="A432" s="14">
        <v>2021</v>
      </c>
      <c r="B432" s="14">
        <f t="shared" si="20"/>
        <v>37</v>
      </c>
      <c r="C432" s="9">
        <v>44452</v>
      </c>
      <c r="D432" s="9">
        <v>44456</v>
      </c>
      <c r="E432" s="14">
        <f>VLOOKUP(F432,CarrierID!A:B,2,0)</f>
        <v>8</v>
      </c>
      <c r="F432" s="15" t="s">
        <v>2</v>
      </c>
      <c r="G432" t="str">
        <f>VLOOKUP(F432,Carrier_Category!A:B,2,0)</f>
        <v>Commuter</v>
      </c>
      <c r="H432" s="5">
        <v>17</v>
      </c>
      <c r="I432" s="7">
        <f t="shared" si="22"/>
        <v>17</v>
      </c>
      <c r="J432" s="5">
        <v>693</v>
      </c>
      <c r="K432" s="18">
        <f t="shared" si="21"/>
        <v>40.764705882352942</v>
      </c>
    </row>
    <row r="433" spans="1:11" x14ac:dyDescent="0.3">
      <c r="A433" s="14">
        <v>2021</v>
      </c>
      <c r="B433" s="14">
        <f t="shared" si="20"/>
        <v>37</v>
      </c>
      <c r="C433" s="9">
        <v>44452</v>
      </c>
      <c r="D433" s="9">
        <v>44456</v>
      </c>
      <c r="E433" s="14">
        <f>VLOOKUP(F433,CarrierID!A:B,2,0)</f>
        <v>9</v>
      </c>
      <c r="F433" s="15" t="s">
        <v>3</v>
      </c>
      <c r="G433" t="str">
        <f>VLOOKUP(F433,Carrier_Category!A:B,2,0)</f>
        <v>NJT</v>
      </c>
      <c r="H433" s="5">
        <v>2120</v>
      </c>
      <c r="I433" s="7">
        <f t="shared" si="22"/>
        <v>2132</v>
      </c>
      <c r="J433" s="5">
        <v>45441</v>
      </c>
      <c r="K433" s="18">
        <f t="shared" si="21"/>
        <v>21.434433962264151</v>
      </c>
    </row>
    <row r="434" spans="1:11" x14ac:dyDescent="0.3">
      <c r="A434" s="14">
        <v>2021</v>
      </c>
      <c r="B434" s="14">
        <f t="shared" si="20"/>
        <v>37</v>
      </c>
      <c r="C434" s="9">
        <v>44452</v>
      </c>
      <c r="D434" s="9">
        <v>44456</v>
      </c>
      <c r="E434" s="14">
        <f>VLOOKUP(F434,CarrierID!A:B,2,0)</f>
        <v>7</v>
      </c>
      <c r="F434" s="15" t="s">
        <v>4</v>
      </c>
      <c r="G434" t="str">
        <f>VLOOKUP(F434,Carrier_Category!A:B,2,0)</f>
        <v>Commuter</v>
      </c>
      <c r="H434" s="5">
        <v>25</v>
      </c>
      <c r="I434" s="7">
        <f t="shared" si="22"/>
        <v>25</v>
      </c>
      <c r="J434" s="5">
        <v>674</v>
      </c>
      <c r="K434" s="18">
        <f t="shared" si="21"/>
        <v>26.96</v>
      </c>
    </row>
    <row r="435" spans="1:11" x14ac:dyDescent="0.3">
      <c r="A435" s="14">
        <v>2021</v>
      </c>
      <c r="B435" s="14">
        <f t="shared" si="20"/>
        <v>37</v>
      </c>
      <c r="C435" s="9">
        <v>44452</v>
      </c>
      <c r="D435" s="9">
        <v>44456</v>
      </c>
      <c r="E435" s="14">
        <f>VLOOKUP(F435,CarrierID!A:B,2,0)</f>
        <v>11</v>
      </c>
      <c r="F435" s="15" t="s">
        <v>5</v>
      </c>
      <c r="G435" t="str">
        <f>VLOOKUP(F435,Carrier_Category!A:B,2,0)</f>
        <v>Intercity</v>
      </c>
      <c r="H435" s="5">
        <v>18</v>
      </c>
      <c r="I435" s="7">
        <f t="shared" si="22"/>
        <v>21</v>
      </c>
      <c r="J435" s="5">
        <v>370</v>
      </c>
      <c r="K435" s="18">
        <f t="shared" si="21"/>
        <v>20.555555555555557</v>
      </c>
    </row>
    <row r="436" spans="1:11" x14ac:dyDescent="0.3">
      <c r="A436" s="14">
        <v>2021</v>
      </c>
      <c r="B436" s="14">
        <f t="shared" si="20"/>
        <v>37</v>
      </c>
      <c r="C436" s="9">
        <v>44452</v>
      </c>
      <c r="D436" s="9">
        <v>44456</v>
      </c>
      <c r="E436" s="14">
        <f>VLOOKUP(F436,CarrierID!A:B,2,0)</f>
        <v>3</v>
      </c>
      <c r="F436" s="15" t="s">
        <v>6</v>
      </c>
      <c r="G436" t="str">
        <f>VLOOKUP(F436,Carrier_Category!A:B,2,0)</f>
        <v>Commuter</v>
      </c>
      <c r="H436" s="5">
        <v>121</v>
      </c>
      <c r="I436" s="7">
        <f t="shared" si="22"/>
        <v>108</v>
      </c>
      <c r="J436" s="5">
        <v>3155</v>
      </c>
      <c r="K436" s="18">
        <f t="shared" si="21"/>
        <v>26.074380165289256</v>
      </c>
    </row>
    <row r="437" spans="1:11" x14ac:dyDescent="0.3">
      <c r="A437" s="14">
        <v>2021</v>
      </c>
      <c r="B437" s="14">
        <f t="shared" si="20"/>
        <v>37</v>
      </c>
      <c r="C437" s="9">
        <v>44452</v>
      </c>
      <c r="D437" s="9">
        <v>44456</v>
      </c>
      <c r="E437" s="14">
        <f>VLOOKUP(F437,CarrierID!A:B,2,0)</f>
        <v>12</v>
      </c>
      <c r="F437" s="15" t="s">
        <v>25</v>
      </c>
      <c r="G437" t="str">
        <f>VLOOKUP(F437,Carrier_Category!A:B,2,0)</f>
        <v>Commuter</v>
      </c>
      <c r="H437" s="5">
        <v>17</v>
      </c>
      <c r="I437" s="7">
        <f t="shared" si="22"/>
        <v>17</v>
      </c>
      <c r="J437" s="5">
        <v>525</v>
      </c>
      <c r="K437" s="18">
        <f t="shared" si="21"/>
        <v>30.882352941176471</v>
      </c>
    </row>
    <row r="438" spans="1:11" x14ac:dyDescent="0.3">
      <c r="A438" s="14">
        <v>2021</v>
      </c>
      <c r="B438" s="14">
        <f t="shared" si="20"/>
        <v>37</v>
      </c>
      <c r="C438" s="9">
        <v>44452</v>
      </c>
      <c r="D438" s="9">
        <v>44456</v>
      </c>
      <c r="E438" s="14">
        <f>VLOOKUP(F438,CarrierID!A:B,2,0)</f>
        <v>10</v>
      </c>
      <c r="F438" s="15" t="s">
        <v>8</v>
      </c>
      <c r="G438" t="str">
        <f>VLOOKUP(F438,Carrier_Category!A:B,2,0)</f>
        <v>Intercity</v>
      </c>
      <c r="H438" s="5">
        <v>28</v>
      </c>
      <c r="I438" s="7">
        <f t="shared" si="22"/>
        <v>24</v>
      </c>
      <c r="J438" s="5">
        <v>618</v>
      </c>
      <c r="K438" s="18">
        <f t="shared" si="21"/>
        <v>22.071428571428573</v>
      </c>
    </row>
    <row r="439" spans="1:11" x14ac:dyDescent="0.3">
      <c r="A439" s="14">
        <v>2021</v>
      </c>
      <c r="B439" s="14">
        <f t="shared" si="20"/>
        <v>37</v>
      </c>
      <c r="C439" s="9">
        <v>44452</v>
      </c>
      <c r="D439" s="9">
        <v>44456</v>
      </c>
      <c r="E439" s="14">
        <f>VLOOKUP(F439,CarrierID!A:B,2,0)</f>
        <v>4</v>
      </c>
      <c r="F439" s="15" t="s">
        <v>24</v>
      </c>
      <c r="G439" t="str">
        <f>VLOOKUP(F439,Carrier_Category!A:B,2,0)</f>
        <v>Commuter</v>
      </c>
      <c r="H439" s="5">
        <v>16</v>
      </c>
      <c r="I439" s="7">
        <f t="shared" si="22"/>
        <v>16</v>
      </c>
      <c r="J439" s="5">
        <v>257</v>
      </c>
      <c r="K439" s="18">
        <f t="shared" si="21"/>
        <v>16.0625</v>
      </c>
    </row>
    <row r="440" spans="1:11" x14ac:dyDescent="0.3">
      <c r="A440" s="14">
        <v>2021</v>
      </c>
      <c r="B440" s="14">
        <f t="shared" si="20"/>
        <v>37</v>
      </c>
      <c r="C440" s="9">
        <v>44452</v>
      </c>
      <c r="D440" s="9">
        <v>44456</v>
      </c>
      <c r="E440" s="14">
        <f>VLOOKUP(F440,CarrierID!A:B,2,0)</f>
        <v>6</v>
      </c>
      <c r="F440" s="15" t="s">
        <v>9</v>
      </c>
      <c r="G440" t="str">
        <f>VLOOKUP(F440,Carrier_Category!A:B,2,0)</f>
        <v>Commuter</v>
      </c>
      <c r="H440" s="5">
        <v>93</v>
      </c>
      <c r="I440" s="7">
        <f t="shared" si="22"/>
        <v>82</v>
      </c>
      <c r="J440" s="5">
        <v>1534</v>
      </c>
      <c r="K440" s="18">
        <f t="shared" si="21"/>
        <v>16.49462365591398</v>
      </c>
    </row>
    <row r="441" spans="1:11" x14ac:dyDescent="0.3">
      <c r="A441" s="14">
        <v>2021</v>
      </c>
      <c r="B441" s="14">
        <f t="shared" si="20"/>
        <v>38</v>
      </c>
      <c r="C441" s="9">
        <v>44459</v>
      </c>
      <c r="D441" s="9">
        <v>44463</v>
      </c>
      <c r="E441" s="14">
        <f>VLOOKUP(F441,CarrierID!A:B,2,0)</f>
        <v>1</v>
      </c>
      <c r="F441" s="15" t="s">
        <v>0</v>
      </c>
      <c r="G441" t="str">
        <f>VLOOKUP(F441,Carrier_Category!A:B,2,0)</f>
        <v>Commuter</v>
      </c>
      <c r="H441" s="5">
        <v>33</v>
      </c>
      <c r="I441" s="7">
        <f t="shared" si="22"/>
        <v>34</v>
      </c>
      <c r="J441" s="5">
        <v>1007</v>
      </c>
      <c r="K441" s="18">
        <f t="shared" si="21"/>
        <v>30.515151515151516</v>
      </c>
    </row>
    <row r="442" spans="1:11" x14ac:dyDescent="0.3">
      <c r="A442" s="14">
        <v>2021</v>
      </c>
      <c r="B442" s="14">
        <f t="shared" si="20"/>
        <v>38</v>
      </c>
      <c r="C442" s="9">
        <v>44459</v>
      </c>
      <c r="D442" s="9">
        <v>44463</v>
      </c>
      <c r="E442" s="14">
        <f>VLOOKUP(F442,CarrierID!A:B,2,0)</f>
        <v>5</v>
      </c>
      <c r="F442" s="15" t="s">
        <v>1</v>
      </c>
      <c r="G442" t="str">
        <f>VLOOKUP(F442,Carrier_Category!A:B,2,0)</f>
        <v>Intercity</v>
      </c>
      <c r="H442" s="5">
        <v>56</v>
      </c>
      <c r="I442" s="7">
        <f t="shared" si="22"/>
        <v>59</v>
      </c>
      <c r="J442" s="5">
        <v>1351</v>
      </c>
      <c r="K442" s="18">
        <f t="shared" si="21"/>
        <v>24.125</v>
      </c>
    </row>
    <row r="443" spans="1:11" x14ac:dyDescent="0.3">
      <c r="A443" s="14">
        <v>2021</v>
      </c>
      <c r="B443" s="14">
        <f t="shared" si="20"/>
        <v>38</v>
      </c>
      <c r="C443" s="9">
        <v>44459</v>
      </c>
      <c r="D443" s="9">
        <v>44463</v>
      </c>
      <c r="E443" s="14">
        <f>VLOOKUP(F443,CarrierID!A:B,2,0)</f>
        <v>8</v>
      </c>
      <c r="F443" s="15" t="s">
        <v>2</v>
      </c>
      <c r="G443" t="str">
        <f>VLOOKUP(F443,Carrier_Category!A:B,2,0)</f>
        <v>Commuter</v>
      </c>
      <c r="H443" s="5">
        <v>17</v>
      </c>
      <c r="I443" s="7">
        <f t="shared" si="22"/>
        <v>17</v>
      </c>
      <c r="J443" s="5">
        <v>695</v>
      </c>
      <c r="K443" s="18">
        <f t="shared" si="21"/>
        <v>40.882352941176471</v>
      </c>
    </row>
    <row r="444" spans="1:11" x14ac:dyDescent="0.3">
      <c r="A444" s="14">
        <v>2021</v>
      </c>
      <c r="B444" s="14">
        <f t="shared" si="20"/>
        <v>38</v>
      </c>
      <c r="C444" s="9">
        <v>44459</v>
      </c>
      <c r="D444" s="9">
        <v>44463</v>
      </c>
      <c r="E444" s="14">
        <f>VLOOKUP(F444,CarrierID!A:B,2,0)</f>
        <v>9</v>
      </c>
      <c r="F444" s="15" t="s">
        <v>3</v>
      </c>
      <c r="G444" t="str">
        <f>VLOOKUP(F444,Carrier_Category!A:B,2,0)</f>
        <v>NJT</v>
      </c>
      <c r="H444" s="5">
        <v>2138</v>
      </c>
      <c r="I444" s="7">
        <f t="shared" si="22"/>
        <v>2120</v>
      </c>
      <c r="J444" s="5">
        <v>45660</v>
      </c>
      <c r="K444" s="18">
        <f t="shared" si="21"/>
        <v>21.356407857811039</v>
      </c>
    </row>
    <row r="445" spans="1:11" x14ac:dyDescent="0.3">
      <c r="A445" s="14">
        <v>2021</v>
      </c>
      <c r="B445" s="14">
        <f t="shared" si="20"/>
        <v>38</v>
      </c>
      <c r="C445" s="9">
        <v>44459</v>
      </c>
      <c r="D445" s="9">
        <v>44463</v>
      </c>
      <c r="E445" s="14">
        <f>VLOOKUP(F445,CarrierID!A:B,2,0)</f>
        <v>7</v>
      </c>
      <c r="F445" s="15" t="s">
        <v>4</v>
      </c>
      <c r="G445" t="str">
        <f>VLOOKUP(F445,Carrier_Category!A:B,2,0)</f>
        <v>Commuter</v>
      </c>
      <c r="H445" s="5">
        <v>25</v>
      </c>
      <c r="I445" s="7">
        <f t="shared" si="22"/>
        <v>25</v>
      </c>
      <c r="J445" s="5">
        <v>673</v>
      </c>
      <c r="K445" s="18">
        <f t="shared" si="21"/>
        <v>26.92</v>
      </c>
    </row>
    <row r="446" spans="1:11" x14ac:dyDescent="0.3">
      <c r="A446" s="14">
        <v>2021</v>
      </c>
      <c r="B446" s="14">
        <f t="shared" si="20"/>
        <v>38</v>
      </c>
      <c r="C446" s="9">
        <v>44459</v>
      </c>
      <c r="D446" s="9">
        <v>44463</v>
      </c>
      <c r="E446" s="14">
        <f>VLOOKUP(F446,CarrierID!A:B,2,0)</f>
        <v>11</v>
      </c>
      <c r="F446" s="15" t="s">
        <v>5</v>
      </c>
      <c r="G446" t="str">
        <f>VLOOKUP(F446,Carrier_Category!A:B,2,0)</f>
        <v>Intercity</v>
      </c>
      <c r="H446" s="5">
        <v>17</v>
      </c>
      <c r="I446" s="7">
        <f t="shared" si="22"/>
        <v>18</v>
      </c>
      <c r="J446" s="5">
        <v>397</v>
      </c>
      <c r="K446" s="18">
        <f t="shared" si="21"/>
        <v>23.352941176470587</v>
      </c>
    </row>
    <row r="447" spans="1:11" x14ac:dyDescent="0.3">
      <c r="A447" s="14">
        <v>2021</v>
      </c>
      <c r="B447" s="14">
        <f t="shared" si="20"/>
        <v>38</v>
      </c>
      <c r="C447" s="9">
        <v>44459</v>
      </c>
      <c r="D447" s="9">
        <v>44463</v>
      </c>
      <c r="E447" s="14">
        <f>VLOOKUP(F447,CarrierID!A:B,2,0)</f>
        <v>3</v>
      </c>
      <c r="F447" s="15" t="s">
        <v>6</v>
      </c>
      <c r="G447" t="str">
        <f>VLOOKUP(F447,Carrier_Category!A:B,2,0)</f>
        <v>Commuter</v>
      </c>
      <c r="H447" s="5">
        <v>123</v>
      </c>
      <c r="I447" s="7">
        <f t="shared" si="22"/>
        <v>121</v>
      </c>
      <c r="J447" s="5">
        <v>3321</v>
      </c>
      <c r="K447" s="18">
        <f t="shared" si="21"/>
        <v>27</v>
      </c>
    </row>
    <row r="448" spans="1:11" x14ac:dyDescent="0.3">
      <c r="A448" s="14">
        <v>2021</v>
      </c>
      <c r="B448" s="14">
        <f t="shared" si="20"/>
        <v>38</v>
      </c>
      <c r="C448" s="9">
        <v>44459</v>
      </c>
      <c r="D448" s="9">
        <v>44463</v>
      </c>
      <c r="E448" s="14">
        <f>VLOOKUP(F448,CarrierID!A:B,2,0)</f>
        <v>12</v>
      </c>
      <c r="F448" s="15" t="s">
        <v>25</v>
      </c>
      <c r="G448" t="str">
        <f>VLOOKUP(F448,Carrier_Category!A:B,2,0)</f>
        <v>Commuter</v>
      </c>
      <c r="H448" s="5">
        <v>17</v>
      </c>
      <c r="I448" s="7">
        <f t="shared" si="22"/>
        <v>17</v>
      </c>
      <c r="J448" s="5">
        <v>547</v>
      </c>
      <c r="K448" s="18">
        <f t="shared" si="21"/>
        <v>32.176470588235297</v>
      </c>
    </row>
    <row r="449" spans="1:11" x14ac:dyDescent="0.3">
      <c r="A449" s="14">
        <v>2021</v>
      </c>
      <c r="B449" s="14">
        <f t="shared" si="20"/>
        <v>38</v>
      </c>
      <c r="C449" s="9">
        <v>44459</v>
      </c>
      <c r="D449" s="9">
        <v>44463</v>
      </c>
      <c r="E449" s="14">
        <f>VLOOKUP(F449,CarrierID!A:B,2,0)</f>
        <v>10</v>
      </c>
      <c r="F449" s="15" t="s">
        <v>8</v>
      </c>
      <c r="G449" t="str">
        <f>VLOOKUP(F449,Carrier_Category!A:B,2,0)</f>
        <v>Intercity</v>
      </c>
      <c r="H449" s="5">
        <v>28</v>
      </c>
      <c r="I449" s="7">
        <f t="shared" si="22"/>
        <v>28</v>
      </c>
      <c r="J449" s="5">
        <v>689</v>
      </c>
      <c r="K449" s="18">
        <f t="shared" si="21"/>
        <v>24.607142857142858</v>
      </c>
    </row>
    <row r="450" spans="1:11" x14ac:dyDescent="0.3">
      <c r="A450" s="14">
        <v>2021</v>
      </c>
      <c r="B450" s="14">
        <f t="shared" si="20"/>
        <v>38</v>
      </c>
      <c r="C450" s="9">
        <v>44459</v>
      </c>
      <c r="D450" s="9">
        <v>44463</v>
      </c>
      <c r="E450" s="14">
        <f>VLOOKUP(F450,CarrierID!A:B,2,0)</f>
        <v>4</v>
      </c>
      <c r="F450" s="15" t="s">
        <v>24</v>
      </c>
      <c r="G450" t="str">
        <f>VLOOKUP(F450,Carrier_Category!A:B,2,0)</f>
        <v>Commuter</v>
      </c>
      <c r="H450" s="5">
        <v>16</v>
      </c>
      <c r="I450" s="7">
        <f t="shared" si="22"/>
        <v>16</v>
      </c>
      <c r="J450" s="5">
        <v>264</v>
      </c>
      <c r="K450" s="18">
        <f t="shared" si="21"/>
        <v>16.5</v>
      </c>
    </row>
    <row r="451" spans="1:11" x14ac:dyDescent="0.3">
      <c r="A451" s="14">
        <v>2021</v>
      </c>
      <c r="B451" s="14">
        <f t="shared" si="20"/>
        <v>38</v>
      </c>
      <c r="C451" s="9">
        <v>44459</v>
      </c>
      <c r="D451" s="9">
        <v>44463</v>
      </c>
      <c r="E451" s="14">
        <f>VLOOKUP(F451,CarrierID!A:B,2,0)</f>
        <v>6</v>
      </c>
      <c r="F451" s="15" t="s">
        <v>9</v>
      </c>
      <c r="G451" t="str">
        <f>VLOOKUP(F451,Carrier_Category!A:B,2,0)</f>
        <v>Commuter</v>
      </c>
      <c r="H451" s="5">
        <v>97</v>
      </c>
      <c r="I451" s="7">
        <f t="shared" si="22"/>
        <v>93</v>
      </c>
      <c r="J451" s="5">
        <v>1600</v>
      </c>
      <c r="K451" s="18">
        <f t="shared" si="21"/>
        <v>16.494845360824741</v>
      </c>
    </row>
    <row r="452" spans="1:11" x14ac:dyDescent="0.3">
      <c r="A452" s="14">
        <v>2021</v>
      </c>
      <c r="B452" s="14">
        <f t="shared" si="20"/>
        <v>39</v>
      </c>
      <c r="C452" s="9">
        <v>44466</v>
      </c>
      <c r="D452" s="9">
        <v>44470</v>
      </c>
      <c r="E452" s="14">
        <f>VLOOKUP(F452,CarrierID!A:B,2,0)</f>
        <v>1</v>
      </c>
      <c r="F452" s="15" t="s">
        <v>0</v>
      </c>
      <c r="G452" t="str">
        <f>VLOOKUP(F452,Carrier_Category!A:B,2,0)</f>
        <v>Commuter</v>
      </c>
      <c r="H452" s="5">
        <v>34</v>
      </c>
      <c r="I452" s="7">
        <f t="shared" si="22"/>
        <v>33</v>
      </c>
      <c r="J452" s="5">
        <v>970</v>
      </c>
      <c r="K452" s="18">
        <f t="shared" si="21"/>
        <v>28.529411764705884</v>
      </c>
    </row>
    <row r="453" spans="1:11" x14ac:dyDescent="0.3">
      <c r="A453" s="14">
        <v>2021</v>
      </c>
      <c r="B453" s="14">
        <f t="shared" ref="B453:B516" si="23">_xlfn.ISOWEEKNUM(C453)</f>
        <v>39</v>
      </c>
      <c r="C453" s="9">
        <v>44466</v>
      </c>
      <c r="D453" s="9">
        <v>44470</v>
      </c>
      <c r="E453" s="14">
        <f>VLOOKUP(F453,CarrierID!A:B,2,0)</f>
        <v>5</v>
      </c>
      <c r="F453" s="15" t="s">
        <v>1</v>
      </c>
      <c r="G453" t="str">
        <f>VLOOKUP(F453,Carrier_Category!A:B,2,0)</f>
        <v>Intercity</v>
      </c>
      <c r="H453" s="5">
        <v>55</v>
      </c>
      <c r="I453" s="7">
        <f t="shared" si="22"/>
        <v>56</v>
      </c>
      <c r="J453" s="5">
        <v>1306</v>
      </c>
      <c r="K453" s="18">
        <f t="shared" ref="K453:K516" si="24">J453/H453</f>
        <v>23.745454545454546</v>
      </c>
    </row>
    <row r="454" spans="1:11" x14ac:dyDescent="0.3">
      <c r="A454" s="14">
        <v>2021</v>
      </c>
      <c r="B454" s="14">
        <f t="shared" si="23"/>
        <v>39</v>
      </c>
      <c r="C454" s="9">
        <v>44466</v>
      </c>
      <c r="D454" s="9">
        <v>44470</v>
      </c>
      <c r="E454" s="14">
        <f>VLOOKUP(F454,CarrierID!A:B,2,0)</f>
        <v>8</v>
      </c>
      <c r="F454" s="15" t="s">
        <v>2</v>
      </c>
      <c r="G454" t="str">
        <f>VLOOKUP(F454,Carrier_Category!A:B,2,0)</f>
        <v>Commuter</v>
      </c>
      <c r="H454" s="5">
        <v>17</v>
      </c>
      <c r="I454" s="7">
        <f t="shared" si="22"/>
        <v>17</v>
      </c>
      <c r="J454" s="5">
        <v>688</v>
      </c>
      <c r="K454" s="18">
        <f t="shared" si="24"/>
        <v>40.470588235294116</v>
      </c>
    </row>
    <row r="455" spans="1:11" x14ac:dyDescent="0.3">
      <c r="A455" s="14">
        <v>2021</v>
      </c>
      <c r="B455" s="14">
        <f t="shared" si="23"/>
        <v>39</v>
      </c>
      <c r="C455" s="9">
        <v>44466</v>
      </c>
      <c r="D455" s="9">
        <v>44470</v>
      </c>
      <c r="E455" s="14">
        <f>VLOOKUP(F455,CarrierID!A:B,2,0)</f>
        <v>9</v>
      </c>
      <c r="F455" s="15" t="s">
        <v>3</v>
      </c>
      <c r="G455" t="str">
        <f>VLOOKUP(F455,Carrier_Category!A:B,2,0)</f>
        <v>NJT</v>
      </c>
      <c r="H455" s="5">
        <v>2146</v>
      </c>
      <c r="I455" s="7">
        <f t="shared" si="22"/>
        <v>2138</v>
      </c>
      <c r="J455" s="5">
        <v>45840</v>
      </c>
      <c r="K455" s="18">
        <f t="shared" si="24"/>
        <v>21.36067101584343</v>
      </c>
    </row>
    <row r="456" spans="1:11" x14ac:dyDescent="0.3">
      <c r="A456" s="14">
        <v>2021</v>
      </c>
      <c r="B456" s="14">
        <f t="shared" si="23"/>
        <v>39</v>
      </c>
      <c r="C456" s="9">
        <v>44466</v>
      </c>
      <c r="D456" s="9">
        <v>44470</v>
      </c>
      <c r="E456" s="14">
        <f>VLOOKUP(F456,CarrierID!A:B,2,0)</f>
        <v>7</v>
      </c>
      <c r="F456" s="15" t="s">
        <v>4</v>
      </c>
      <c r="G456" t="str">
        <f>VLOOKUP(F456,Carrier_Category!A:B,2,0)</f>
        <v>Commuter</v>
      </c>
      <c r="H456" s="5">
        <v>25</v>
      </c>
      <c r="I456" s="7">
        <f t="shared" si="22"/>
        <v>25</v>
      </c>
      <c r="J456" s="5">
        <v>692</v>
      </c>
      <c r="K456" s="18">
        <f t="shared" si="24"/>
        <v>27.68</v>
      </c>
    </row>
    <row r="457" spans="1:11" x14ac:dyDescent="0.3">
      <c r="A457" s="14">
        <v>2021</v>
      </c>
      <c r="B457" s="14">
        <f t="shared" si="23"/>
        <v>39</v>
      </c>
      <c r="C457" s="9">
        <v>44466</v>
      </c>
      <c r="D457" s="9">
        <v>44470</v>
      </c>
      <c r="E457" s="14">
        <f>VLOOKUP(F457,CarrierID!A:B,2,0)</f>
        <v>11</v>
      </c>
      <c r="F457" s="15" t="s">
        <v>5</v>
      </c>
      <c r="G457" t="str">
        <f>VLOOKUP(F457,Carrier_Category!A:B,2,0)</f>
        <v>Intercity</v>
      </c>
      <c r="H457" s="5">
        <v>17</v>
      </c>
      <c r="I457" s="7">
        <f t="shared" si="22"/>
        <v>17</v>
      </c>
      <c r="J457" s="5">
        <v>395</v>
      </c>
      <c r="K457" s="18">
        <f t="shared" si="24"/>
        <v>23.235294117647058</v>
      </c>
    </row>
    <row r="458" spans="1:11" x14ac:dyDescent="0.3">
      <c r="A458" s="14">
        <v>2021</v>
      </c>
      <c r="B458" s="14">
        <f t="shared" si="23"/>
        <v>39</v>
      </c>
      <c r="C458" s="9">
        <v>44466</v>
      </c>
      <c r="D458" s="9">
        <v>44470</v>
      </c>
      <c r="E458" s="14">
        <f>VLOOKUP(F458,CarrierID!A:B,2,0)</f>
        <v>3</v>
      </c>
      <c r="F458" s="15" t="s">
        <v>6</v>
      </c>
      <c r="G458" t="str">
        <f>VLOOKUP(F458,Carrier_Category!A:B,2,0)</f>
        <v>Commuter</v>
      </c>
      <c r="H458" s="5">
        <v>125</v>
      </c>
      <c r="I458" s="7">
        <f t="shared" si="22"/>
        <v>123</v>
      </c>
      <c r="J458" s="5">
        <v>3351</v>
      </c>
      <c r="K458" s="18">
        <f t="shared" si="24"/>
        <v>26.808</v>
      </c>
    </row>
    <row r="459" spans="1:11" x14ac:dyDescent="0.3">
      <c r="A459" s="14">
        <v>2021</v>
      </c>
      <c r="B459" s="14">
        <f t="shared" si="23"/>
        <v>39</v>
      </c>
      <c r="C459" s="9">
        <v>44466</v>
      </c>
      <c r="D459" s="9">
        <v>44470</v>
      </c>
      <c r="E459" s="14">
        <f>VLOOKUP(F459,CarrierID!A:B,2,0)</f>
        <v>12</v>
      </c>
      <c r="F459" s="15" t="s">
        <v>25</v>
      </c>
      <c r="G459" t="str">
        <f>VLOOKUP(F459,Carrier_Category!A:B,2,0)</f>
        <v>Commuter</v>
      </c>
      <c r="H459" s="5">
        <v>17</v>
      </c>
      <c r="I459" s="7">
        <f t="shared" si="22"/>
        <v>17</v>
      </c>
      <c r="J459" s="5">
        <v>527</v>
      </c>
      <c r="K459" s="18">
        <f t="shared" si="24"/>
        <v>31</v>
      </c>
    </row>
    <row r="460" spans="1:11" x14ac:dyDescent="0.3">
      <c r="A460" s="14">
        <v>2021</v>
      </c>
      <c r="B460" s="14">
        <f t="shared" si="23"/>
        <v>39</v>
      </c>
      <c r="C460" s="9">
        <v>44466</v>
      </c>
      <c r="D460" s="9">
        <v>44470</v>
      </c>
      <c r="E460" s="14">
        <f>VLOOKUP(F460,CarrierID!A:B,2,0)</f>
        <v>10</v>
      </c>
      <c r="F460" s="15" t="s">
        <v>8</v>
      </c>
      <c r="G460" t="str">
        <f>VLOOKUP(F460,Carrier_Category!A:B,2,0)</f>
        <v>Intercity</v>
      </c>
      <c r="H460" s="5">
        <v>29</v>
      </c>
      <c r="I460" s="7">
        <f t="shared" si="22"/>
        <v>28</v>
      </c>
      <c r="J460" s="5">
        <v>761</v>
      </c>
      <c r="K460" s="18">
        <f t="shared" si="24"/>
        <v>26.241379310344829</v>
      </c>
    </row>
    <row r="461" spans="1:11" x14ac:dyDescent="0.3">
      <c r="A461" s="14">
        <v>2021</v>
      </c>
      <c r="B461" s="14">
        <f t="shared" si="23"/>
        <v>39</v>
      </c>
      <c r="C461" s="9">
        <v>44466</v>
      </c>
      <c r="D461" s="9">
        <v>44470</v>
      </c>
      <c r="E461" s="14">
        <f>VLOOKUP(F461,CarrierID!A:B,2,0)</f>
        <v>4</v>
      </c>
      <c r="F461" s="15" t="s">
        <v>24</v>
      </c>
      <c r="G461" t="str">
        <f>VLOOKUP(F461,Carrier_Category!A:B,2,0)</f>
        <v>Commuter</v>
      </c>
      <c r="H461" s="5">
        <v>16</v>
      </c>
      <c r="I461" s="7">
        <f t="shared" ref="I461:I524" si="25">H450</f>
        <v>16</v>
      </c>
      <c r="J461" s="5">
        <v>274</v>
      </c>
      <c r="K461" s="18">
        <f t="shared" si="24"/>
        <v>17.125</v>
      </c>
    </row>
    <row r="462" spans="1:11" x14ac:dyDescent="0.3">
      <c r="A462" s="14">
        <v>2021</v>
      </c>
      <c r="B462" s="14">
        <f t="shared" si="23"/>
        <v>39</v>
      </c>
      <c r="C462" s="9">
        <v>44466</v>
      </c>
      <c r="D462" s="9">
        <v>44470</v>
      </c>
      <c r="E462" s="14">
        <f>VLOOKUP(F462,CarrierID!A:B,2,0)</f>
        <v>6</v>
      </c>
      <c r="F462" s="15" t="s">
        <v>9</v>
      </c>
      <c r="G462" t="str">
        <f>VLOOKUP(F462,Carrier_Category!A:B,2,0)</f>
        <v>Commuter</v>
      </c>
      <c r="H462" s="5">
        <v>97</v>
      </c>
      <c r="I462" s="7">
        <f t="shared" si="25"/>
        <v>97</v>
      </c>
      <c r="J462" s="5">
        <v>1600</v>
      </c>
      <c r="K462" s="18">
        <f t="shared" si="24"/>
        <v>16.494845360824741</v>
      </c>
    </row>
    <row r="463" spans="1:11" x14ac:dyDescent="0.3">
      <c r="A463" s="14">
        <v>2021</v>
      </c>
      <c r="B463" s="14">
        <f t="shared" si="23"/>
        <v>40</v>
      </c>
      <c r="C463" s="9">
        <v>44473</v>
      </c>
      <c r="D463" s="9">
        <v>44477</v>
      </c>
      <c r="E463" s="14">
        <f>VLOOKUP(F463,CarrierID!A:B,2,0)</f>
        <v>1</v>
      </c>
      <c r="F463" s="15" t="s">
        <v>0</v>
      </c>
      <c r="G463" t="str">
        <f>VLOOKUP(F463,Carrier_Category!A:B,2,0)</f>
        <v>Commuter</v>
      </c>
      <c r="H463" s="5">
        <v>34</v>
      </c>
      <c r="I463" s="7">
        <f t="shared" si="25"/>
        <v>34</v>
      </c>
      <c r="J463" s="5">
        <v>1016</v>
      </c>
      <c r="K463" s="18">
        <f t="shared" si="24"/>
        <v>29.882352941176471</v>
      </c>
    </row>
    <row r="464" spans="1:11" x14ac:dyDescent="0.3">
      <c r="A464" s="14">
        <v>2021</v>
      </c>
      <c r="B464" s="14">
        <f t="shared" si="23"/>
        <v>40</v>
      </c>
      <c r="C464" s="9">
        <v>44473</v>
      </c>
      <c r="D464" s="9">
        <v>44477</v>
      </c>
      <c r="E464" s="14">
        <f>VLOOKUP(F464,CarrierID!A:B,2,0)</f>
        <v>5</v>
      </c>
      <c r="F464" s="15" t="s">
        <v>1</v>
      </c>
      <c r="G464" t="str">
        <f>VLOOKUP(F464,Carrier_Category!A:B,2,0)</f>
        <v>Intercity</v>
      </c>
      <c r="H464" s="5">
        <v>55</v>
      </c>
      <c r="I464" s="7">
        <f t="shared" si="25"/>
        <v>55</v>
      </c>
      <c r="J464" s="5">
        <v>1219</v>
      </c>
      <c r="K464" s="18">
        <f t="shared" si="24"/>
        <v>22.163636363636364</v>
      </c>
    </row>
    <row r="465" spans="1:11" x14ac:dyDescent="0.3">
      <c r="A465" s="14">
        <v>2021</v>
      </c>
      <c r="B465" s="14">
        <f t="shared" si="23"/>
        <v>40</v>
      </c>
      <c r="C465" s="9">
        <v>44473</v>
      </c>
      <c r="D465" s="9">
        <v>44477</v>
      </c>
      <c r="E465" s="14">
        <f>VLOOKUP(F465,CarrierID!A:B,2,0)</f>
        <v>8</v>
      </c>
      <c r="F465" s="15" t="s">
        <v>2</v>
      </c>
      <c r="G465" t="str">
        <f>VLOOKUP(F465,Carrier_Category!A:B,2,0)</f>
        <v>Commuter</v>
      </c>
      <c r="H465" s="5">
        <v>17</v>
      </c>
      <c r="I465" s="7">
        <f t="shared" si="25"/>
        <v>17</v>
      </c>
      <c r="J465" s="5">
        <v>708</v>
      </c>
      <c r="K465" s="18">
        <f t="shared" si="24"/>
        <v>41.647058823529413</v>
      </c>
    </row>
    <row r="466" spans="1:11" x14ac:dyDescent="0.3">
      <c r="A466" s="14">
        <v>2021</v>
      </c>
      <c r="B466" s="14">
        <f t="shared" si="23"/>
        <v>40</v>
      </c>
      <c r="C466" s="9">
        <v>44473</v>
      </c>
      <c r="D466" s="9">
        <v>44477</v>
      </c>
      <c r="E466" s="14">
        <f>VLOOKUP(F466,CarrierID!A:B,2,0)</f>
        <v>9</v>
      </c>
      <c r="F466" s="15" t="s">
        <v>3</v>
      </c>
      <c r="G466" t="str">
        <f>VLOOKUP(F466,Carrier_Category!A:B,2,0)</f>
        <v>NJT</v>
      </c>
      <c r="H466" s="5">
        <v>2153</v>
      </c>
      <c r="I466" s="7">
        <f t="shared" si="25"/>
        <v>2146</v>
      </c>
      <c r="J466" s="5">
        <v>48102</v>
      </c>
      <c r="K466" s="18">
        <f t="shared" si="24"/>
        <v>22.341848583372037</v>
      </c>
    </row>
    <row r="467" spans="1:11" x14ac:dyDescent="0.3">
      <c r="A467" s="14">
        <v>2021</v>
      </c>
      <c r="B467" s="14">
        <f t="shared" si="23"/>
        <v>40</v>
      </c>
      <c r="C467" s="9">
        <v>44473</v>
      </c>
      <c r="D467" s="9">
        <v>44477</v>
      </c>
      <c r="E467" s="14">
        <f>VLOOKUP(F467,CarrierID!A:B,2,0)</f>
        <v>7</v>
      </c>
      <c r="F467" s="15" t="s">
        <v>4</v>
      </c>
      <c r="G467" t="str">
        <f>VLOOKUP(F467,Carrier_Category!A:B,2,0)</f>
        <v>Commuter</v>
      </c>
      <c r="H467" s="5">
        <v>25</v>
      </c>
      <c r="I467" s="7">
        <f t="shared" si="25"/>
        <v>25</v>
      </c>
      <c r="J467" s="5">
        <v>710</v>
      </c>
      <c r="K467" s="18">
        <f t="shared" si="24"/>
        <v>28.4</v>
      </c>
    </row>
    <row r="468" spans="1:11" x14ac:dyDescent="0.3">
      <c r="A468" s="14">
        <v>2021</v>
      </c>
      <c r="B468" s="14">
        <f t="shared" si="23"/>
        <v>40</v>
      </c>
      <c r="C468" s="9">
        <v>44473</v>
      </c>
      <c r="D468" s="9">
        <v>44477</v>
      </c>
      <c r="E468" s="14">
        <f>VLOOKUP(F468,CarrierID!A:B,2,0)</f>
        <v>11</v>
      </c>
      <c r="F468" s="15" t="s">
        <v>5</v>
      </c>
      <c r="G468" t="str">
        <f>VLOOKUP(F468,Carrier_Category!A:B,2,0)</f>
        <v>Intercity</v>
      </c>
      <c r="H468" s="5">
        <v>17</v>
      </c>
      <c r="I468" s="7">
        <f t="shared" si="25"/>
        <v>17</v>
      </c>
      <c r="J468" s="5">
        <v>411</v>
      </c>
      <c r="K468" s="18">
        <f t="shared" si="24"/>
        <v>24.176470588235293</v>
      </c>
    </row>
    <row r="469" spans="1:11" x14ac:dyDescent="0.3">
      <c r="A469" s="14">
        <v>2021</v>
      </c>
      <c r="B469" s="14">
        <f t="shared" si="23"/>
        <v>40</v>
      </c>
      <c r="C469" s="9">
        <v>44473</v>
      </c>
      <c r="D469" s="9">
        <v>44477</v>
      </c>
      <c r="E469" s="14">
        <f>VLOOKUP(F469,CarrierID!A:B,2,0)</f>
        <v>3</v>
      </c>
      <c r="F469" s="15" t="s">
        <v>6</v>
      </c>
      <c r="G469" t="str">
        <f>VLOOKUP(F469,Carrier_Category!A:B,2,0)</f>
        <v>Commuter</v>
      </c>
      <c r="H469" s="5">
        <v>124</v>
      </c>
      <c r="I469" s="7">
        <f t="shared" si="25"/>
        <v>125</v>
      </c>
      <c r="J469" s="5">
        <v>3498</v>
      </c>
      <c r="K469" s="18">
        <f t="shared" si="24"/>
        <v>28.20967741935484</v>
      </c>
    </row>
    <row r="470" spans="1:11" x14ac:dyDescent="0.3">
      <c r="A470" s="14">
        <v>2021</v>
      </c>
      <c r="B470" s="14">
        <f t="shared" si="23"/>
        <v>40</v>
      </c>
      <c r="C470" s="9">
        <v>44473</v>
      </c>
      <c r="D470" s="9">
        <v>44477</v>
      </c>
      <c r="E470" s="14">
        <f>VLOOKUP(F470,CarrierID!A:B,2,0)</f>
        <v>12</v>
      </c>
      <c r="F470" s="15" t="s">
        <v>25</v>
      </c>
      <c r="G470" t="str">
        <f>VLOOKUP(F470,Carrier_Category!A:B,2,0)</f>
        <v>Commuter</v>
      </c>
      <c r="H470" s="5">
        <v>17</v>
      </c>
      <c r="I470" s="7">
        <f t="shared" si="25"/>
        <v>17</v>
      </c>
      <c r="J470" s="5">
        <v>575</v>
      </c>
      <c r="K470" s="18">
        <f t="shared" si="24"/>
        <v>33.823529411764703</v>
      </c>
    </row>
    <row r="471" spans="1:11" x14ac:dyDescent="0.3">
      <c r="A471" s="14">
        <v>2021</v>
      </c>
      <c r="B471" s="14">
        <f t="shared" si="23"/>
        <v>40</v>
      </c>
      <c r="C471" s="9">
        <v>44473</v>
      </c>
      <c r="D471" s="9">
        <v>44477</v>
      </c>
      <c r="E471" s="14">
        <f>VLOOKUP(F471,CarrierID!A:B,2,0)</f>
        <v>10</v>
      </c>
      <c r="F471" s="15" t="s">
        <v>8</v>
      </c>
      <c r="G471" t="str">
        <f>VLOOKUP(F471,Carrier_Category!A:B,2,0)</f>
        <v>Intercity</v>
      </c>
      <c r="H471" s="5">
        <v>29</v>
      </c>
      <c r="I471" s="7">
        <f t="shared" si="25"/>
        <v>29</v>
      </c>
      <c r="J471" s="5">
        <v>720</v>
      </c>
      <c r="K471" s="18">
        <f t="shared" si="24"/>
        <v>24.827586206896552</v>
      </c>
    </row>
    <row r="472" spans="1:11" x14ac:dyDescent="0.3">
      <c r="A472" s="14">
        <v>2021</v>
      </c>
      <c r="B472" s="14">
        <f t="shared" si="23"/>
        <v>40</v>
      </c>
      <c r="C472" s="9">
        <v>44473</v>
      </c>
      <c r="D472" s="9">
        <v>44477</v>
      </c>
      <c r="E472" s="14">
        <f>VLOOKUP(F472,CarrierID!A:B,2,0)</f>
        <v>4</v>
      </c>
      <c r="F472" s="15" t="s">
        <v>24</v>
      </c>
      <c r="G472" t="str">
        <f>VLOOKUP(F472,Carrier_Category!A:B,2,0)</f>
        <v>Commuter</v>
      </c>
      <c r="H472" s="5">
        <v>16</v>
      </c>
      <c r="I472" s="7">
        <f t="shared" si="25"/>
        <v>16</v>
      </c>
      <c r="J472" s="5">
        <v>277</v>
      </c>
      <c r="K472" s="18">
        <f t="shared" si="24"/>
        <v>17.3125</v>
      </c>
    </row>
    <row r="473" spans="1:11" x14ac:dyDescent="0.3">
      <c r="A473" s="14">
        <v>2021</v>
      </c>
      <c r="B473" s="14">
        <f t="shared" si="23"/>
        <v>40</v>
      </c>
      <c r="C473" s="9">
        <v>44473</v>
      </c>
      <c r="D473" s="9">
        <v>44477</v>
      </c>
      <c r="E473" s="14">
        <f>VLOOKUP(F473,CarrierID!A:B,2,0)</f>
        <v>6</v>
      </c>
      <c r="F473" s="15" t="s">
        <v>9</v>
      </c>
      <c r="G473" t="str">
        <f>VLOOKUP(F473,Carrier_Category!A:B,2,0)</f>
        <v>Commuter</v>
      </c>
      <c r="H473" s="5">
        <v>101</v>
      </c>
      <c r="I473" s="7">
        <f t="shared" si="25"/>
        <v>97</v>
      </c>
      <c r="J473" s="5">
        <v>1555</v>
      </c>
      <c r="K473" s="18">
        <f t="shared" si="24"/>
        <v>15.396039603960396</v>
      </c>
    </row>
    <row r="474" spans="1:11" x14ac:dyDescent="0.3">
      <c r="A474" s="14">
        <v>2021</v>
      </c>
      <c r="B474" s="14">
        <f t="shared" si="23"/>
        <v>41</v>
      </c>
      <c r="C474" s="9">
        <v>44480</v>
      </c>
      <c r="D474" s="9">
        <v>44484</v>
      </c>
      <c r="E474" s="14">
        <f>VLOOKUP(F474,CarrierID!A:B,2,0)</f>
        <v>1</v>
      </c>
      <c r="F474" s="15" t="s">
        <v>0</v>
      </c>
      <c r="G474" t="str">
        <f>VLOOKUP(F474,Carrier_Category!A:B,2,0)</f>
        <v>Commuter</v>
      </c>
      <c r="H474" s="5">
        <v>34</v>
      </c>
      <c r="I474" s="7">
        <f t="shared" si="25"/>
        <v>34</v>
      </c>
      <c r="J474" s="5">
        <v>1052</v>
      </c>
      <c r="K474" s="18">
        <f t="shared" si="24"/>
        <v>30.941176470588236</v>
      </c>
    </row>
    <row r="475" spans="1:11" x14ac:dyDescent="0.3">
      <c r="A475" s="14">
        <v>2021</v>
      </c>
      <c r="B475" s="14">
        <f t="shared" si="23"/>
        <v>41</v>
      </c>
      <c r="C475" s="9">
        <v>44480</v>
      </c>
      <c r="D475" s="9">
        <v>44484</v>
      </c>
      <c r="E475" s="14">
        <f>VLOOKUP(F475,CarrierID!A:B,2,0)</f>
        <v>5</v>
      </c>
      <c r="F475" s="15" t="s">
        <v>1</v>
      </c>
      <c r="G475" t="str">
        <f>VLOOKUP(F475,Carrier_Category!A:B,2,0)</f>
        <v>Intercity</v>
      </c>
      <c r="H475" s="5">
        <v>59</v>
      </c>
      <c r="I475" s="7">
        <f t="shared" si="25"/>
        <v>55</v>
      </c>
      <c r="J475" s="5">
        <v>1538</v>
      </c>
      <c r="K475" s="18">
        <f t="shared" si="24"/>
        <v>26.067796610169491</v>
      </c>
    </row>
    <row r="476" spans="1:11" x14ac:dyDescent="0.3">
      <c r="A476" s="14">
        <v>2021</v>
      </c>
      <c r="B476" s="14">
        <f t="shared" si="23"/>
        <v>41</v>
      </c>
      <c r="C476" s="9">
        <v>44480</v>
      </c>
      <c r="D476" s="9">
        <v>44484</v>
      </c>
      <c r="E476" s="14">
        <f>VLOOKUP(F476,CarrierID!A:B,2,0)</f>
        <v>8</v>
      </c>
      <c r="F476" s="15" t="s">
        <v>2</v>
      </c>
      <c r="G476" t="str">
        <f>VLOOKUP(F476,Carrier_Category!A:B,2,0)</f>
        <v>Commuter</v>
      </c>
      <c r="H476" s="5">
        <v>17</v>
      </c>
      <c r="I476" s="7">
        <f t="shared" si="25"/>
        <v>17</v>
      </c>
      <c r="J476" s="5">
        <v>755</v>
      </c>
      <c r="K476" s="18">
        <f t="shared" si="24"/>
        <v>44.411764705882355</v>
      </c>
    </row>
    <row r="477" spans="1:11" x14ac:dyDescent="0.3">
      <c r="A477" s="14">
        <v>2021</v>
      </c>
      <c r="B477" s="14">
        <f t="shared" si="23"/>
        <v>41</v>
      </c>
      <c r="C477" s="9">
        <v>44480</v>
      </c>
      <c r="D477" s="9">
        <v>44484</v>
      </c>
      <c r="E477" s="14">
        <f>VLOOKUP(F477,CarrierID!A:B,2,0)</f>
        <v>9</v>
      </c>
      <c r="F477" s="15" t="s">
        <v>3</v>
      </c>
      <c r="G477" t="str">
        <f>VLOOKUP(F477,Carrier_Category!A:B,2,0)</f>
        <v>NJT</v>
      </c>
      <c r="H477" s="5">
        <v>2147</v>
      </c>
      <c r="I477" s="7">
        <f t="shared" si="25"/>
        <v>2153</v>
      </c>
      <c r="J477" s="5">
        <v>48954</v>
      </c>
      <c r="K477" s="18">
        <f t="shared" si="24"/>
        <v>22.801117838844899</v>
      </c>
    </row>
    <row r="478" spans="1:11" x14ac:dyDescent="0.3">
      <c r="A478" s="14">
        <v>2021</v>
      </c>
      <c r="B478" s="14">
        <f t="shared" si="23"/>
        <v>41</v>
      </c>
      <c r="C478" s="9">
        <v>44480</v>
      </c>
      <c r="D478" s="9">
        <v>44484</v>
      </c>
      <c r="E478" s="14">
        <f>VLOOKUP(F478,CarrierID!A:B,2,0)</f>
        <v>7</v>
      </c>
      <c r="F478" s="15" t="s">
        <v>4</v>
      </c>
      <c r="G478" t="str">
        <f>VLOOKUP(F478,Carrier_Category!A:B,2,0)</f>
        <v>Commuter</v>
      </c>
      <c r="H478" s="5">
        <v>25</v>
      </c>
      <c r="I478" s="7">
        <f t="shared" si="25"/>
        <v>25</v>
      </c>
      <c r="J478" s="5">
        <v>785</v>
      </c>
      <c r="K478" s="18">
        <f t="shared" si="24"/>
        <v>31.4</v>
      </c>
    </row>
    <row r="479" spans="1:11" x14ac:dyDescent="0.3">
      <c r="A479" s="14">
        <v>2021</v>
      </c>
      <c r="B479" s="14">
        <f t="shared" si="23"/>
        <v>41</v>
      </c>
      <c r="C479" s="9">
        <v>44480</v>
      </c>
      <c r="D479" s="9">
        <v>44484</v>
      </c>
      <c r="E479" s="14">
        <f>VLOOKUP(F479,CarrierID!A:B,2,0)</f>
        <v>11</v>
      </c>
      <c r="F479" s="15" t="s">
        <v>5</v>
      </c>
      <c r="G479" t="str">
        <f>VLOOKUP(F479,Carrier_Category!A:B,2,0)</f>
        <v>Intercity</v>
      </c>
      <c r="H479" s="5">
        <v>24</v>
      </c>
      <c r="I479" s="7">
        <f t="shared" si="25"/>
        <v>17</v>
      </c>
      <c r="J479" s="5">
        <v>879</v>
      </c>
      <c r="K479" s="18">
        <f t="shared" si="24"/>
        <v>36.625</v>
      </c>
    </row>
    <row r="480" spans="1:11" x14ac:dyDescent="0.3">
      <c r="A480" s="14">
        <v>2021</v>
      </c>
      <c r="B480" s="14">
        <f t="shared" si="23"/>
        <v>41</v>
      </c>
      <c r="C480" s="9">
        <v>44480</v>
      </c>
      <c r="D480" s="9">
        <v>44484</v>
      </c>
      <c r="E480" s="14">
        <f>VLOOKUP(F480,CarrierID!A:B,2,0)</f>
        <v>3</v>
      </c>
      <c r="F480" s="15" t="s">
        <v>6</v>
      </c>
      <c r="G480" t="str">
        <f>VLOOKUP(F480,Carrier_Category!A:B,2,0)</f>
        <v>Commuter</v>
      </c>
      <c r="H480" s="5">
        <v>144</v>
      </c>
      <c r="I480" s="7">
        <f t="shared" si="25"/>
        <v>124</v>
      </c>
      <c r="J480" s="5">
        <v>3623</v>
      </c>
      <c r="K480" s="18">
        <f t="shared" si="24"/>
        <v>25.159722222222221</v>
      </c>
    </row>
    <row r="481" spans="1:11" x14ac:dyDescent="0.3">
      <c r="A481" s="14">
        <v>2021</v>
      </c>
      <c r="B481" s="14">
        <f t="shared" si="23"/>
        <v>41</v>
      </c>
      <c r="C481" s="9">
        <v>44480</v>
      </c>
      <c r="D481" s="9">
        <v>44484</v>
      </c>
      <c r="E481" s="14">
        <f>VLOOKUP(F481,CarrierID!A:B,2,0)</f>
        <v>12</v>
      </c>
      <c r="F481" s="15" t="s">
        <v>25</v>
      </c>
      <c r="G481" t="str">
        <f>VLOOKUP(F481,Carrier_Category!A:B,2,0)</f>
        <v>Commuter</v>
      </c>
      <c r="H481" s="5">
        <v>18</v>
      </c>
      <c r="I481" s="7">
        <f t="shared" si="25"/>
        <v>17</v>
      </c>
      <c r="J481" s="5">
        <v>596</v>
      </c>
      <c r="K481" s="18">
        <f t="shared" si="24"/>
        <v>33.111111111111114</v>
      </c>
    </row>
    <row r="482" spans="1:11" x14ac:dyDescent="0.3">
      <c r="A482" s="14">
        <v>2021</v>
      </c>
      <c r="B482" s="14">
        <f t="shared" si="23"/>
        <v>41</v>
      </c>
      <c r="C482" s="9">
        <v>44480</v>
      </c>
      <c r="D482" s="9">
        <v>44484</v>
      </c>
      <c r="E482" s="14">
        <f>VLOOKUP(F482,CarrierID!A:B,2,0)</f>
        <v>10</v>
      </c>
      <c r="F482" s="15" t="s">
        <v>8</v>
      </c>
      <c r="G482" t="str">
        <f>VLOOKUP(F482,Carrier_Category!A:B,2,0)</f>
        <v>Intercity</v>
      </c>
      <c r="H482" s="5">
        <v>29</v>
      </c>
      <c r="I482" s="7">
        <f t="shared" si="25"/>
        <v>29</v>
      </c>
      <c r="J482" s="5">
        <v>922</v>
      </c>
      <c r="K482" s="18">
        <f t="shared" si="24"/>
        <v>31.793103448275861</v>
      </c>
    </row>
    <row r="483" spans="1:11" x14ac:dyDescent="0.3">
      <c r="A483" s="14">
        <v>2021</v>
      </c>
      <c r="B483" s="14">
        <f t="shared" si="23"/>
        <v>41</v>
      </c>
      <c r="C483" s="9">
        <v>44480</v>
      </c>
      <c r="D483" s="9">
        <v>44484</v>
      </c>
      <c r="E483" s="14">
        <f>VLOOKUP(F483,CarrierID!A:B,2,0)</f>
        <v>4</v>
      </c>
      <c r="F483" s="15" t="s">
        <v>24</v>
      </c>
      <c r="G483" t="str">
        <f>VLOOKUP(F483,Carrier_Category!A:B,2,0)</f>
        <v>Commuter</v>
      </c>
      <c r="H483" s="5">
        <v>16</v>
      </c>
      <c r="I483" s="7">
        <f t="shared" si="25"/>
        <v>16</v>
      </c>
      <c r="J483" s="5">
        <v>288</v>
      </c>
      <c r="K483" s="18">
        <f t="shared" si="24"/>
        <v>18</v>
      </c>
    </row>
    <row r="484" spans="1:11" x14ac:dyDescent="0.3">
      <c r="A484" s="14">
        <v>2021</v>
      </c>
      <c r="B484" s="14">
        <f t="shared" si="23"/>
        <v>41</v>
      </c>
      <c r="C484" s="9">
        <v>44480</v>
      </c>
      <c r="D484" s="9">
        <v>44484</v>
      </c>
      <c r="E484" s="14">
        <f>VLOOKUP(F484,CarrierID!A:B,2,0)</f>
        <v>6</v>
      </c>
      <c r="F484" s="15" t="s">
        <v>9</v>
      </c>
      <c r="G484" t="str">
        <f>VLOOKUP(F484,Carrier_Category!A:B,2,0)</f>
        <v>Commuter</v>
      </c>
      <c r="H484" s="5">
        <v>100</v>
      </c>
      <c r="I484" s="7">
        <f t="shared" si="25"/>
        <v>101</v>
      </c>
      <c r="J484" s="5">
        <v>1660</v>
      </c>
      <c r="K484" s="18">
        <f t="shared" si="24"/>
        <v>16.600000000000001</v>
      </c>
    </row>
    <row r="485" spans="1:11" x14ac:dyDescent="0.3">
      <c r="A485" s="14">
        <v>2021</v>
      </c>
      <c r="B485" s="14">
        <f t="shared" si="23"/>
        <v>42</v>
      </c>
      <c r="C485" s="9">
        <v>44487</v>
      </c>
      <c r="D485" s="9">
        <v>44491</v>
      </c>
      <c r="E485" s="14">
        <f>VLOOKUP(F485,CarrierID!A:B,2,0)</f>
        <v>1</v>
      </c>
      <c r="F485" s="15" t="s">
        <v>0</v>
      </c>
      <c r="G485" t="str">
        <f>VLOOKUP(F485,Carrier_Category!A:B,2,0)</f>
        <v>Commuter</v>
      </c>
      <c r="H485" s="5">
        <v>33</v>
      </c>
      <c r="I485" s="7">
        <f t="shared" si="25"/>
        <v>34</v>
      </c>
      <c r="J485" s="5">
        <v>1063</v>
      </c>
      <c r="K485" s="18">
        <f t="shared" si="24"/>
        <v>32.212121212121211</v>
      </c>
    </row>
    <row r="486" spans="1:11" x14ac:dyDescent="0.3">
      <c r="A486" s="14">
        <v>2021</v>
      </c>
      <c r="B486" s="14">
        <f t="shared" si="23"/>
        <v>42</v>
      </c>
      <c r="C486" s="9">
        <v>44487</v>
      </c>
      <c r="D486" s="9">
        <v>44491</v>
      </c>
      <c r="E486" s="14">
        <f>VLOOKUP(F486,CarrierID!A:B,2,0)</f>
        <v>5</v>
      </c>
      <c r="F486" s="15" t="s">
        <v>1</v>
      </c>
      <c r="G486" t="str">
        <f>VLOOKUP(F486,Carrier_Category!A:B,2,0)</f>
        <v>Intercity</v>
      </c>
      <c r="H486" s="5">
        <v>54</v>
      </c>
      <c r="I486" s="7">
        <f t="shared" si="25"/>
        <v>59</v>
      </c>
      <c r="J486" s="5">
        <v>1300</v>
      </c>
      <c r="K486" s="18">
        <f t="shared" si="24"/>
        <v>24.074074074074073</v>
      </c>
    </row>
    <row r="487" spans="1:11" x14ac:dyDescent="0.3">
      <c r="A487" s="14">
        <v>2021</v>
      </c>
      <c r="B487" s="14">
        <f t="shared" si="23"/>
        <v>42</v>
      </c>
      <c r="C487" s="9">
        <v>44487</v>
      </c>
      <c r="D487" s="9">
        <v>44491</v>
      </c>
      <c r="E487" s="14">
        <f>VLOOKUP(F487,CarrierID!A:B,2,0)</f>
        <v>8</v>
      </c>
      <c r="F487" s="15" t="s">
        <v>2</v>
      </c>
      <c r="G487" t="str">
        <f>VLOOKUP(F487,Carrier_Category!A:B,2,0)</f>
        <v>Commuter</v>
      </c>
      <c r="H487" s="5">
        <v>18</v>
      </c>
      <c r="I487" s="7">
        <f t="shared" si="25"/>
        <v>17</v>
      </c>
      <c r="J487" s="5">
        <v>735</v>
      </c>
      <c r="K487" s="18">
        <f t="shared" si="24"/>
        <v>40.833333333333336</v>
      </c>
    </row>
    <row r="488" spans="1:11" x14ac:dyDescent="0.3">
      <c r="A488" s="14">
        <v>2021</v>
      </c>
      <c r="B488" s="14">
        <f t="shared" si="23"/>
        <v>42</v>
      </c>
      <c r="C488" s="9">
        <v>44487</v>
      </c>
      <c r="D488" s="9">
        <v>44491</v>
      </c>
      <c r="E488" s="14">
        <f>VLOOKUP(F488,CarrierID!A:B,2,0)</f>
        <v>9</v>
      </c>
      <c r="F488" s="15" t="s">
        <v>3</v>
      </c>
      <c r="G488" t="str">
        <f>VLOOKUP(F488,Carrier_Category!A:B,2,0)</f>
        <v>NJT</v>
      </c>
      <c r="H488" s="5">
        <v>2139</v>
      </c>
      <c r="I488" s="7">
        <f t="shared" si="25"/>
        <v>2147</v>
      </c>
      <c r="J488" s="5">
        <v>49531</v>
      </c>
      <c r="K488" s="18">
        <f t="shared" si="24"/>
        <v>23.156147732585321</v>
      </c>
    </row>
    <row r="489" spans="1:11" x14ac:dyDescent="0.3">
      <c r="A489" s="14">
        <v>2021</v>
      </c>
      <c r="B489" s="14">
        <f t="shared" si="23"/>
        <v>42</v>
      </c>
      <c r="C489" s="9">
        <v>44487</v>
      </c>
      <c r="D489" s="9">
        <v>44491</v>
      </c>
      <c r="E489" s="14">
        <f>VLOOKUP(F489,CarrierID!A:B,2,0)</f>
        <v>7</v>
      </c>
      <c r="F489" s="15" t="s">
        <v>4</v>
      </c>
      <c r="G489" t="str">
        <f>VLOOKUP(F489,Carrier_Category!A:B,2,0)</f>
        <v>Commuter</v>
      </c>
      <c r="H489" s="5">
        <v>25</v>
      </c>
      <c r="I489" s="7">
        <f t="shared" si="25"/>
        <v>25</v>
      </c>
      <c r="J489" s="5">
        <v>759</v>
      </c>
      <c r="K489" s="18">
        <f t="shared" si="24"/>
        <v>30.36</v>
      </c>
    </row>
    <row r="490" spans="1:11" x14ac:dyDescent="0.3">
      <c r="A490" s="14">
        <v>2021</v>
      </c>
      <c r="B490" s="14">
        <f t="shared" si="23"/>
        <v>42</v>
      </c>
      <c r="C490" s="9">
        <v>44487</v>
      </c>
      <c r="D490" s="9">
        <v>44491</v>
      </c>
      <c r="E490" s="14">
        <f>VLOOKUP(F490,CarrierID!A:B,2,0)</f>
        <v>11</v>
      </c>
      <c r="F490" s="15" t="s">
        <v>5</v>
      </c>
      <c r="G490" t="str">
        <f>VLOOKUP(F490,Carrier_Category!A:B,2,0)</f>
        <v>Intercity</v>
      </c>
      <c r="H490" s="5">
        <v>18</v>
      </c>
      <c r="I490" s="7">
        <f t="shared" si="25"/>
        <v>24</v>
      </c>
      <c r="J490" s="5">
        <v>482</v>
      </c>
      <c r="K490" s="18">
        <f t="shared" si="24"/>
        <v>26.777777777777779</v>
      </c>
    </row>
    <row r="491" spans="1:11" x14ac:dyDescent="0.3">
      <c r="A491" s="14">
        <v>2021</v>
      </c>
      <c r="B491" s="14">
        <f t="shared" si="23"/>
        <v>42</v>
      </c>
      <c r="C491" s="9">
        <v>44487</v>
      </c>
      <c r="D491" s="9">
        <v>44491</v>
      </c>
      <c r="E491" s="14">
        <f>VLOOKUP(F491,CarrierID!A:B,2,0)</f>
        <v>3</v>
      </c>
      <c r="F491" s="15" t="s">
        <v>6</v>
      </c>
      <c r="G491" t="str">
        <f>VLOOKUP(F491,Carrier_Category!A:B,2,0)</f>
        <v>Commuter</v>
      </c>
      <c r="H491" s="5">
        <v>126</v>
      </c>
      <c r="I491" s="7">
        <f t="shared" si="25"/>
        <v>144</v>
      </c>
      <c r="J491" s="5">
        <v>3626</v>
      </c>
      <c r="K491" s="18">
        <f t="shared" si="24"/>
        <v>28.777777777777779</v>
      </c>
    </row>
    <row r="492" spans="1:11" x14ac:dyDescent="0.3">
      <c r="A492" s="14">
        <v>2021</v>
      </c>
      <c r="B492" s="14">
        <f t="shared" si="23"/>
        <v>42</v>
      </c>
      <c r="C492" s="9">
        <v>44487</v>
      </c>
      <c r="D492" s="9">
        <v>44491</v>
      </c>
      <c r="E492" s="14">
        <f>VLOOKUP(F492,CarrierID!A:B,2,0)</f>
        <v>12</v>
      </c>
      <c r="F492" s="15" t="s">
        <v>25</v>
      </c>
      <c r="G492" t="str">
        <f>VLOOKUP(F492,Carrier_Category!A:B,2,0)</f>
        <v>Commuter</v>
      </c>
      <c r="H492" s="5">
        <v>18</v>
      </c>
      <c r="I492" s="7">
        <f t="shared" si="25"/>
        <v>18</v>
      </c>
      <c r="J492" s="5">
        <v>557</v>
      </c>
      <c r="K492" s="18">
        <f t="shared" si="24"/>
        <v>30.944444444444443</v>
      </c>
    </row>
    <row r="493" spans="1:11" x14ac:dyDescent="0.3">
      <c r="A493" s="14">
        <v>2021</v>
      </c>
      <c r="B493" s="14">
        <f t="shared" si="23"/>
        <v>42</v>
      </c>
      <c r="C493" s="9">
        <v>44487</v>
      </c>
      <c r="D493" s="9">
        <v>44491</v>
      </c>
      <c r="E493" s="14">
        <f>VLOOKUP(F493,CarrierID!A:B,2,0)</f>
        <v>10</v>
      </c>
      <c r="F493" s="15" t="s">
        <v>8</v>
      </c>
      <c r="G493" t="str">
        <f>VLOOKUP(F493,Carrier_Category!A:B,2,0)</f>
        <v>Intercity</v>
      </c>
      <c r="H493" s="5">
        <v>29</v>
      </c>
      <c r="I493" s="7">
        <f t="shared" si="25"/>
        <v>29</v>
      </c>
      <c r="J493" s="5">
        <v>763</v>
      </c>
      <c r="K493" s="18">
        <f t="shared" si="24"/>
        <v>26.310344827586206</v>
      </c>
    </row>
    <row r="494" spans="1:11" x14ac:dyDescent="0.3">
      <c r="A494" s="14">
        <v>2021</v>
      </c>
      <c r="B494" s="14">
        <f t="shared" si="23"/>
        <v>42</v>
      </c>
      <c r="C494" s="9">
        <v>44487</v>
      </c>
      <c r="D494" s="9">
        <v>44491</v>
      </c>
      <c r="E494" s="14">
        <f>VLOOKUP(F494,CarrierID!A:B,2,0)</f>
        <v>4</v>
      </c>
      <c r="F494" s="15" t="s">
        <v>24</v>
      </c>
      <c r="G494" t="str">
        <f>VLOOKUP(F494,Carrier_Category!A:B,2,0)</f>
        <v>Commuter</v>
      </c>
      <c r="H494" s="5">
        <v>16</v>
      </c>
      <c r="I494" s="7">
        <f t="shared" si="25"/>
        <v>16</v>
      </c>
      <c r="J494" s="5">
        <v>277</v>
      </c>
      <c r="K494" s="18">
        <f t="shared" si="24"/>
        <v>17.3125</v>
      </c>
    </row>
    <row r="495" spans="1:11" x14ac:dyDescent="0.3">
      <c r="A495" s="14">
        <v>2021</v>
      </c>
      <c r="B495" s="14">
        <f t="shared" si="23"/>
        <v>42</v>
      </c>
      <c r="C495" s="9">
        <v>44487</v>
      </c>
      <c r="D495" s="9">
        <v>44491</v>
      </c>
      <c r="E495" s="14">
        <f>VLOOKUP(F495,CarrierID!A:B,2,0)</f>
        <v>6</v>
      </c>
      <c r="F495" s="15" t="s">
        <v>9</v>
      </c>
      <c r="G495" t="str">
        <f>VLOOKUP(F495,Carrier_Category!A:B,2,0)</f>
        <v>Commuter</v>
      </c>
      <c r="H495" s="5">
        <v>93</v>
      </c>
      <c r="I495" s="7">
        <f t="shared" si="25"/>
        <v>100</v>
      </c>
      <c r="J495" s="5">
        <v>1579</v>
      </c>
      <c r="K495" s="18">
        <f t="shared" si="24"/>
        <v>16.978494623655912</v>
      </c>
    </row>
    <row r="496" spans="1:11" x14ac:dyDescent="0.3">
      <c r="A496" s="14">
        <v>2021</v>
      </c>
      <c r="B496" s="14">
        <f t="shared" si="23"/>
        <v>43</v>
      </c>
      <c r="C496" s="9">
        <v>44494</v>
      </c>
      <c r="D496" s="9">
        <v>44498</v>
      </c>
      <c r="E496" s="14">
        <f>VLOOKUP(F496,CarrierID!A:B,2,0)</f>
        <v>1</v>
      </c>
      <c r="F496" s="15" t="s">
        <v>0</v>
      </c>
      <c r="G496" t="str">
        <f>VLOOKUP(F496,Carrier_Category!A:B,2,0)</f>
        <v>Commuter</v>
      </c>
      <c r="H496" s="5">
        <v>33</v>
      </c>
      <c r="I496" s="7">
        <f t="shared" si="25"/>
        <v>33</v>
      </c>
      <c r="J496" s="5">
        <v>1015</v>
      </c>
      <c r="K496" s="18">
        <f t="shared" si="24"/>
        <v>30.757575757575758</v>
      </c>
    </row>
    <row r="497" spans="1:11" x14ac:dyDescent="0.3">
      <c r="A497" s="14">
        <v>2021</v>
      </c>
      <c r="B497" s="14">
        <f t="shared" si="23"/>
        <v>43</v>
      </c>
      <c r="C497" s="9">
        <v>44494</v>
      </c>
      <c r="D497" s="9">
        <v>44498</v>
      </c>
      <c r="E497" s="14">
        <f>VLOOKUP(F497,CarrierID!A:B,2,0)</f>
        <v>5</v>
      </c>
      <c r="F497" s="15" t="s">
        <v>1</v>
      </c>
      <c r="G497" t="str">
        <f>VLOOKUP(F497,Carrier_Category!A:B,2,0)</f>
        <v>Intercity</v>
      </c>
      <c r="H497" s="5">
        <v>53</v>
      </c>
      <c r="I497" s="7">
        <f t="shared" si="25"/>
        <v>54</v>
      </c>
      <c r="J497" s="5">
        <v>1230</v>
      </c>
      <c r="K497" s="18">
        <f t="shared" si="24"/>
        <v>23.20754716981132</v>
      </c>
    </row>
    <row r="498" spans="1:11" x14ac:dyDescent="0.3">
      <c r="A498" s="14">
        <v>2021</v>
      </c>
      <c r="B498" s="14">
        <f t="shared" si="23"/>
        <v>43</v>
      </c>
      <c r="C498" s="9">
        <v>44494</v>
      </c>
      <c r="D498" s="9">
        <v>44498</v>
      </c>
      <c r="E498" s="14">
        <f>VLOOKUP(F498,CarrierID!A:B,2,0)</f>
        <v>8</v>
      </c>
      <c r="F498" s="15" t="s">
        <v>2</v>
      </c>
      <c r="G498" t="str">
        <f>VLOOKUP(F498,Carrier_Category!A:B,2,0)</f>
        <v>Commuter</v>
      </c>
      <c r="H498" s="5">
        <v>18</v>
      </c>
      <c r="I498" s="7">
        <f t="shared" si="25"/>
        <v>18</v>
      </c>
      <c r="J498" s="5">
        <v>715</v>
      </c>
      <c r="K498" s="18">
        <f t="shared" si="24"/>
        <v>39.722222222222221</v>
      </c>
    </row>
    <row r="499" spans="1:11" x14ac:dyDescent="0.3">
      <c r="A499" s="14">
        <v>2021</v>
      </c>
      <c r="B499" s="14">
        <f t="shared" si="23"/>
        <v>43</v>
      </c>
      <c r="C499" s="9">
        <v>44494</v>
      </c>
      <c r="D499" s="9">
        <v>44498</v>
      </c>
      <c r="E499" s="14">
        <f>VLOOKUP(F499,CarrierID!A:B,2,0)</f>
        <v>9</v>
      </c>
      <c r="F499" s="15" t="s">
        <v>3</v>
      </c>
      <c r="G499" t="str">
        <f>VLOOKUP(F499,Carrier_Category!A:B,2,0)</f>
        <v>NJT</v>
      </c>
      <c r="H499" s="5">
        <v>2137</v>
      </c>
      <c r="I499" s="7">
        <f t="shared" si="25"/>
        <v>2139</v>
      </c>
      <c r="J499" s="5">
        <v>50615</v>
      </c>
      <c r="K499" s="18">
        <f t="shared" si="24"/>
        <v>23.685072531586336</v>
      </c>
    </row>
    <row r="500" spans="1:11" x14ac:dyDescent="0.3">
      <c r="A500" s="14">
        <v>2021</v>
      </c>
      <c r="B500" s="14">
        <f t="shared" si="23"/>
        <v>43</v>
      </c>
      <c r="C500" s="9">
        <v>44494</v>
      </c>
      <c r="D500" s="9">
        <v>44498</v>
      </c>
      <c r="E500" s="14">
        <f>VLOOKUP(F500,CarrierID!A:B,2,0)</f>
        <v>7</v>
      </c>
      <c r="F500" s="15" t="s">
        <v>4</v>
      </c>
      <c r="G500" t="str">
        <f>VLOOKUP(F500,Carrier_Category!A:B,2,0)</f>
        <v>Commuter</v>
      </c>
      <c r="H500" s="5">
        <v>25</v>
      </c>
      <c r="I500" s="7">
        <f t="shared" si="25"/>
        <v>25</v>
      </c>
      <c r="J500" s="5">
        <v>701</v>
      </c>
      <c r="K500" s="18">
        <f t="shared" si="24"/>
        <v>28.04</v>
      </c>
    </row>
    <row r="501" spans="1:11" x14ac:dyDescent="0.3">
      <c r="A501" s="14">
        <v>2021</v>
      </c>
      <c r="B501" s="14">
        <f t="shared" si="23"/>
        <v>43</v>
      </c>
      <c r="C501" s="9">
        <v>44494</v>
      </c>
      <c r="D501" s="9">
        <v>44498</v>
      </c>
      <c r="E501" s="14">
        <f>VLOOKUP(F501,CarrierID!A:B,2,0)</f>
        <v>11</v>
      </c>
      <c r="F501" s="15" t="s">
        <v>5</v>
      </c>
      <c r="G501" t="str">
        <f>VLOOKUP(F501,Carrier_Category!A:B,2,0)</f>
        <v>Intercity</v>
      </c>
      <c r="H501" s="5">
        <v>17</v>
      </c>
      <c r="I501" s="7">
        <f t="shared" si="25"/>
        <v>18</v>
      </c>
      <c r="J501" s="5">
        <v>421</v>
      </c>
      <c r="K501" s="18">
        <f t="shared" si="24"/>
        <v>24.764705882352942</v>
      </c>
    </row>
    <row r="502" spans="1:11" x14ac:dyDescent="0.3">
      <c r="A502" s="14">
        <v>2021</v>
      </c>
      <c r="B502" s="14">
        <f t="shared" si="23"/>
        <v>43</v>
      </c>
      <c r="C502" s="9">
        <v>44494</v>
      </c>
      <c r="D502" s="9">
        <v>44498</v>
      </c>
      <c r="E502" s="14">
        <f>VLOOKUP(F502,CarrierID!A:B,2,0)</f>
        <v>3</v>
      </c>
      <c r="F502" s="15" t="s">
        <v>6</v>
      </c>
      <c r="G502" t="str">
        <f>VLOOKUP(F502,Carrier_Category!A:B,2,0)</f>
        <v>Commuter</v>
      </c>
      <c r="H502" s="5">
        <v>126</v>
      </c>
      <c r="I502" s="7">
        <f t="shared" si="25"/>
        <v>126</v>
      </c>
      <c r="J502" s="5">
        <v>3434</v>
      </c>
      <c r="K502" s="18">
        <f t="shared" si="24"/>
        <v>27.253968253968253</v>
      </c>
    </row>
    <row r="503" spans="1:11" x14ac:dyDescent="0.3">
      <c r="A503" s="14">
        <v>2021</v>
      </c>
      <c r="B503" s="14">
        <f t="shared" si="23"/>
        <v>43</v>
      </c>
      <c r="C503" s="9">
        <v>44494</v>
      </c>
      <c r="D503" s="9">
        <v>44498</v>
      </c>
      <c r="E503" s="14">
        <f>VLOOKUP(F503,CarrierID!A:B,2,0)</f>
        <v>12</v>
      </c>
      <c r="F503" s="15" t="s">
        <v>25</v>
      </c>
      <c r="G503" t="str">
        <f>VLOOKUP(F503,Carrier_Category!A:B,2,0)</f>
        <v>Commuter</v>
      </c>
      <c r="H503" s="5">
        <v>18</v>
      </c>
      <c r="I503" s="7">
        <f t="shared" si="25"/>
        <v>18</v>
      </c>
      <c r="J503" s="5">
        <v>533</v>
      </c>
      <c r="K503" s="18">
        <f t="shared" si="24"/>
        <v>29.611111111111111</v>
      </c>
    </row>
    <row r="504" spans="1:11" x14ac:dyDescent="0.3">
      <c r="A504" s="14">
        <v>2021</v>
      </c>
      <c r="B504" s="14">
        <f t="shared" si="23"/>
        <v>43</v>
      </c>
      <c r="C504" s="9">
        <v>44494</v>
      </c>
      <c r="D504" s="9">
        <v>44498</v>
      </c>
      <c r="E504" s="14">
        <f>VLOOKUP(F504,CarrierID!A:B,2,0)</f>
        <v>10</v>
      </c>
      <c r="F504" s="15" t="s">
        <v>8</v>
      </c>
      <c r="G504" t="str">
        <f>VLOOKUP(F504,Carrier_Category!A:B,2,0)</f>
        <v>Intercity</v>
      </c>
      <c r="H504" s="5">
        <v>29</v>
      </c>
      <c r="I504" s="7">
        <f t="shared" si="25"/>
        <v>29</v>
      </c>
      <c r="J504" s="5">
        <v>741</v>
      </c>
      <c r="K504" s="18">
        <f t="shared" si="24"/>
        <v>25.551724137931036</v>
      </c>
    </row>
    <row r="505" spans="1:11" x14ac:dyDescent="0.3">
      <c r="A505" s="14">
        <v>2021</v>
      </c>
      <c r="B505" s="14">
        <f t="shared" si="23"/>
        <v>43</v>
      </c>
      <c r="C505" s="9">
        <v>44494</v>
      </c>
      <c r="D505" s="9">
        <v>44498</v>
      </c>
      <c r="E505" s="14">
        <f>VLOOKUP(F505,CarrierID!A:B,2,0)</f>
        <v>4</v>
      </c>
      <c r="F505" s="15" t="s">
        <v>24</v>
      </c>
      <c r="G505" t="str">
        <f>VLOOKUP(F505,Carrier_Category!A:B,2,0)</f>
        <v>Commuter</v>
      </c>
      <c r="H505" s="5">
        <v>16</v>
      </c>
      <c r="I505" s="7">
        <f t="shared" si="25"/>
        <v>16</v>
      </c>
      <c r="J505" s="5">
        <v>263</v>
      </c>
      <c r="K505" s="18">
        <f t="shared" si="24"/>
        <v>16.4375</v>
      </c>
    </row>
    <row r="506" spans="1:11" x14ac:dyDescent="0.3">
      <c r="A506" s="14">
        <v>2021</v>
      </c>
      <c r="B506" s="14">
        <f t="shared" si="23"/>
        <v>43</v>
      </c>
      <c r="C506" s="9">
        <v>44494</v>
      </c>
      <c r="D506" s="9">
        <v>44498</v>
      </c>
      <c r="E506" s="14">
        <f>VLOOKUP(F506,CarrierID!A:B,2,0)</f>
        <v>6</v>
      </c>
      <c r="F506" s="15" t="s">
        <v>9</v>
      </c>
      <c r="G506" t="str">
        <f>VLOOKUP(F506,Carrier_Category!A:B,2,0)</f>
        <v>Commuter</v>
      </c>
      <c r="H506" s="5">
        <v>89</v>
      </c>
      <c r="I506" s="7">
        <f t="shared" si="25"/>
        <v>93</v>
      </c>
      <c r="J506" s="5">
        <v>1545</v>
      </c>
      <c r="K506" s="18">
        <f t="shared" si="24"/>
        <v>17.359550561797754</v>
      </c>
    </row>
    <row r="507" spans="1:11" x14ac:dyDescent="0.3">
      <c r="A507" s="14">
        <v>2021</v>
      </c>
      <c r="B507" s="14">
        <f t="shared" si="23"/>
        <v>44</v>
      </c>
      <c r="C507" s="9">
        <v>44501</v>
      </c>
      <c r="D507" s="9">
        <v>44505</v>
      </c>
      <c r="E507" s="14">
        <f>VLOOKUP(F507,CarrierID!A:B,2,0)</f>
        <v>1</v>
      </c>
      <c r="F507" s="15" t="s">
        <v>0</v>
      </c>
      <c r="G507" t="str">
        <f>VLOOKUP(F507,Carrier_Category!A:B,2,0)</f>
        <v>Commuter</v>
      </c>
      <c r="H507" s="5">
        <v>35</v>
      </c>
      <c r="I507" s="7">
        <f t="shared" si="25"/>
        <v>33</v>
      </c>
      <c r="J507" s="5">
        <v>999</v>
      </c>
      <c r="K507" s="18">
        <f t="shared" si="24"/>
        <v>28.542857142857144</v>
      </c>
    </row>
    <row r="508" spans="1:11" x14ac:dyDescent="0.3">
      <c r="A508" s="14">
        <v>2021</v>
      </c>
      <c r="B508" s="14">
        <f t="shared" si="23"/>
        <v>44</v>
      </c>
      <c r="C508" s="9">
        <v>44501</v>
      </c>
      <c r="D508" s="9">
        <v>44505</v>
      </c>
      <c r="E508" s="14">
        <f>VLOOKUP(F508,CarrierID!A:B,2,0)</f>
        <v>5</v>
      </c>
      <c r="F508" s="15" t="s">
        <v>1</v>
      </c>
      <c r="G508" t="str">
        <f>VLOOKUP(F508,Carrier_Category!A:B,2,0)</f>
        <v>Intercity</v>
      </c>
      <c r="H508" s="5">
        <v>54</v>
      </c>
      <c r="I508" s="7">
        <f t="shared" si="25"/>
        <v>53</v>
      </c>
      <c r="J508" s="5">
        <v>1296</v>
      </c>
      <c r="K508" s="18">
        <f t="shared" si="24"/>
        <v>24</v>
      </c>
    </row>
    <row r="509" spans="1:11" x14ac:dyDescent="0.3">
      <c r="A509" s="14">
        <v>2021</v>
      </c>
      <c r="B509" s="14">
        <f t="shared" si="23"/>
        <v>44</v>
      </c>
      <c r="C509" s="9">
        <v>44501</v>
      </c>
      <c r="D509" s="9">
        <v>44505</v>
      </c>
      <c r="E509" s="14">
        <f>VLOOKUP(F509,CarrierID!A:B,2,0)</f>
        <v>8</v>
      </c>
      <c r="F509" s="15" t="s">
        <v>2</v>
      </c>
      <c r="G509" t="str">
        <f>VLOOKUP(F509,Carrier_Category!A:B,2,0)</f>
        <v>Commuter</v>
      </c>
      <c r="H509" s="5">
        <v>18</v>
      </c>
      <c r="I509" s="7">
        <f t="shared" si="25"/>
        <v>18</v>
      </c>
      <c r="J509" s="5">
        <v>718</v>
      </c>
      <c r="K509" s="18">
        <f t="shared" si="24"/>
        <v>39.888888888888886</v>
      </c>
    </row>
    <row r="510" spans="1:11" x14ac:dyDescent="0.3">
      <c r="A510" s="14">
        <v>2021</v>
      </c>
      <c r="B510" s="14">
        <f t="shared" si="23"/>
        <v>44</v>
      </c>
      <c r="C510" s="9">
        <v>44501</v>
      </c>
      <c r="D510" s="9">
        <v>44505</v>
      </c>
      <c r="E510" s="14">
        <f>VLOOKUP(F510,CarrierID!A:B,2,0)</f>
        <v>9</v>
      </c>
      <c r="F510" s="15" t="s">
        <v>3</v>
      </c>
      <c r="G510" t="str">
        <f>VLOOKUP(F510,Carrier_Category!A:B,2,0)</f>
        <v>NJT</v>
      </c>
      <c r="H510" s="5">
        <v>2131</v>
      </c>
      <c r="I510" s="7">
        <f t="shared" si="25"/>
        <v>2137</v>
      </c>
      <c r="J510" s="5">
        <v>50514</v>
      </c>
      <c r="K510" s="18">
        <f t="shared" si="24"/>
        <v>23.704364148287191</v>
      </c>
    </row>
    <row r="511" spans="1:11" x14ac:dyDescent="0.3">
      <c r="A511" s="14">
        <v>2021</v>
      </c>
      <c r="B511" s="14">
        <f t="shared" si="23"/>
        <v>44</v>
      </c>
      <c r="C511" s="9">
        <v>44501</v>
      </c>
      <c r="D511" s="9">
        <v>44505</v>
      </c>
      <c r="E511" s="14">
        <f>VLOOKUP(F511,CarrierID!A:B,2,0)</f>
        <v>7</v>
      </c>
      <c r="F511" s="15" t="s">
        <v>4</v>
      </c>
      <c r="G511" t="str">
        <f>VLOOKUP(F511,Carrier_Category!A:B,2,0)</f>
        <v>Commuter</v>
      </c>
      <c r="H511" s="5">
        <v>29</v>
      </c>
      <c r="I511" s="7">
        <f t="shared" si="25"/>
        <v>25</v>
      </c>
      <c r="J511" s="5">
        <v>825</v>
      </c>
      <c r="K511" s="18">
        <f t="shared" si="24"/>
        <v>28.448275862068964</v>
      </c>
    </row>
    <row r="512" spans="1:11" x14ac:dyDescent="0.3">
      <c r="A512" s="14">
        <v>2021</v>
      </c>
      <c r="B512" s="14">
        <f t="shared" si="23"/>
        <v>44</v>
      </c>
      <c r="C512" s="9">
        <v>44501</v>
      </c>
      <c r="D512" s="9">
        <v>44505</v>
      </c>
      <c r="E512" s="14">
        <f>VLOOKUP(F512,CarrierID!A:B,2,0)</f>
        <v>11</v>
      </c>
      <c r="F512" s="15" t="s">
        <v>5</v>
      </c>
      <c r="G512" t="str">
        <f>VLOOKUP(F512,Carrier_Category!A:B,2,0)</f>
        <v>Intercity</v>
      </c>
      <c r="H512" s="5">
        <v>17</v>
      </c>
      <c r="I512" s="7">
        <f t="shared" si="25"/>
        <v>17</v>
      </c>
      <c r="J512" s="5">
        <v>379</v>
      </c>
      <c r="K512" s="18">
        <f t="shared" si="24"/>
        <v>22.294117647058822</v>
      </c>
    </row>
    <row r="513" spans="1:11" x14ac:dyDescent="0.3">
      <c r="A513" s="14">
        <v>2021</v>
      </c>
      <c r="B513" s="14">
        <f t="shared" si="23"/>
        <v>44</v>
      </c>
      <c r="C513" s="9">
        <v>44501</v>
      </c>
      <c r="D513" s="9">
        <v>44505</v>
      </c>
      <c r="E513" s="14">
        <f>VLOOKUP(F513,CarrierID!A:B,2,0)</f>
        <v>3</v>
      </c>
      <c r="F513" s="15" t="s">
        <v>6</v>
      </c>
      <c r="G513" t="str">
        <f>VLOOKUP(F513,Carrier_Category!A:B,2,0)</f>
        <v>Commuter</v>
      </c>
      <c r="H513" s="5">
        <v>125</v>
      </c>
      <c r="I513" s="7">
        <f t="shared" si="25"/>
        <v>126</v>
      </c>
      <c r="J513" s="5">
        <v>3624</v>
      </c>
      <c r="K513" s="18">
        <f t="shared" si="24"/>
        <v>28.992000000000001</v>
      </c>
    </row>
    <row r="514" spans="1:11" x14ac:dyDescent="0.3">
      <c r="A514" s="14">
        <v>2021</v>
      </c>
      <c r="B514" s="14">
        <f t="shared" si="23"/>
        <v>44</v>
      </c>
      <c r="C514" s="9">
        <v>44501</v>
      </c>
      <c r="D514" s="9">
        <v>44505</v>
      </c>
      <c r="E514" s="14">
        <f>VLOOKUP(F514,CarrierID!A:B,2,0)</f>
        <v>12</v>
      </c>
      <c r="F514" s="15" t="s">
        <v>25</v>
      </c>
      <c r="G514" t="str">
        <f>VLOOKUP(F514,Carrier_Category!A:B,2,0)</f>
        <v>Commuter</v>
      </c>
      <c r="H514" s="5">
        <v>18</v>
      </c>
      <c r="I514" s="7">
        <f t="shared" si="25"/>
        <v>18</v>
      </c>
      <c r="J514" s="5">
        <v>551</v>
      </c>
      <c r="K514" s="18">
        <f t="shared" si="24"/>
        <v>30.611111111111111</v>
      </c>
    </row>
    <row r="515" spans="1:11" x14ac:dyDescent="0.3">
      <c r="A515" s="14">
        <v>2021</v>
      </c>
      <c r="B515" s="14">
        <f t="shared" si="23"/>
        <v>44</v>
      </c>
      <c r="C515" s="9">
        <v>44501</v>
      </c>
      <c r="D515" s="9">
        <v>44505</v>
      </c>
      <c r="E515" s="14">
        <f>VLOOKUP(F515,CarrierID!A:B,2,0)</f>
        <v>10</v>
      </c>
      <c r="F515" s="15" t="s">
        <v>8</v>
      </c>
      <c r="G515" t="str">
        <f>VLOOKUP(F515,Carrier_Category!A:B,2,0)</f>
        <v>Intercity</v>
      </c>
      <c r="H515" s="5">
        <v>29</v>
      </c>
      <c r="I515" s="7">
        <f t="shared" si="25"/>
        <v>29</v>
      </c>
      <c r="J515" s="5">
        <v>774</v>
      </c>
      <c r="K515" s="18">
        <f t="shared" si="24"/>
        <v>26.689655172413794</v>
      </c>
    </row>
    <row r="516" spans="1:11" x14ac:dyDescent="0.3">
      <c r="A516" s="14">
        <v>2021</v>
      </c>
      <c r="B516" s="14">
        <f t="shared" si="23"/>
        <v>44</v>
      </c>
      <c r="C516" s="9">
        <v>44501</v>
      </c>
      <c r="D516" s="9">
        <v>44505</v>
      </c>
      <c r="E516" s="14">
        <f>VLOOKUP(F516,CarrierID!A:B,2,0)</f>
        <v>4</v>
      </c>
      <c r="F516" s="15" t="s">
        <v>24</v>
      </c>
      <c r="G516" t="str">
        <f>VLOOKUP(F516,Carrier_Category!A:B,2,0)</f>
        <v>Commuter</v>
      </c>
      <c r="H516" s="5">
        <v>33</v>
      </c>
      <c r="I516" s="7">
        <f t="shared" si="25"/>
        <v>16</v>
      </c>
      <c r="J516" s="5">
        <v>338</v>
      </c>
      <c r="K516" s="18">
        <f t="shared" si="24"/>
        <v>10.242424242424242</v>
      </c>
    </row>
    <row r="517" spans="1:11" x14ac:dyDescent="0.3">
      <c r="A517" s="14">
        <v>2021</v>
      </c>
      <c r="B517" s="14">
        <f t="shared" ref="B517:B580" si="26">_xlfn.ISOWEEKNUM(C517)</f>
        <v>44</v>
      </c>
      <c r="C517" s="9">
        <v>44501</v>
      </c>
      <c r="D517" s="9">
        <v>44505</v>
      </c>
      <c r="E517" s="14">
        <f>VLOOKUP(F517,CarrierID!A:B,2,0)</f>
        <v>6</v>
      </c>
      <c r="F517" s="15" t="s">
        <v>9</v>
      </c>
      <c r="G517" t="str">
        <f>VLOOKUP(F517,Carrier_Category!A:B,2,0)</f>
        <v>Commuter</v>
      </c>
      <c r="H517" s="5">
        <v>98</v>
      </c>
      <c r="I517" s="7">
        <f t="shared" si="25"/>
        <v>89</v>
      </c>
      <c r="J517" s="5">
        <v>1575</v>
      </c>
      <c r="K517" s="18">
        <f t="shared" ref="K517:K580" si="27">J517/H517</f>
        <v>16.071428571428573</v>
      </c>
    </row>
    <row r="518" spans="1:11" x14ac:dyDescent="0.3">
      <c r="A518" s="14">
        <v>2021</v>
      </c>
      <c r="B518" s="14">
        <f t="shared" si="26"/>
        <v>45</v>
      </c>
      <c r="C518" s="9">
        <v>44508</v>
      </c>
      <c r="D518" s="9">
        <v>44512</v>
      </c>
      <c r="E518" s="14">
        <f>VLOOKUP(F518,CarrierID!A:B,2,0)</f>
        <v>1</v>
      </c>
      <c r="F518" s="15" t="s">
        <v>0</v>
      </c>
      <c r="G518" t="str">
        <f>VLOOKUP(F518,Carrier_Category!A:B,2,0)</f>
        <v>Commuter</v>
      </c>
      <c r="H518" s="5">
        <v>35</v>
      </c>
      <c r="I518" s="7">
        <f t="shared" si="25"/>
        <v>35</v>
      </c>
      <c r="J518" s="5">
        <v>998</v>
      </c>
      <c r="K518" s="18">
        <f t="shared" si="27"/>
        <v>28.514285714285716</v>
      </c>
    </row>
    <row r="519" spans="1:11" x14ac:dyDescent="0.3">
      <c r="A519" s="14">
        <v>2021</v>
      </c>
      <c r="B519" s="14">
        <f t="shared" si="26"/>
        <v>45</v>
      </c>
      <c r="C519" s="9">
        <v>44508</v>
      </c>
      <c r="D519" s="9">
        <v>44512</v>
      </c>
      <c r="E519" s="14">
        <f>VLOOKUP(F519,CarrierID!A:B,2,0)</f>
        <v>5</v>
      </c>
      <c r="F519" s="15" t="s">
        <v>1</v>
      </c>
      <c r="G519" t="str">
        <f>VLOOKUP(F519,Carrier_Category!A:B,2,0)</f>
        <v>Intercity</v>
      </c>
      <c r="H519" s="5">
        <v>54</v>
      </c>
      <c r="I519" s="7">
        <f t="shared" si="25"/>
        <v>54</v>
      </c>
      <c r="J519" s="5">
        <v>1241</v>
      </c>
      <c r="K519" s="18">
        <f t="shared" si="27"/>
        <v>22.981481481481481</v>
      </c>
    </row>
    <row r="520" spans="1:11" x14ac:dyDescent="0.3">
      <c r="A520" s="14">
        <v>2021</v>
      </c>
      <c r="B520" s="14">
        <f t="shared" si="26"/>
        <v>45</v>
      </c>
      <c r="C520" s="9">
        <v>44508</v>
      </c>
      <c r="D520" s="9">
        <v>44512</v>
      </c>
      <c r="E520" s="14">
        <f>VLOOKUP(F520,CarrierID!A:B,2,0)</f>
        <v>8</v>
      </c>
      <c r="F520" s="15" t="s">
        <v>2</v>
      </c>
      <c r="G520" t="str">
        <f>VLOOKUP(F520,Carrier_Category!A:B,2,0)</f>
        <v>Commuter</v>
      </c>
      <c r="H520" s="5">
        <v>18</v>
      </c>
      <c r="I520" s="7">
        <f t="shared" si="25"/>
        <v>18</v>
      </c>
      <c r="J520" s="5">
        <v>724</v>
      </c>
      <c r="K520" s="18">
        <f t="shared" si="27"/>
        <v>40.222222222222221</v>
      </c>
    </row>
    <row r="521" spans="1:11" x14ac:dyDescent="0.3">
      <c r="A521" s="14">
        <v>2021</v>
      </c>
      <c r="B521" s="14">
        <f t="shared" si="26"/>
        <v>45</v>
      </c>
      <c r="C521" s="9">
        <v>44508</v>
      </c>
      <c r="D521" s="9">
        <v>44512</v>
      </c>
      <c r="E521" s="14">
        <f>VLOOKUP(F521,CarrierID!A:B,2,0)</f>
        <v>9</v>
      </c>
      <c r="F521" s="15" t="s">
        <v>3</v>
      </c>
      <c r="G521" t="str">
        <f>VLOOKUP(F521,Carrier_Category!A:B,2,0)</f>
        <v>NJT</v>
      </c>
      <c r="H521" s="5">
        <v>2120</v>
      </c>
      <c r="I521" s="7">
        <f t="shared" si="25"/>
        <v>2131</v>
      </c>
      <c r="J521" s="5">
        <v>52268</v>
      </c>
      <c r="K521" s="18">
        <f t="shared" si="27"/>
        <v>24.654716981132076</v>
      </c>
    </row>
    <row r="522" spans="1:11" x14ac:dyDescent="0.3">
      <c r="A522" s="14">
        <v>2021</v>
      </c>
      <c r="B522" s="14">
        <f t="shared" si="26"/>
        <v>45</v>
      </c>
      <c r="C522" s="9">
        <v>44508</v>
      </c>
      <c r="D522" s="9">
        <v>44512</v>
      </c>
      <c r="E522" s="14">
        <f>VLOOKUP(F522,CarrierID!A:B,2,0)</f>
        <v>7</v>
      </c>
      <c r="F522" s="15" t="s">
        <v>4</v>
      </c>
      <c r="G522" t="str">
        <f>VLOOKUP(F522,Carrier_Category!A:B,2,0)</f>
        <v>Commuter</v>
      </c>
      <c r="H522" s="5">
        <v>29</v>
      </c>
      <c r="I522" s="7">
        <f t="shared" si="25"/>
        <v>29</v>
      </c>
      <c r="J522" s="5">
        <v>809</v>
      </c>
      <c r="K522" s="18">
        <f t="shared" si="27"/>
        <v>27.896551724137932</v>
      </c>
    </row>
    <row r="523" spans="1:11" x14ac:dyDescent="0.3">
      <c r="A523" s="14">
        <v>2021</v>
      </c>
      <c r="B523" s="14">
        <f t="shared" si="26"/>
        <v>45</v>
      </c>
      <c r="C523" s="9">
        <v>44508</v>
      </c>
      <c r="D523" s="9">
        <v>44512</v>
      </c>
      <c r="E523" s="14">
        <f>VLOOKUP(F523,CarrierID!A:B,2,0)</f>
        <v>11</v>
      </c>
      <c r="F523" s="15" t="s">
        <v>5</v>
      </c>
      <c r="G523" t="str">
        <f>VLOOKUP(F523,Carrier_Category!A:B,2,0)</f>
        <v>Intercity</v>
      </c>
      <c r="H523" s="5">
        <v>18</v>
      </c>
      <c r="I523" s="7">
        <f t="shared" si="25"/>
        <v>17</v>
      </c>
      <c r="J523" s="5">
        <v>438</v>
      </c>
      <c r="K523" s="18">
        <f t="shared" si="27"/>
        <v>24.333333333333332</v>
      </c>
    </row>
    <row r="524" spans="1:11" x14ac:dyDescent="0.3">
      <c r="A524" s="14">
        <v>2021</v>
      </c>
      <c r="B524" s="14">
        <f t="shared" si="26"/>
        <v>45</v>
      </c>
      <c r="C524" s="9">
        <v>44508</v>
      </c>
      <c r="D524" s="9">
        <v>44512</v>
      </c>
      <c r="E524" s="14">
        <f>VLOOKUP(F524,CarrierID!A:B,2,0)</f>
        <v>3</v>
      </c>
      <c r="F524" s="15" t="s">
        <v>6</v>
      </c>
      <c r="G524" t="str">
        <f>VLOOKUP(F524,Carrier_Category!A:B,2,0)</f>
        <v>Commuter</v>
      </c>
      <c r="H524" s="5">
        <v>125</v>
      </c>
      <c r="I524" s="7">
        <f t="shared" si="25"/>
        <v>125</v>
      </c>
      <c r="J524" s="5">
        <v>3753</v>
      </c>
      <c r="K524" s="18">
        <f t="shared" si="27"/>
        <v>30.024000000000001</v>
      </c>
    </row>
    <row r="525" spans="1:11" x14ac:dyDescent="0.3">
      <c r="A525" s="14">
        <v>2021</v>
      </c>
      <c r="B525" s="14">
        <f t="shared" si="26"/>
        <v>45</v>
      </c>
      <c r="C525" s="9">
        <v>44508</v>
      </c>
      <c r="D525" s="9">
        <v>44512</v>
      </c>
      <c r="E525" s="14">
        <f>VLOOKUP(F525,CarrierID!A:B,2,0)</f>
        <v>12</v>
      </c>
      <c r="F525" s="15" t="s">
        <v>25</v>
      </c>
      <c r="G525" t="str">
        <f>VLOOKUP(F525,Carrier_Category!A:B,2,0)</f>
        <v>Commuter</v>
      </c>
      <c r="H525" s="5">
        <v>18</v>
      </c>
      <c r="I525" s="7">
        <f t="shared" ref="I525:I588" si="28">H514</f>
        <v>18</v>
      </c>
      <c r="J525" s="5">
        <v>595</v>
      </c>
      <c r="K525" s="18">
        <f t="shared" si="27"/>
        <v>33.055555555555557</v>
      </c>
    </row>
    <row r="526" spans="1:11" x14ac:dyDescent="0.3">
      <c r="A526" s="14">
        <v>2021</v>
      </c>
      <c r="B526" s="14">
        <f t="shared" si="26"/>
        <v>45</v>
      </c>
      <c r="C526" s="9">
        <v>44508</v>
      </c>
      <c r="D526" s="9">
        <v>44512</v>
      </c>
      <c r="E526" s="14">
        <f>VLOOKUP(F526,CarrierID!A:B,2,0)</f>
        <v>10</v>
      </c>
      <c r="F526" s="15" t="s">
        <v>8</v>
      </c>
      <c r="G526" t="str">
        <f>VLOOKUP(F526,Carrier_Category!A:B,2,0)</f>
        <v>Intercity</v>
      </c>
      <c r="H526" s="5">
        <v>29</v>
      </c>
      <c r="I526" s="7">
        <f t="shared" si="28"/>
        <v>29</v>
      </c>
      <c r="J526" s="5">
        <v>733</v>
      </c>
      <c r="K526" s="18">
        <f t="shared" si="27"/>
        <v>25.275862068965516</v>
      </c>
    </row>
    <row r="527" spans="1:11" x14ac:dyDescent="0.3">
      <c r="A527" s="14">
        <v>2021</v>
      </c>
      <c r="B527" s="14">
        <f t="shared" si="26"/>
        <v>45</v>
      </c>
      <c r="C527" s="9">
        <v>44508</v>
      </c>
      <c r="D527" s="9">
        <v>44512</v>
      </c>
      <c r="E527" s="14">
        <f>VLOOKUP(F527,CarrierID!A:B,2,0)</f>
        <v>4</v>
      </c>
      <c r="F527" s="15" t="s">
        <v>24</v>
      </c>
      <c r="G527" t="str">
        <f>VLOOKUP(F527,Carrier_Category!A:B,2,0)</f>
        <v>Commuter</v>
      </c>
      <c r="H527" s="5">
        <v>37</v>
      </c>
      <c r="I527" s="7">
        <f t="shared" si="28"/>
        <v>33</v>
      </c>
      <c r="J527" s="5">
        <v>380</v>
      </c>
      <c r="K527" s="18">
        <f t="shared" si="27"/>
        <v>10.27027027027027</v>
      </c>
    </row>
    <row r="528" spans="1:11" x14ac:dyDescent="0.3">
      <c r="A528" s="14">
        <v>2021</v>
      </c>
      <c r="B528" s="14">
        <f t="shared" si="26"/>
        <v>45</v>
      </c>
      <c r="C528" s="9">
        <v>44508</v>
      </c>
      <c r="D528" s="9">
        <v>44512</v>
      </c>
      <c r="E528" s="14">
        <f>VLOOKUP(F528,CarrierID!A:B,2,0)</f>
        <v>6</v>
      </c>
      <c r="F528" s="15" t="s">
        <v>9</v>
      </c>
      <c r="G528" t="str">
        <f>VLOOKUP(F528,Carrier_Category!A:B,2,0)</f>
        <v>Commuter</v>
      </c>
      <c r="H528" s="5">
        <v>96</v>
      </c>
      <c r="I528" s="7">
        <f t="shared" si="28"/>
        <v>98</v>
      </c>
      <c r="J528" s="5">
        <v>1616</v>
      </c>
      <c r="K528" s="18">
        <f t="shared" si="27"/>
        <v>16.833333333333332</v>
      </c>
    </row>
    <row r="529" spans="1:11" x14ac:dyDescent="0.3">
      <c r="A529" s="14">
        <v>2021</v>
      </c>
      <c r="B529" s="14">
        <f t="shared" si="26"/>
        <v>46</v>
      </c>
      <c r="C529" s="9">
        <v>44515</v>
      </c>
      <c r="D529" s="9">
        <v>44519</v>
      </c>
      <c r="E529" s="14">
        <f>VLOOKUP(F529,CarrierID!A:B,2,0)</f>
        <v>1</v>
      </c>
      <c r="F529" s="15" t="s">
        <v>0</v>
      </c>
      <c r="G529" t="str">
        <f>VLOOKUP(F529,Carrier_Category!A:B,2,0)</f>
        <v>Commuter</v>
      </c>
      <c r="H529" s="5">
        <v>33</v>
      </c>
      <c r="I529" s="7">
        <f t="shared" si="28"/>
        <v>35</v>
      </c>
      <c r="J529" s="5">
        <v>1098</v>
      </c>
      <c r="K529" s="18">
        <f t="shared" si="27"/>
        <v>33.272727272727273</v>
      </c>
    </row>
    <row r="530" spans="1:11" x14ac:dyDescent="0.3">
      <c r="A530" s="14">
        <v>2021</v>
      </c>
      <c r="B530" s="14">
        <f t="shared" si="26"/>
        <v>46</v>
      </c>
      <c r="C530" s="9">
        <v>44515</v>
      </c>
      <c r="D530" s="9">
        <v>44519</v>
      </c>
      <c r="E530" s="14">
        <f>VLOOKUP(F530,CarrierID!A:B,2,0)</f>
        <v>5</v>
      </c>
      <c r="F530" s="15" t="s">
        <v>1</v>
      </c>
      <c r="G530" t="str">
        <f>VLOOKUP(F530,Carrier_Category!A:B,2,0)</f>
        <v>Intercity</v>
      </c>
      <c r="H530" s="5">
        <v>54</v>
      </c>
      <c r="I530" s="7">
        <f t="shared" si="28"/>
        <v>54</v>
      </c>
      <c r="J530" s="5">
        <v>1219</v>
      </c>
      <c r="K530" s="18">
        <f t="shared" si="27"/>
        <v>22.574074074074073</v>
      </c>
    </row>
    <row r="531" spans="1:11" x14ac:dyDescent="0.3">
      <c r="A531" s="14">
        <v>2021</v>
      </c>
      <c r="B531" s="14">
        <f t="shared" si="26"/>
        <v>46</v>
      </c>
      <c r="C531" s="9">
        <v>44515</v>
      </c>
      <c r="D531" s="9">
        <v>44519</v>
      </c>
      <c r="E531" s="14">
        <f>VLOOKUP(F531,CarrierID!A:B,2,0)</f>
        <v>8</v>
      </c>
      <c r="F531" s="15" t="s">
        <v>2</v>
      </c>
      <c r="G531" t="str">
        <f>VLOOKUP(F531,Carrier_Category!A:B,2,0)</f>
        <v>Commuter</v>
      </c>
      <c r="H531" s="5">
        <v>18</v>
      </c>
      <c r="I531" s="7">
        <f t="shared" si="28"/>
        <v>18</v>
      </c>
      <c r="J531" s="5">
        <v>738</v>
      </c>
      <c r="K531" s="18">
        <f t="shared" si="27"/>
        <v>41</v>
      </c>
    </row>
    <row r="532" spans="1:11" x14ac:dyDescent="0.3">
      <c r="A532" s="14">
        <v>2021</v>
      </c>
      <c r="B532" s="14">
        <f t="shared" si="26"/>
        <v>46</v>
      </c>
      <c r="C532" s="9">
        <v>44515</v>
      </c>
      <c r="D532" s="9">
        <v>44519</v>
      </c>
      <c r="E532" s="14">
        <f>VLOOKUP(F532,CarrierID!A:B,2,0)</f>
        <v>9</v>
      </c>
      <c r="F532" s="15" t="s">
        <v>3</v>
      </c>
      <c r="G532" t="str">
        <f>VLOOKUP(F532,Carrier_Category!A:B,2,0)</f>
        <v>NJT</v>
      </c>
      <c r="H532" s="5">
        <v>2127</v>
      </c>
      <c r="I532" s="7">
        <f t="shared" si="28"/>
        <v>2120</v>
      </c>
      <c r="J532" s="5">
        <v>51546</v>
      </c>
      <c r="K532" s="18">
        <f t="shared" si="27"/>
        <v>24.234132581100141</v>
      </c>
    </row>
    <row r="533" spans="1:11" x14ac:dyDescent="0.3">
      <c r="A533" s="14">
        <v>2021</v>
      </c>
      <c r="B533" s="14">
        <f t="shared" si="26"/>
        <v>46</v>
      </c>
      <c r="C533" s="9">
        <v>44515</v>
      </c>
      <c r="D533" s="9">
        <v>44519</v>
      </c>
      <c r="E533" s="14">
        <f>VLOOKUP(F533,CarrierID!A:B,2,0)</f>
        <v>7</v>
      </c>
      <c r="F533" s="15" t="s">
        <v>4</v>
      </c>
      <c r="G533" t="str">
        <f>VLOOKUP(F533,Carrier_Category!A:B,2,0)</f>
        <v>Commuter</v>
      </c>
      <c r="H533" s="5">
        <v>29</v>
      </c>
      <c r="I533" s="7">
        <f t="shared" si="28"/>
        <v>29</v>
      </c>
      <c r="J533" s="5">
        <v>815</v>
      </c>
      <c r="K533" s="18">
        <f t="shared" si="27"/>
        <v>28.103448275862068</v>
      </c>
    </row>
    <row r="534" spans="1:11" x14ac:dyDescent="0.3">
      <c r="A534" s="14">
        <v>2021</v>
      </c>
      <c r="B534" s="14">
        <f t="shared" si="26"/>
        <v>46</v>
      </c>
      <c r="C534" s="9">
        <v>44515</v>
      </c>
      <c r="D534" s="9">
        <v>44519</v>
      </c>
      <c r="E534" s="14">
        <f>VLOOKUP(F534,CarrierID!A:B,2,0)</f>
        <v>11</v>
      </c>
      <c r="F534" s="15" t="s">
        <v>5</v>
      </c>
      <c r="G534" t="str">
        <f>VLOOKUP(F534,Carrier_Category!A:B,2,0)</f>
        <v>Intercity</v>
      </c>
      <c r="H534" s="5">
        <v>19</v>
      </c>
      <c r="I534" s="7">
        <f t="shared" si="28"/>
        <v>18</v>
      </c>
      <c r="J534" s="5">
        <v>437</v>
      </c>
      <c r="K534" s="18">
        <f t="shared" si="27"/>
        <v>23</v>
      </c>
    </row>
    <row r="535" spans="1:11" x14ac:dyDescent="0.3">
      <c r="A535" s="14">
        <v>2021</v>
      </c>
      <c r="B535" s="14">
        <f t="shared" si="26"/>
        <v>46</v>
      </c>
      <c r="C535" s="9">
        <v>44515</v>
      </c>
      <c r="D535" s="9">
        <v>44519</v>
      </c>
      <c r="E535" s="14">
        <f>VLOOKUP(F535,CarrierID!A:B,2,0)</f>
        <v>3</v>
      </c>
      <c r="F535" s="15" t="s">
        <v>6</v>
      </c>
      <c r="G535" t="str">
        <f>VLOOKUP(F535,Carrier_Category!A:B,2,0)</f>
        <v>Commuter</v>
      </c>
      <c r="H535" s="5">
        <v>126</v>
      </c>
      <c r="I535" s="7">
        <f t="shared" si="28"/>
        <v>125</v>
      </c>
      <c r="J535" s="5">
        <v>3777</v>
      </c>
      <c r="K535" s="18">
        <f t="shared" si="27"/>
        <v>29.976190476190474</v>
      </c>
    </row>
    <row r="536" spans="1:11" x14ac:dyDescent="0.3">
      <c r="A536" s="14">
        <v>2021</v>
      </c>
      <c r="B536" s="14">
        <f t="shared" si="26"/>
        <v>46</v>
      </c>
      <c r="C536" s="9">
        <v>44515</v>
      </c>
      <c r="D536" s="9">
        <v>44519</v>
      </c>
      <c r="E536" s="14">
        <f>VLOOKUP(F536,CarrierID!A:B,2,0)</f>
        <v>12</v>
      </c>
      <c r="F536" s="15" t="s">
        <v>25</v>
      </c>
      <c r="G536" t="str">
        <f>VLOOKUP(F536,Carrier_Category!A:B,2,0)</f>
        <v>Commuter</v>
      </c>
      <c r="H536" s="5">
        <v>18</v>
      </c>
      <c r="I536" s="7">
        <f t="shared" si="28"/>
        <v>18</v>
      </c>
      <c r="J536" s="5">
        <v>567</v>
      </c>
      <c r="K536" s="18">
        <f t="shared" si="27"/>
        <v>31.5</v>
      </c>
    </row>
    <row r="537" spans="1:11" x14ac:dyDescent="0.3">
      <c r="A537" s="14">
        <v>2021</v>
      </c>
      <c r="B537" s="14">
        <f t="shared" si="26"/>
        <v>46</v>
      </c>
      <c r="C537" s="9">
        <v>44515</v>
      </c>
      <c r="D537" s="9">
        <v>44519</v>
      </c>
      <c r="E537" s="14">
        <f>VLOOKUP(F537,CarrierID!A:B,2,0)</f>
        <v>10</v>
      </c>
      <c r="F537" s="15" t="s">
        <v>8</v>
      </c>
      <c r="G537" t="str">
        <f>VLOOKUP(F537,Carrier_Category!A:B,2,0)</f>
        <v>Intercity</v>
      </c>
      <c r="H537" s="5">
        <v>29</v>
      </c>
      <c r="I537" s="7">
        <f t="shared" si="28"/>
        <v>29</v>
      </c>
      <c r="J537" s="5">
        <v>697</v>
      </c>
      <c r="K537" s="18">
        <f t="shared" si="27"/>
        <v>24.03448275862069</v>
      </c>
    </row>
    <row r="538" spans="1:11" x14ac:dyDescent="0.3">
      <c r="A538" s="14">
        <v>2021</v>
      </c>
      <c r="B538" s="14">
        <f t="shared" si="26"/>
        <v>46</v>
      </c>
      <c r="C538" s="9">
        <v>44515</v>
      </c>
      <c r="D538" s="9">
        <v>44519</v>
      </c>
      <c r="E538" s="14">
        <f>VLOOKUP(F538,CarrierID!A:B,2,0)</f>
        <v>4</v>
      </c>
      <c r="F538" s="15" t="s">
        <v>24</v>
      </c>
      <c r="G538" t="str">
        <f>VLOOKUP(F538,Carrier_Category!A:B,2,0)</f>
        <v>Commuter</v>
      </c>
      <c r="H538" s="5">
        <v>37</v>
      </c>
      <c r="I538" s="7">
        <f t="shared" si="28"/>
        <v>37</v>
      </c>
      <c r="J538" s="5">
        <v>406</v>
      </c>
      <c r="K538" s="18">
        <f t="shared" si="27"/>
        <v>10.972972972972974</v>
      </c>
    </row>
    <row r="539" spans="1:11" x14ac:dyDescent="0.3">
      <c r="A539" s="14">
        <v>2021</v>
      </c>
      <c r="B539" s="14">
        <f t="shared" si="26"/>
        <v>46</v>
      </c>
      <c r="C539" s="9">
        <v>44515</v>
      </c>
      <c r="D539" s="9">
        <v>44519</v>
      </c>
      <c r="E539" s="14">
        <f>VLOOKUP(F539,CarrierID!A:B,2,0)</f>
        <v>6</v>
      </c>
      <c r="F539" s="15" t="s">
        <v>9</v>
      </c>
      <c r="G539" t="str">
        <f>VLOOKUP(F539,Carrier_Category!A:B,2,0)</f>
        <v>Commuter</v>
      </c>
      <c r="H539" s="5">
        <v>99</v>
      </c>
      <c r="I539" s="7">
        <f t="shared" si="28"/>
        <v>96</v>
      </c>
      <c r="J539" s="5">
        <v>1652</v>
      </c>
      <c r="K539" s="18">
        <f t="shared" si="27"/>
        <v>16.686868686868689</v>
      </c>
    </row>
    <row r="540" spans="1:11" x14ac:dyDescent="0.3">
      <c r="A540" s="14">
        <v>2021</v>
      </c>
      <c r="B540" s="14">
        <f t="shared" si="26"/>
        <v>48</v>
      </c>
      <c r="C540" s="9">
        <v>44529</v>
      </c>
      <c r="D540" s="9">
        <v>44533</v>
      </c>
      <c r="E540" s="14">
        <f>VLOOKUP(F540,CarrierID!A:B,2,0)</f>
        <v>1</v>
      </c>
      <c r="F540" s="15" t="s">
        <v>0</v>
      </c>
      <c r="G540" t="str">
        <f>VLOOKUP(F540,Carrier_Category!A:B,2,0)</f>
        <v>Commuter</v>
      </c>
      <c r="H540" s="5">
        <v>36</v>
      </c>
      <c r="I540" s="7">
        <f t="shared" si="28"/>
        <v>33</v>
      </c>
      <c r="J540" s="5">
        <v>1103</v>
      </c>
      <c r="K540" s="18">
        <f t="shared" si="27"/>
        <v>30.638888888888889</v>
      </c>
    </row>
    <row r="541" spans="1:11" x14ac:dyDescent="0.3">
      <c r="A541" s="14">
        <v>2021</v>
      </c>
      <c r="B541" s="14">
        <f t="shared" si="26"/>
        <v>48</v>
      </c>
      <c r="C541" s="9">
        <v>44529</v>
      </c>
      <c r="D541" s="9">
        <v>44533</v>
      </c>
      <c r="E541" s="14">
        <f>VLOOKUP(F541,CarrierID!A:B,2,0)</f>
        <v>5</v>
      </c>
      <c r="F541" s="15" t="s">
        <v>1</v>
      </c>
      <c r="G541" t="str">
        <f>VLOOKUP(F541,Carrier_Category!A:B,2,0)</f>
        <v>Intercity</v>
      </c>
      <c r="H541" s="5">
        <v>55</v>
      </c>
      <c r="I541" s="7">
        <f t="shared" si="28"/>
        <v>54</v>
      </c>
      <c r="J541" s="5">
        <v>1408</v>
      </c>
      <c r="K541" s="18">
        <f t="shared" si="27"/>
        <v>25.6</v>
      </c>
    </row>
    <row r="542" spans="1:11" x14ac:dyDescent="0.3">
      <c r="A542" s="14">
        <v>2021</v>
      </c>
      <c r="B542" s="14">
        <f t="shared" si="26"/>
        <v>48</v>
      </c>
      <c r="C542" s="9">
        <v>44529</v>
      </c>
      <c r="D542" s="9">
        <v>44533</v>
      </c>
      <c r="E542" s="14">
        <f>VLOOKUP(F542,CarrierID!A:B,2,0)</f>
        <v>8</v>
      </c>
      <c r="F542" s="15" t="s">
        <v>2</v>
      </c>
      <c r="G542" t="str">
        <f>VLOOKUP(F542,Carrier_Category!A:B,2,0)</f>
        <v>Commuter</v>
      </c>
      <c r="H542" s="5">
        <v>18</v>
      </c>
      <c r="I542" s="7">
        <f t="shared" si="28"/>
        <v>18</v>
      </c>
      <c r="J542" s="5">
        <v>713</v>
      </c>
      <c r="K542" s="18">
        <f t="shared" si="27"/>
        <v>39.611111111111114</v>
      </c>
    </row>
    <row r="543" spans="1:11" x14ac:dyDescent="0.3">
      <c r="A543" s="14">
        <v>2021</v>
      </c>
      <c r="B543" s="14">
        <f t="shared" si="26"/>
        <v>48</v>
      </c>
      <c r="C543" s="9">
        <v>44529</v>
      </c>
      <c r="D543" s="9">
        <v>44533</v>
      </c>
      <c r="E543" s="14">
        <f>VLOOKUP(F543,CarrierID!A:B,2,0)</f>
        <v>9</v>
      </c>
      <c r="F543" s="15" t="s">
        <v>3</v>
      </c>
      <c r="G543" t="str">
        <f>VLOOKUP(F543,Carrier_Category!A:B,2,0)</f>
        <v>NJT</v>
      </c>
      <c r="H543" s="5">
        <v>2155</v>
      </c>
      <c r="I543" s="7">
        <f t="shared" si="28"/>
        <v>2127</v>
      </c>
      <c r="J543" s="5">
        <v>51761</v>
      </c>
      <c r="K543" s="18">
        <f t="shared" si="27"/>
        <v>24.019025522041762</v>
      </c>
    </row>
    <row r="544" spans="1:11" x14ac:dyDescent="0.3">
      <c r="A544" s="14">
        <v>2021</v>
      </c>
      <c r="B544" s="14">
        <f t="shared" si="26"/>
        <v>48</v>
      </c>
      <c r="C544" s="9">
        <v>44529</v>
      </c>
      <c r="D544" s="9">
        <v>44533</v>
      </c>
      <c r="E544" s="14">
        <f>VLOOKUP(F544,CarrierID!A:B,2,0)</f>
        <v>7</v>
      </c>
      <c r="F544" s="15" t="s">
        <v>4</v>
      </c>
      <c r="G544" t="str">
        <f>VLOOKUP(F544,Carrier_Category!A:B,2,0)</f>
        <v>Commuter</v>
      </c>
      <c r="H544" s="5">
        <v>29</v>
      </c>
      <c r="I544" s="7">
        <f t="shared" si="28"/>
        <v>29</v>
      </c>
      <c r="J544" s="5">
        <v>863</v>
      </c>
      <c r="K544" s="18">
        <f t="shared" si="27"/>
        <v>29.758620689655171</v>
      </c>
    </row>
    <row r="545" spans="1:11" x14ac:dyDescent="0.3">
      <c r="A545" s="14">
        <v>2021</v>
      </c>
      <c r="B545" s="14">
        <f t="shared" si="26"/>
        <v>48</v>
      </c>
      <c r="C545" s="9">
        <v>44529</v>
      </c>
      <c r="D545" s="9">
        <v>44533</v>
      </c>
      <c r="E545" s="14">
        <f>VLOOKUP(F545,CarrierID!A:B,2,0)</f>
        <v>11</v>
      </c>
      <c r="F545" s="15" t="s">
        <v>5</v>
      </c>
      <c r="G545" t="str">
        <f>VLOOKUP(F545,Carrier_Category!A:B,2,0)</f>
        <v>Intercity</v>
      </c>
      <c r="H545" s="5">
        <v>21</v>
      </c>
      <c r="I545" s="7">
        <f t="shared" si="28"/>
        <v>19</v>
      </c>
      <c r="J545" s="5">
        <v>578</v>
      </c>
      <c r="K545" s="18">
        <f t="shared" si="27"/>
        <v>27.523809523809526</v>
      </c>
    </row>
    <row r="546" spans="1:11" x14ac:dyDescent="0.3">
      <c r="A546" s="14">
        <v>2021</v>
      </c>
      <c r="B546" s="14">
        <f t="shared" si="26"/>
        <v>48</v>
      </c>
      <c r="C546" s="9">
        <v>44529</v>
      </c>
      <c r="D546" s="9">
        <v>44533</v>
      </c>
      <c r="E546" s="14">
        <f>VLOOKUP(F546,CarrierID!A:B,2,0)</f>
        <v>3</v>
      </c>
      <c r="F546" s="15" t="s">
        <v>6</v>
      </c>
      <c r="G546" t="str">
        <f>VLOOKUP(F546,Carrier_Category!A:B,2,0)</f>
        <v>Commuter</v>
      </c>
      <c r="H546" s="5">
        <v>129</v>
      </c>
      <c r="I546" s="7">
        <f t="shared" si="28"/>
        <v>126</v>
      </c>
      <c r="J546" s="5">
        <v>3908</v>
      </c>
      <c r="K546" s="18">
        <f t="shared" si="27"/>
        <v>30.294573643410853</v>
      </c>
    </row>
    <row r="547" spans="1:11" x14ac:dyDescent="0.3">
      <c r="A547" s="14">
        <v>2021</v>
      </c>
      <c r="B547" s="14">
        <f t="shared" si="26"/>
        <v>48</v>
      </c>
      <c r="C547" s="9">
        <v>44529</v>
      </c>
      <c r="D547" s="9">
        <v>44533</v>
      </c>
      <c r="E547" s="14">
        <f>VLOOKUP(F547,CarrierID!A:B,2,0)</f>
        <v>12</v>
      </c>
      <c r="F547" s="15" t="s">
        <v>25</v>
      </c>
      <c r="G547" t="str">
        <f>VLOOKUP(F547,Carrier_Category!A:B,2,0)</f>
        <v>Commuter</v>
      </c>
      <c r="H547" s="5">
        <v>18</v>
      </c>
      <c r="I547" s="7">
        <f t="shared" si="28"/>
        <v>18</v>
      </c>
      <c r="J547" s="5">
        <v>562</v>
      </c>
      <c r="K547" s="18">
        <f t="shared" si="27"/>
        <v>31.222222222222221</v>
      </c>
    </row>
    <row r="548" spans="1:11" x14ac:dyDescent="0.3">
      <c r="A548" s="14">
        <v>2021</v>
      </c>
      <c r="B548" s="14">
        <f t="shared" si="26"/>
        <v>48</v>
      </c>
      <c r="C548" s="9">
        <v>44529</v>
      </c>
      <c r="D548" s="9">
        <v>44533</v>
      </c>
      <c r="E548" s="14">
        <f>VLOOKUP(F548,CarrierID!A:B,2,0)</f>
        <v>10</v>
      </c>
      <c r="F548" s="15" t="s">
        <v>8</v>
      </c>
      <c r="G548" t="str">
        <f>VLOOKUP(F548,Carrier_Category!A:B,2,0)</f>
        <v>Intercity</v>
      </c>
      <c r="H548" s="5">
        <v>27</v>
      </c>
      <c r="I548" s="7">
        <f t="shared" si="28"/>
        <v>29</v>
      </c>
      <c r="J548" s="5">
        <v>733</v>
      </c>
      <c r="K548" s="18">
        <f t="shared" si="27"/>
        <v>27.148148148148149</v>
      </c>
    </row>
    <row r="549" spans="1:11" x14ac:dyDescent="0.3">
      <c r="A549" s="14">
        <v>2021</v>
      </c>
      <c r="B549" s="14">
        <f t="shared" si="26"/>
        <v>48</v>
      </c>
      <c r="C549" s="9">
        <v>44529</v>
      </c>
      <c r="D549" s="9">
        <v>44533</v>
      </c>
      <c r="E549" s="14">
        <f>VLOOKUP(F549,CarrierID!A:B,2,0)</f>
        <v>4</v>
      </c>
      <c r="F549" s="15" t="s">
        <v>24</v>
      </c>
      <c r="G549" t="str">
        <f>VLOOKUP(F549,Carrier_Category!A:B,2,0)</f>
        <v>Commuter</v>
      </c>
      <c r="H549" s="5">
        <v>37</v>
      </c>
      <c r="I549" s="7">
        <f t="shared" si="28"/>
        <v>37</v>
      </c>
      <c r="J549" s="5">
        <v>428</v>
      </c>
      <c r="K549" s="18">
        <f t="shared" si="27"/>
        <v>11.567567567567568</v>
      </c>
    </row>
    <row r="550" spans="1:11" x14ac:dyDescent="0.3">
      <c r="A550" s="14">
        <v>2021</v>
      </c>
      <c r="B550" s="14">
        <f t="shared" si="26"/>
        <v>48</v>
      </c>
      <c r="C550" s="9">
        <v>44529</v>
      </c>
      <c r="D550" s="9">
        <v>44533</v>
      </c>
      <c r="E550" s="14">
        <f>VLOOKUP(F550,CarrierID!A:B,2,0)</f>
        <v>6</v>
      </c>
      <c r="F550" s="15" t="s">
        <v>9</v>
      </c>
      <c r="G550" t="str">
        <f>VLOOKUP(F550,Carrier_Category!A:B,2,0)</f>
        <v>Commuter</v>
      </c>
      <c r="H550" s="5">
        <v>92</v>
      </c>
      <c r="I550" s="7">
        <f t="shared" si="28"/>
        <v>99</v>
      </c>
      <c r="J550" s="5">
        <v>1638</v>
      </c>
      <c r="K550" s="18">
        <f t="shared" si="27"/>
        <v>17.804347826086957</v>
      </c>
    </row>
    <row r="551" spans="1:11" x14ac:dyDescent="0.3">
      <c r="A551" s="14">
        <v>2021</v>
      </c>
      <c r="B551" s="14">
        <f t="shared" si="26"/>
        <v>49</v>
      </c>
      <c r="C551" s="9">
        <v>44536</v>
      </c>
      <c r="D551" s="9">
        <v>44540</v>
      </c>
      <c r="E551" s="14">
        <f>VLOOKUP(F551,CarrierID!A:B,2,0)</f>
        <v>1</v>
      </c>
      <c r="F551" s="15" t="s">
        <v>0</v>
      </c>
      <c r="G551" t="str">
        <f>VLOOKUP(F551,Carrier_Category!A:B,2,0)</f>
        <v>Commuter</v>
      </c>
      <c r="H551" s="5">
        <v>35</v>
      </c>
      <c r="I551" s="7">
        <f t="shared" si="28"/>
        <v>36</v>
      </c>
      <c r="J551" s="5">
        <v>1043</v>
      </c>
      <c r="K551" s="18">
        <f t="shared" si="27"/>
        <v>29.8</v>
      </c>
    </row>
    <row r="552" spans="1:11" x14ac:dyDescent="0.3">
      <c r="A552" s="14">
        <v>2021</v>
      </c>
      <c r="B552" s="14">
        <f t="shared" si="26"/>
        <v>49</v>
      </c>
      <c r="C552" s="9">
        <v>44536</v>
      </c>
      <c r="D552" s="9">
        <v>44540</v>
      </c>
      <c r="E552" s="14">
        <f>VLOOKUP(F552,CarrierID!A:B,2,0)</f>
        <v>5</v>
      </c>
      <c r="F552" s="15" t="s">
        <v>1</v>
      </c>
      <c r="G552" t="str">
        <f>VLOOKUP(F552,Carrier_Category!A:B,2,0)</f>
        <v>Intercity</v>
      </c>
      <c r="H552" s="5">
        <v>54</v>
      </c>
      <c r="I552" s="7">
        <f t="shared" si="28"/>
        <v>55</v>
      </c>
      <c r="J552" s="5">
        <v>1098</v>
      </c>
      <c r="K552" s="18">
        <f t="shared" si="27"/>
        <v>20.333333333333332</v>
      </c>
    </row>
    <row r="553" spans="1:11" x14ac:dyDescent="0.3">
      <c r="A553" s="14">
        <v>2021</v>
      </c>
      <c r="B553" s="14">
        <f t="shared" si="26"/>
        <v>49</v>
      </c>
      <c r="C553" s="9">
        <v>44536</v>
      </c>
      <c r="D553" s="9">
        <v>44540</v>
      </c>
      <c r="E553" s="14">
        <f>VLOOKUP(F553,CarrierID!A:B,2,0)</f>
        <v>8</v>
      </c>
      <c r="F553" s="15" t="s">
        <v>2</v>
      </c>
      <c r="G553" t="str">
        <f>VLOOKUP(F553,Carrier_Category!A:B,2,0)</f>
        <v>Commuter</v>
      </c>
      <c r="H553" s="5">
        <v>18</v>
      </c>
      <c r="I553" s="7">
        <f t="shared" si="28"/>
        <v>18</v>
      </c>
      <c r="J553" s="5">
        <v>738</v>
      </c>
      <c r="K553" s="18">
        <f t="shared" si="27"/>
        <v>41</v>
      </c>
    </row>
    <row r="554" spans="1:11" x14ac:dyDescent="0.3">
      <c r="A554" s="14">
        <v>2021</v>
      </c>
      <c r="B554" s="14">
        <f t="shared" si="26"/>
        <v>49</v>
      </c>
      <c r="C554" s="9">
        <v>44536</v>
      </c>
      <c r="D554" s="9">
        <v>44540</v>
      </c>
      <c r="E554" s="14">
        <f>VLOOKUP(F554,CarrierID!A:B,2,0)</f>
        <v>9</v>
      </c>
      <c r="F554" s="15" t="s">
        <v>3</v>
      </c>
      <c r="G554" t="str">
        <f>VLOOKUP(F554,Carrier_Category!A:B,2,0)</f>
        <v>NJT</v>
      </c>
      <c r="H554" s="5">
        <v>2149</v>
      </c>
      <c r="I554" s="7">
        <f t="shared" si="28"/>
        <v>2155</v>
      </c>
      <c r="J554" s="5">
        <v>51723</v>
      </c>
      <c r="K554" s="18">
        <f t="shared" si="27"/>
        <v>24.068403908794789</v>
      </c>
    </row>
    <row r="555" spans="1:11" x14ac:dyDescent="0.3">
      <c r="A555" s="14">
        <v>2021</v>
      </c>
      <c r="B555" s="14">
        <f t="shared" si="26"/>
        <v>49</v>
      </c>
      <c r="C555" s="9">
        <v>44536</v>
      </c>
      <c r="D555" s="9">
        <v>44540</v>
      </c>
      <c r="E555" s="14">
        <f>VLOOKUP(F555,CarrierID!A:B,2,0)</f>
        <v>7</v>
      </c>
      <c r="F555" s="15" t="s">
        <v>4</v>
      </c>
      <c r="G555" t="str">
        <f>VLOOKUP(F555,Carrier_Category!A:B,2,0)</f>
        <v>Commuter</v>
      </c>
      <c r="H555" s="5">
        <v>29</v>
      </c>
      <c r="I555" s="7">
        <f t="shared" si="28"/>
        <v>29</v>
      </c>
      <c r="J555" s="5">
        <v>796</v>
      </c>
      <c r="K555" s="18">
        <f t="shared" si="27"/>
        <v>27.448275862068964</v>
      </c>
    </row>
    <row r="556" spans="1:11" x14ac:dyDescent="0.3">
      <c r="A556" s="14">
        <v>2021</v>
      </c>
      <c r="B556" s="14">
        <f t="shared" si="26"/>
        <v>49</v>
      </c>
      <c r="C556" s="9">
        <v>44536</v>
      </c>
      <c r="D556" s="9">
        <v>44540</v>
      </c>
      <c r="E556" s="14">
        <f>VLOOKUP(F556,CarrierID!A:B,2,0)</f>
        <v>11</v>
      </c>
      <c r="F556" s="15" t="s">
        <v>5</v>
      </c>
      <c r="G556" t="str">
        <f>VLOOKUP(F556,Carrier_Category!A:B,2,0)</f>
        <v>Intercity</v>
      </c>
      <c r="H556" s="5">
        <v>19</v>
      </c>
      <c r="I556" s="7">
        <f t="shared" si="28"/>
        <v>21</v>
      </c>
      <c r="J556" s="5">
        <v>405</v>
      </c>
      <c r="K556" s="18">
        <f t="shared" si="27"/>
        <v>21.315789473684209</v>
      </c>
    </row>
    <row r="557" spans="1:11" x14ac:dyDescent="0.3">
      <c r="A557" s="14">
        <v>2021</v>
      </c>
      <c r="B557" s="14">
        <f t="shared" si="26"/>
        <v>49</v>
      </c>
      <c r="C557" s="9">
        <v>44536</v>
      </c>
      <c r="D557" s="9">
        <v>44540</v>
      </c>
      <c r="E557" s="14">
        <f>VLOOKUP(F557,CarrierID!A:B,2,0)</f>
        <v>3</v>
      </c>
      <c r="F557" s="15" t="s">
        <v>6</v>
      </c>
      <c r="G557" t="str">
        <f>VLOOKUP(F557,Carrier_Category!A:B,2,0)</f>
        <v>Commuter</v>
      </c>
      <c r="H557" s="5">
        <v>128</v>
      </c>
      <c r="I557" s="7">
        <f t="shared" si="28"/>
        <v>129</v>
      </c>
      <c r="J557" s="5">
        <v>3680</v>
      </c>
      <c r="K557" s="18">
        <f t="shared" si="27"/>
        <v>28.75</v>
      </c>
    </row>
    <row r="558" spans="1:11" x14ac:dyDescent="0.3">
      <c r="A558" s="14">
        <v>2021</v>
      </c>
      <c r="B558" s="14">
        <f t="shared" si="26"/>
        <v>49</v>
      </c>
      <c r="C558" s="9">
        <v>44536</v>
      </c>
      <c r="D558" s="9">
        <v>44540</v>
      </c>
      <c r="E558" s="14">
        <f>VLOOKUP(F558,CarrierID!A:B,2,0)</f>
        <v>12</v>
      </c>
      <c r="F558" s="15" t="s">
        <v>25</v>
      </c>
      <c r="G558" t="str">
        <f>VLOOKUP(F558,Carrier_Category!A:B,2,0)</f>
        <v>Commuter</v>
      </c>
      <c r="H558" s="5">
        <v>18</v>
      </c>
      <c r="I558" s="7">
        <f t="shared" si="28"/>
        <v>18</v>
      </c>
      <c r="J558" s="5">
        <v>575</v>
      </c>
      <c r="K558" s="18">
        <f t="shared" si="27"/>
        <v>31.944444444444443</v>
      </c>
    </row>
    <row r="559" spans="1:11" x14ac:dyDescent="0.3">
      <c r="A559" s="14">
        <v>2021</v>
      </c>
      <c r="B559" s="14">
        <f t="shared" si="26"/>
        <v>49</v>
      </c>
      <c r="C559" s="9">
        <v>44536</v>
      </c>
      <c r="D559" s="9">
        <v>44540</v>
      </c>
      <c r="E559" s="14">
        <f>VLOOKUP(F559,CarrierID!A:B,2,0)</f>
        <v>10</v>
      </c>
      <c r="F559" s="15" t="s">
        <v>8</v>
      </c>
      <c r="G559" t="str">
        <f>VLOOKUP(F559,Carrier_Category!A:B,2,0)</f>
        <v>Intercity</v>
      </c>
      <c r="H559" s="5">
        <v>28</v>
      </c>
      <c r="I559" s="7">
        <f t="shared" si="28"/>
        <v>27</v>
      </c>
      <c r="J559" s="5">
        <v>578</v>
      </c>
      <c r="K559" s="18">
        <f t="shared" si="27"/>
        <v>20.642857142857142</v>
      </c>
    </row>
    <row r="560" spans="1:11" x14ac:dyDescent="0.3">
      <c r="A560" s="14">
        <v>2021</v>
      </c>
      <c r="B560" s="14">
        <f t="shared" si="26"/>
        <v>49</v>
      </c>
      <c r="C560" s="9">
        <v>44536</v>
      </c>
      <c r="D560" s="9">
        <v>44540</v>
      </c>
      <c r="E560" s="14">
        <f>VLOOKUP(F560,CarrierID!A:B,2,0)</f>
        <v>4</v>
      </c>
      <c r="F560" s="15" t="s">
        <v>24</v>
      </c>
      <c r="G560" t="str">
        <f>VLOOKUP(F560,Carrier_Category!A:B,2,0)</f>
        <v>Commuter</v>
      </c>
      <c r="H560" s="5">
        <v>37</v>
      </c>
      <c r="I560" s="7">
        <f t="shared" si="28"/>
        <v>37</v>
      </c>
      <c r="J560" s="5">
        <v>411</v>
      </c>
      <c r="K560" s="18">
        <f t="shared" si="27"/>
        <v>11.108108108108109</v>
      </c>
    </row>
    <row r="561" spans="1:11" x14ac:dyDescent="0.3">
      <c r="A561" s="14">
        <v>2021</v>
      </c>
      <c r="B561" s="14">
        <f t="shared" si="26"/>
        <v>49</v>
      </c>
      <c r="C561" s="9">
        <v>44536</v>
      </c>
      <c r="D561" s="9">
        <v>44540</v>
      </c>
      <c r="E561" s="14">
        <f>VLOOKUP(F561,CarrierID!A:B,2,0)</f>
        <v>6</v>
      </c>
      <c r="F561" s="15" t="s">
        <v>9</v>
      </c>
      <c r="G561" t="str">
        <f>VLOOKUP(F561,Carrier_Category!A:B,2,0)</f>
        <v>Commuter</v>
      </c>
      <c r="H561" s="5">
        <v>94</v>
      </c>
      <c r="I561" s="7">
        <f t="shared" si="28"/>
        <v>92</v>
      </c>
      <c r="J561" s="5">
        <v>1669</v>
      </c>
      <c r="K561" s="18">
        <f t="shared" si="27"/>
        <v>17.75531914893617</v>
      </c>
    </row>
    <row r="562" spans="1:11" x14ac:dyDescent="0.3">
      <c r="A562" s="14">
        <v>2021</v>
      </c>
      <c r="B562" s="14">
        <f t="shared" si="26"/>
        <v>50</v>
      </c>
      <c r="C562" s="9">
        <v>44543</v>
      </c>
      <c r="D562" s="9">
        <v>44547</v>
      </c>
      <c r="E562" s="14">
        <f>VLOOKUP(F562,CarrierID!A:B,2,0)</f>
        <v>1</v>
      </c>
      <c r="F562" s="15" t="s">
        <v>0</v>
      </c>
      <c r="G562" t="str">
        <f>VLOOKUP(F562,Carrier_Category!A:B,2,0)</f>
        <v>Commuter</v>
      </c>
      <c r="H562" s="5">
        <v>35</v>
      </c>
      <c r="I562" s="7">
        <f t="shared" si="28"/>
        <v>35</v>
      </c>
      <c r="J562" s="5">
        <v>990</v>
      </c>
      <c r="K562" s="18">
        <f t="shared" si="27"/>
        <v>28.285714285714285</v>
      </c>
    </row>
    <row r="563" spans="1:11" x14ac:dyDescent="0.3">
      <c r="A563" s="14">
        <v>2021</v>
      </c>
      <c r="B563" s="14">
        <f t="shared" si="26"/>
        <v>50</v>
      </c>
      <c r="C563" s="9">
        <v>44543</v>
      </c>
      <c r="D563" s="9">
        <v>44547</v>
      </c>
      <c r="E563" s="14">
        <f>VLOOKUP(F563,CarrierID!A:B,2,0)</f>
        <v>5</v>
      </c>
      <c r="F563" s="15" t="s">
        <v>1</v>
      </c>
      <c r="G563" t="str">
        <f>VLOOKUP(F563,Carrier_Category!A:B,2,0)</f>
        <v>Intercity</v>
      </c>
      <c r="H563" s="5">
        <v>55</v>
      </c>
      <c r="I563" s="7">
        <f t="shared" si="28"/>
        <v>54</v>
      </c>
      <c r="J563" s="5">
        <v>1213</v>
      </c>
      <c r="K563" s="18">
        <f t="shared" si="27"/>
        <v>22.054545454545455</v>
      </c>
    </row>
    <row r="564" spans="1:11" x14ac:dyDescent="0.3">
      <c r="A564" s="14">
        <v>2021</v>
      </c>
      <c r="B564" s="14">
        <f t="shared" si="26"/>
        <v>50</v>
      </c>
      <c r="C564" s="9">
        <v>44543</v>
      </c>
      <c r="D564" s="9">
        <v>44547</v>
      </c>
      <c r="E564" s="14">
        <f>VLOOKUP(F564,CarrierID!A:B,2,0)</f>
        <v>8</v>
      </c>
      <c r="F564" s="15" t="s">
        <v>2</v>
      </c>
      <c r="G564" t="str">
        <f>VLOOKUP(F564,Carrier_Category!A:B,2,0)</f>
        <v>Commuter</v>
      </c>
      <c r="H564" s="5">
        <v>18</v>
      </c>
      <c r="I564" s="7">
        <f t="shared" si="28"/>
        <v>18</v>
      </c>
      <c r="J564" s="5">
        <v>739</v>
      </c>
      <c r="K564" s="18">
        <f t="shared" si="27"/>
        <v>41.055555555555557</v>
      </c>
    </row>
    <row r="565" spans="1:11" x14ac:dyDescent="0.3">
      <c r="A565" s="14">
        <v>2021</v>
      </c>
      <c r="B565" s="14">
        <f t="shared" si="26"/>
        <v>50</v>
      </c>
      <c r="C565" s="9">
        <v>44543</v>
      </c>
      <c r="D565" s="9">
        <v>44547</v>
      </c>
      <c r="E565" s="14">
        <f>VLOOKUP(F565,CarrierID!A:B,2,0)</f>
        <v>9</v>
      </c>
      <c r="F565" s="15" t="s">
        <v>3</v>
      </c>
      <c r="G565" t="str">
        <f>VLOOKUP(F565,Carrier_Category!A:B,2,0)</f>
        <v>NJT</v>
      </c>
      <c r="H565" s="5">
        <v>2154</v>
      </c>
      <c r="I565" s="7">
        <f t="shared" si="28"/>
        <v>2149</v>
      </c>
      <c r="J565" s="5">
        <v>49981</v>
      </c>
      <c r="K565" s="18">
        <f t="shared" si="27"/>
        <v>23.20380687093779</v>
      </c>
    </row>
    <row r="566" spans="1:11" x14ac:dyDescent="0.3">
      <c r="A566" s="14">
        <v>2021</v>
      </c>
      <c r="B566" s="14">
        <f t="shared" si="26"/>
        <v>50</v>
      </c>
      <c r="C566" s="9">
        <v>44543</v>
      </c>
      <c r="D566" s="9">
        <v>44547</v>
      </c>
      <c r="E566" s="14">
        <f>VLOOKUP(F566,CarrierID!A:B,2,0)</f>
        <v>7</v>
      </c>
      <c r="F566" s="15" t="s">
        <v>4</v>
      </c>
      <c r="G566" t="str">
        <f>VLOOKUP(F566,Carrier_Category!A:B,2,0)</f>
        <v>Commuter</v>
      </c>
      <c r="H566" s="5">
        <v>29</v>
      </c>
      <c r="I566" s="7">
        <f t="shared" si="28"/>
        <v>29</v>
      </c>
      <c r="J566" s="5">
        <v>790</v>
      </c>
      <c r="K566" s="18">
        <f t="shared" si="27"/>
        <v>27.241379310344829</v>
      </c>
    </row>
    <row r="567" spans="1:11" x14ac:dyDescent="0.3">
      <c r="A567" s="14">
        <v>2021</v>
      </c>
      <c r="B567" s="14">
        <f t="shared" si="26"/>
        <v>50</v>
      </c>
      <c r="C567" s="9">
        <v>44543</v>
      </c>
      <c r="D567" s="9">
        <v>44547</v>
      </c>
      <c r="E567" s="14">
        <f>VLOOKUP(F567,CarrierID!A:B,2,0)</f>
        <v>11</v>
      </c>
      <c r="F567" s="15" t="s">
        <v>5</v>
      </c>
      <c r="G567" t="str">
        <f>VLOOKUP(F567,Carrier_Category!A:B,2,0)</f>
        <v>Intercity</v>
      </c>
      <c r="H567" s="5">
        <v>19</v>
      </c>
      <c r="I567" s="7">
        <f t="shared" si="28"/>
        <v>19</v>
      </c>
      <c r="J567" s="5">
        <v>408</v>
      </c>
      <c r="K567" s="18">
        <f t="shared" si="27"/>
        <v>21.473684210526315</v>
      </c>
    </row>
    <row r="568" spans="1:11" x14ac:dyDescent="0.3">
      <c r="A568" s="14">
        <v>2021</v>
      </c>
      <c r="B568" s="14">
        <f t="shared" si="26"/>
        <v>50</v>
      </c>
      <c r="C568" s="9">
        <v>44543</v>
      </c>
      <c r="D568" s="9">
        <v>44547</v>
      </c>
      <c r="E568" s="14">
        <f>VLOOKUP(F568,CarrierID!A:B,2,0)</f>
        <v>3</v>
      </c>
      <c r="F568" s="15" t="s">
        <v>6</v>
      </c>
      <c r="G568" t="str">
        <f>VLOOKUP(F568,Carrier_Category!A:B,2,0)</f>
        <v>Commuter</v>
      </c>
      <c r="H568" s="5">
        <v>127</v>
      </c>
      <c r="I568" s="7">
        <f t="shared" si="28"/>
        <v>128</v>
      </c>
      <c r="J568" s="5">
        <v>3693</v>
      </c>
      <c r="K568" s="18">
        <f t="shared" si="27"/>
        <v>29.078740157480315</v>
      </c>
    </row>
    <row r="569" spans="1:11" x14ac:dyDescent="0.3">
      <c r="A569" s="14">
        <v>2021</v>
      </c>
      <c r="B569" s="14">
        <f t="shared" si="26"/>
        <v>50</v>
      </c>
      <c r="C569" s="9">
        <v>44543</v>
      </c>
      <c r="D569" s="9">
        <v>44547</v>
      </c>
      <c r="E569" s="14">
        <f>VLOOKUP(F569,CarrierID!A:B,2,0)</f>
        <v>12</v>
      </c>
      <c r="F569" s="15" t="s">
        <v>25</v>
      </c>
      <c r="G569" t="str">
        <f>VLOOKUP(F569,Carrier_Category!A:B,2,0)</f>
        <v>Commuter</v>
      </c>
      <c r="H569" s="5">
        <v>18</v>
      </c>
      <c r="I569" s="7">
        <f t="shared" si="28"/>
        <v>18</v>
      </c>
      <c r="J569" s="5">
        <v>580</v>
      </c>
      <c r="K569" s="18">
        <f t="shared" si="27"/>
        <v>32.222222222222221</v>
      </c>
    </row>
    <row r="570" spans="1:11" x14ac:dyDescent="0.3">
      <c r="A570" s="14">
        <v>2021</v>
      </c>
      <c r="B570" s="14">
        <f t="shared" si="26"/>
        <v>50</v>
      </c>
      <c r="C570" s="9">
        <v>44543</v>
      </c>
      <c r="D570" s="9">
        <v>44547</v>
      </c>
      <c r="E570" s="14">
        <f>VLOOKUP(F570,CarrierID!A:B,2,0)</f>
        <v>10</v>
      </c>
      <c r="F570" s="15" t="s">
        <v>8</v>
      </c>
      <c r="G570" t="str">
        <f>VLOOKUP(F570,Carrier_Category!A:B,2,0)</f>
        <v>Intercity</v>
      </c>
      <c r="H570" s="5">
        <v>29</v>
      </c>
      <c r="I570" s="7">
        <f t="shared" si="28"/>
        <v>28</v>
      </c>
      <c r="J570" s="5">
        <v>657</v>
      </c>
      <c r="K570" s="18">
        <f t="shared" si="27"/>
        <v>22.655172413793103</v>
      </c>
    </row>
    <row r="571" spans="1:11" x14ac:dyDescent="0.3">
      <c r="A571" s="14">
        <v>2021</v>
      </c>
      <c r="B571" s="14">
        <f t="shared" si="26"/>
        <v>50</v>
      </c>
      <c r="C571" s="9">
        <v>44543</v>
      </c>
      <c r="D571" s="9">
        <v>44547</v>
      </c>
      <c r="E571" s="14">
        <f>VLOOKUP(F571,CarrierID!A:B,2,0)</f>
        <v>4</v>
      </c>
      <c r="F571" s="15" t="s">
        <v>24</v>
      </c>
      <c r="G571" t="str">
        <f>VLOOKUP(F571,Carrier_Category!A:B,2,0)</f>
        <v>Commuter</v>
      </c>
      <c r="H571" s="5">
        <v>37</v>
      </c>
      <c r="I571" s="7">
        <f t="shared" si="28"/>
        <v>37</v>
      </c>
      <c r="J571" s="5">
        <v>408</v>
      </c>
      <c r="K571" s="18">
        <f t="shared" si="27"/>
        <v>11.027027027027026</v>
      </c>
    </row>
    <row r="572" spans="1:11" x14ac:dyDescent="0.3">
      <c r="A572" s="14">
        <v>2021</v>
      </c>
      <c r="B572" s="14">
        <f t="shared" si="26"/>
        <v>50</v>
      </c>
      <c r="C572" s="9">
        <v>44543</v>
      </c>
      <c r="D572" s="9">
        <v>44547</v>
      </c>
      <c r="E572" s="14">
        <f>VLOOKUP(F572,CarrierID!A:B,2,0)</f>
        <v>6</v>
      </c>
      <c r="F572" s="15" t="s">
        <v>9</v>
      </c>
      <c r="G572" t="str">
        <f>VLOOKUP(F572,Carrier_Category!A:B,2,0)</f>
        <v>Commuter</v>
      </c>
      <c r="H572" s="5">
        <v>96</v>
      </c>
      <c r="I572" s="7">
        <f t="shared" si="28"/>
        <v>94</v>
      </c>
      <c r="J572" s="5">
        <v>1678</v>
      </c>
      <c r="K572" s="18">
        <f t="shared" si="27"/>
        <v>17.479166666666668</v>
      </c>
    </row>
    <row r="573" spans="1:11" x14ac:dyDescent="0.3">
      <c r="A573" s="14">
        <v>2021</v>
      </c>
      <c r="B573" s="14">
        <f t="shared" si="26"/>
        <v>51</v>
      </c>
      <c r="C573" s="9">
        <v>44550</v>
      </c>
      <c r="D573" s="9">
        <v>44554</v>
      </c>
      <c r="E573" s="14">
        <f>VLOOKUP(F573,CarrierID!A:B,2,0)</f>
        <v>1</v>
      </c>
      <c r="F573" s="15" t="s">
        <v>0</v>
      </c>
      <c r="G573" t="str">
        <f>VLOOKUP(F573,Carrier_Category!A:B,2,0)</f>
        <v>Commuter</v>
      </c>
      <c r="I573" s="7">
        <f t="shared" si="28"/>
        <v>35</v>
      </c>
      <c r="K573" s="18" t="e">
        <f t="shared" si="27"/>
        <v>#DIV/0!</v>
      </c>
    </row>
    <row r="574" spans="1:11" x14ac:dyDescent="0.3">
      <c r="A574" s="14">
        <v>2021</v>
      </c>
      <c r="B574" s="14">
        <f t="shared" si="26"/>
        <v>51</v>
      </c>
      <c r="C574" s="9">
        <v>44550</v>
      </c>
      <c r="D574" s="9">
        <v>44554</v>
      </c>
      <c r="E574" s="14">
        <f>VLOOKUP(F574,CarrierID!A:B,2,0)</f>
        <v>5</v>
      </c>
      <c r="F574" s="15" t="s">
        <v>1</v>
      </c>
      <c r="G574" t="str">
        <f>VLOOKUP(F574,Carrier_Category!A:B,2,0)</f>
        <v>Intercity</v>
      </c>
      <c r="I574" s="7">
        <f t="shared" si="28"/>
        <v>55</v>
      </c>
      <c r="K574" s="18" t="e">
        <f t="shared" si="27"/>
        <v>#DIV/0!</v>
      </c>
    </row>
    <row r="575" spans="1:11" x14ac:dyDescent="0.3">
      <c r="A575" s="14">
        <v>2021</v>
      </c>
      <c r="B575" s="14">
        <f t="shared" si="26"/>
        <v>51</v>
      </c>
      <c r="C575" s="9">
        <v>44550</v>
      </c>
      <c r="D575" s="9">
        <v>44554</v>
      </c>
      <c r="E575" s="14">
        <f>VLOOKUP(F575,CarrierID!A:B,2,0)</f>
        <v>8</v>
      </c>
      <c r="F575" s="15" t="s">
        <v>2</v>
      </c>
      <c r="G575" t="str">
        <f>VLOOKUP(F575,Carrier_Category!A:B,2,0)</f>
        <v>Commuter</v>
      </c>
      <c r="I575" s="7">
        <f t="shared" si="28"/>
        <v>18</v>
      </c>
      <c r="K575" s="18" t="e">
        <f t="shared" si="27"/>
        <v>#DIV/0!</v>
      </c>
    </row>
    <row r="576" spans="1:11" x14ac:dyDescent="0.3">
      <c r="A576" s="14">
        <v>2021</v>
      </c>
      <c r="B576" s="14">
        <f t="shared" si="26"/>
        <v>51</v>
      </c>
      <c r="C576" s="9">
        <v>44550</v>
      </c>
      <c r="D576" s="9">
        <v>44554</v>
      </c>
      <c r="E576" s="14">
        <f>VLOOKUP(F576,CarrierID!A:B,2,0)</f>
        <v>9</v>
      </c>
      <c r="F576" s="15" t="s">
        <v>3</v>
      </c>
      <c r="G576" t="str">
        <f>VLOOKUP(F576,Carrier_Category!A:B,2,0)</f>
        <v>NJT</v>
      </c>
      <c r="H576" s="5">
        <v>2138</v>
      </c>
      <c r="I576" s="7">
        <f t="shared" si="28"/>
        <v>2154</v>
      </c>
      <c r="J576" s="5">
        <v>38741</v>
      </c>
      <c r="K576" s="18">
        <f t="shared" si="27"/>
        <v>18.120205799812908</v>
      </c>
    </row>
    <row r="577" spans="1:11" x14ac:dyDescent="0.3">
      <c r="A577" s="14">
        <v>2021</v>
      </c>
      <c r="B577" s="14">
        <f t="shared" si="26"/>
        <v>51</v>
      </c>
      <c r="C577" s="9">
        <v>44550</v>
      </c>
      <c r="D577" s="9">
        <v>44554</v>
      </c>
      <c r="E577" s="14">
        <f>VLOOKUP(F577,CarrierID!A:B,2,0)</f>
        <v>7</v>
      </c>
      <c r="F577" s="15" t="s">
        <v>4</v>
      </c>
      <c r="G577" t="str">
        <f>VLOOKUP(F577,Carrier_Category!A:B,2,0)</f>
        <v>Commuter</v>
      </c>
      <c r="I577" s="7">
        <f t="shared" si="28"/>
        <v>29</v>
      </c>
      <c r="K577" s="18" t="e">
        <f t="shared" si="27"/>
        <v>#DIV/0!</v>
      </c>
    </row>
    <row r="578" spans="1:11" x14ac:dyDescent="0.3">
      <c r="A578" s="14">
        <v>2021</v>
      </c>
      <c r="B578" s="14">
        <f t="shared" si="26"/>
        <v>51</v>
      </c>
      <c r="C578" s="9">
        <v>44550</v>
      </c>
      <c r="D578" s="9">
        <v>44554</v>
      </c>
      <c r="E578" s="14">
        <f>VLOOKUP(F578,CarrierID!A:B,2,0)</f>
        <v>11</v>
      </c>
      <c r="F578" s="15" t="s">
        <v>5</v>
      </c>
      <c r="G578" t="str">
        <f>VLOOKUP(F578,Carrier_Category!A:B,2,0)</f>
        <v>Intercity</v>
      </c>
      <c r="I578" s="7">
        <f t="shared" si="28"/>
        <v>19</v>
      </c>
      <c r="K578" s="18" t="e">
        <f t="shared" si="27"/>
        <v>#DIV/0!</v>
      </c>
    </row>
    <row r="579" spans="1:11" x14ac:dyDescent="0.3">
      <c r="A579" s="14">
        <v>2021</v>
      </c>
      <c r="B579" s="14">
        <f t="shared" si="26"/>
        <v>51</v>
      </c>
      <c r="C579" s="9">
        <v>44550</v>
      </c>
      <c r="D579" s="9">
        <v>44554</v>
      </c>
      <c r="E579" s="14">
        <f>VLOOKUP(F579,CarrierID!A:B,2,0)</f>
        <v>3</v>
      </c>
      <c r="F579" s="15" t="s">
        <v>6</v>
      </c>
      <c r="G579" t="str">
        <f>VLOOKUP(F579,Carrier_Category!A:B,2,0)</f>
        <v>Commuter</v>
      </c>
      <c r="I579" s="7">
        <f t="shared" si="28"/>
        <v>127</v>
      </c>
      <c r="K579" s="18" t="e">
        <f t="shared" si="27"/>
        <v>#DIV/0!</v>
      </c>
    </row>
    <row r="580" spans="1:11" x14ac:dyDescent="0.3">
      <c r="A580" s="14">
        <v>2021</v>
      </c>
      <c r="B580" s="14">
        <f t="shared" si="26"/>
        <v>51</v>
      </c>
      <c r="C580" s="9">
        <v>44550</v>
      </c>
      <c r="D580" s="9">
        <v>44554</v>
      </c>
      <c r="E580" s="14">
        <f>VLOOKUP(F580,CarrierID!A:B,2,0)</f>
        <v>12</v>
      </c>
      <c r="F580" s="15" t="s">
        <v>25</v>
      </c>
      <c r="G580" t="str">
        <f>VLOOKUP(F580,Carrier_Category!A:B,2,0)</f>
        <v>Commuter</v>
      </c>
      <c r="I580" s="7">
        <f t="shared" si="28"/>
        <v>18</v>
      </c>
      <c r="K580" s="18" t="e">
        <f t="shared" si="27"/>
        <v>#DIV/0!</v>
      </c>
    </row>
    <row r="581" spans="1:11" x14ac:dyDescent="0.3">
      <c r="A581" s="14">
        <v>2021</v>
      </c>
      <c r="B581" s="14">
        <f t="shared" ref="B581:B644" si="29">_xlfn.ISOWEEKNUM(C581)</f>
        <v>51</v>
      </c>
      <c r="C581" s="9">
        <v>44550</v>
      </c>
      <c r="D581" s="9">
        <v>44554</v>
      </c>
      <c r="E581" s="14">
        <f>VLOOKUP(F581,CarrierID!A:B,2,0)</f>
        <v>10</v>
      </c>
      <c r="F581" s="15" t="s">
        <v>8</v>
      </c>
      <c r="G581" t="str">
        <f>VLOOKUP(F581,Carrier_Category!A:B,2,0)</f>
        <v>Intercity</v>
      </c>
      <c r="I581" s="7">
        <f t="shared" si="28"/>
        <v>29</v>
      </c>
      <c r="K581" s="18" t="e">
        <f t="shared" ref="K581:K644" si="30">J581/H581</f>
        <v>#DIV/0!</v>
      </c>
    </row>
    <row r="582" spans="1:11" x14ac:dyDescent="0.3">
      <c r="A582" s="14">
        <v>2021</v>
      </c>
      <c r="B582" s="14">
        <f t="shared" si="29"/>
        <v>51</v>
      </c>
      <c r="C582" s="9">
        <v>44550</v>
      </c>
      <c r="D582" s="9">
        <v>44554</v>
      </c>
      <c r="E582" s="14">
        <f>VLOOKUP(F582,CarrierID!A:B,2,0)</f>
        <v>4</v>
      </c>
      <c r="F582" s="15" t="s">
        <v>24</v>
      </c>
      <c r="G582" t="str">
        <f>VLOOKUP(F582,Carrier_Category!A:B,2,0)</f>
        <v>Commuter</v>
      </c>
      <c r="I582" s="7">
        <f t="shared" si="28"/>
        <v>37</v>
      </c>
      <c r="K582" s="18" t="e">
        <f t="shared" si="30"/>
        <v>#DIV/0!</v>
      </c>
    </row>
    <row r="583" spans="1:11" x14ac:dyDescent="0.3">
      <c r="A583" s="14">
        <v>2021</v>
      </c>
      <c r="B583" s="14">
        <f t="shared" si="29"/>
        <v>51</v>
      </c>
      <c r="C583" s="9">
        <v>44550</v>
      </c>
      <c r="D583" s="9">
        <v>44554</v>
      </c>
      <c r="E583" s="14">
        <f>VLOOKUP(F583,CarrierID!A:B,2,0)</f>
        <v>6</v>
      </c>
      <c r="F583" s="15" t="s">
        <v>9</v>
      </c>
      <c r="G583" t="str">
        <f>VLOOKUP(F583,Carrier_Category!A:B,2,0)</f>
        <v>Commuter</v>
      </c>
      <c r="I583" s="7">
        <f t="shared" si="28"/>
        <v>96</v>
      </c>
      <c r="K583" s="18" t="e">
        <f t="shared" si="30"/>
        <v>#DIV/0!</v>
      </c>
    </row>
    <row r="584" spans="1:11" x14ac:dyDescent="0.3">
      <c r="A584" s="14">
        <v>2021</v>
      </c>
      <c r="B584" s="14">
        <f t="shared" si="29"/>
        <v>51</v>
      </c>
      <c r="C584" s="9">
        <v>44550</v>
      </c>
      <c r="D584" s="9">
        <v>44554</v>
      </c>
      <c r="E584" s="14">
        <f>VLOOKUP(F584,CarrierID!A:B,2,0)</f>
        <v>1</v>
      </c>
      <c r="F584" s="15" t="s">
        <v>0</v>
      </c>
      <c r="G584" t="str">
        <f>VLOOKUP(F584,Carrier_Category!A:B,2,0)</f>
        <v>Commuter</v>
      </c>
      <c r="I584" s="7">
        <f t="shared" si="28"/>
        <v>0</v>
      </c>
      <c r="K584" s="18" t="e">
        <f t="shared" si="30"/>
        <v>#DIV/0!</v>
      </c>
    </row>
    <row r="585" spans="1:11" x14ac:dyDescent="0.3">
      <c r="A585" s="14">
        <v>2021</v>
      </c>
      <c r="B585" s="14">
        <f t="shared" si="29"/>
        <v>51</v>
      </c>
      <c r="C585" s="9">
        <v>44550</v>
      </c>
      <c r="D585" s="9">
        <v>44554</v>
      </c>
      <c r="E585" s="14">
        <f>VLOOKUP(F585,CarrierID!A:B,2,0)</f>
        <v>5</v>
      </c>
      <c r="F585" s="15" t="s">
        <v>1</v>
      </c>
      <c r="G585" t="str">
        <f>VLOOKUP(F585,Carrier_Category!A:B,2,0)</f>
        <v>Intercity</v>
      </c>
      <c r="I585" s="7">
        <f t="shared" si="28"/>
        <v>0</v>
      </c>
      <c r="K585" s="18" t="e">
        <f t="shared" si="30"/>
        <v>#DIV/0!</v>
      </c>
    </row>
    <row r="586" spans="1:11" x14ac:dyDescent="0.3">
      <c r="A586" s="14">
        <v>2021</v>
      </c>
      <c r="B586" s="14">
        <f t="shared" si="29"/>
        <v>51</v>
      </c>
      <c r="C586" s="9">
        <v>44550</v>
      </c>
      <c r="D586" s="9">
        <v>44554</v>
      </c>
      <c r="E586" s="14">
        <f>VLOOKUP(F586,CarrierID!A:B,2,0)</f>
        <v>8</v>
      </c>
      <c r="F586" s="15" t="s">
        <v>2</v>
      </c>
      <c r="G586" t="str">
        <f>VLOOKUP(F586,Carrier_Category!A:B,2,0)</f>
        <v>Commuter</v>
      </c>
      <c r="I586" s="7">
        <f t="shared" si="28"/>
        <v>0</v>
      </c>
      <c r="K586" s="18" t="e">
        <f t="shared" si="30"/>
        <v>#DIV/0!</v>
      </c>
    </row>
    <row r="587" spans="1:11" x14ac:dyDescent="0.3">
      <c r="A587" s="14">
        <v>2021</v>
      </c>
      <c r="B587" s="14">
        <f t="shared" si="29"/>
        <v>51</v>
      </c>
      <c r="C587" s="9">
        <v>44550</v>
      </c>
      <c r="D587" s="9">
        <v>44554</v>
      </c>
      <c r="E587" s="14">
        <f>VLOOKUP(F587,CarrierID!A:B,2,0)</f>
        <v>9</v>
      </c>
      <c r="F587" s="15" t="s">
        <v>3</v>
      </c>
      <c r="G587" t="str">
        <f>VLOOKUP(F587,Carrier_Category!A:B,2,0)</f>
        <v>NJT</v>
      </c>
      <c r="I587" s="7">
        <f t="shared" si="28"/>
        <v>2138</v>
      </c>
      <c r="K587" s="18" t="e">
        <f t="shared" si="30"/>
        <v>#DIV/0!</v>
      </c>
    </row>
    <row r="588" spans="1:11" x14ac:dyDescent="0.3">
      <c r="A588" s="14">
        <v>2021</v>
      </c>
      <c r="B588" s="14">
        <f t="shared" si="29"/>
        <v>51</v>
      </c>
      <c r="C588" s="9">
        <v>44550</v>
      </c>
      <c r="D588" s="9">
        <v>44554</v>
      </c>
      <c r="E588" s="14">
        <f>VLOOKUP(F588,CarrierID!A:B,2,0)</f>
        <v>7</v>
      </c>
      <c r="F588" s="15" t="s">
        <v>4</v>
      </c>
      <c r="G588" t="str">
        <f>VLOOKUP(F588,Carrier_Category!A:B,2,0)</f>
        <v>Commuter</v>
      </c>
      <c r="I588" s="7">
        <f t="shared" si="28"/>
        <v>0</v>
      </c>
      <c r="K588" s="18" t="e">
        <f t="shared" si="30"/>
        <v>#DIV/0!</v>
      </c>
    </row>
    <row r="589" spans="1:11" x14ac:dyDescent="0.3">
      <c r="A589" s="14">
        <v>2021</v>
      </c>
      <c r="B589" s="14">
        <f t="shared" si="29"/>
        <v>51</v>
      </c>
      <c r="C589" s="9">
        <v>44550</v>
      </c>
      <c r="D589" s="9">
        <v>44554</v>
      </c>
      <c r="E589" s="14">
        <f>VLOOKUP(F589,CarrierID!A:B,2,0)</f>
        <v>11</v>
      </c>
      <c r="F589" s="15" t="s">
        <v>5</v>
      </c>
      <c r="G589" t="str">
        <f>VLOOKUP(F589,Carrier_Category!A:B,2,0)</f>
        <v>Intercity</v>
      </c>
      <c r="I589" s="7">
        <f t="shared" ref="I589:I652" si="31">H578</f>
        <v>0</v>
      </c>
      <c r="K589" s="18" t="e">
        <f t="shared" si="30"/>
        <v>#DIV/0!</v>
      </c>
    </row>
    <row r="590" spans="1:11" x14ac:dyDescent="0.3">
      <c r="A590" s="14">
        <v>2021</v>
      </c>
      <c r="B590" s="14">
        <f t="shared" si="29"/>
        <v>51</v>
      </c>
      <c r="C590" s="9">
        <v>44550</v>
      </c>
      <c r="D590" s="9">
        <v>44554</v>
      </c>
      <c r="E590" s="14">
        <f>VLOOKUP(F590,CarrierID!A:B,2,0)</f>
        <v>3</v>
      </c>
      <c r="F590" s="15" t="s">
        <v>6</v>
      </c>
      <c r="G590" t="str">
        <f>VLOOKUP(F590,Carrier_Category!A:B,2,0)</f>
        <v>Commuter</v>
      </c>
      <c r="I590" s="7">
        <f t="shared" si="31"/>
        <v>0</v>
      </c>
      <c r="K590" s="18" t="e">
        <f t="shared" si="30"/>
        <v>#DIV/0!</v>
      </c>
    </row>
    <row r="591" spans="1:11" x14ac:dyDescent="0.3">
      <c r="A591" s="14">
        <v>2021</v>
      </c>
      <c r="B591" s="14">
        <f t="shared" si="29"/>
        <v>51</v>
      </c>
      <c r="C591" s="9">
        <v>44550</v>
      </c>
      <c r="D591" s="9">
        <v>44554</v>
      </c>
      <c r="E591" s="14">
        <f>VLOOKUP(F591,CarrierID!A:B,2,0)</f>
        <v>12</v>
      </c>
      <c r="F591" s="15" t="s">
        <v>25</v>
      </c>
      <c r="G591" t="str">
        <f>VLOOKUP(F591,Carrier_Category!A:B,2,0)</f>
        <v>Commuter</v>
      </c>
      <c r="I591" s="7">
        <f t="shared" si="31"/>
        <v>0</v>
      </c>
      <c r="K591" s="18" t="e">
        <f t="shared" si="30"/>
        <v>#DIV/0!</v>
      </c>
    </row>
    <row r="592" spans="1:11" x14ac:dyDescent="0.3">
      <c r="A592" s="14">
        <v>2021</v>
      </c>
      <c r="B592" s="14">
        <f t="shared" si="29"/>
        <v>51</v>
      </c>
      <c r="C592" s="9">
        <v>44550</v>
      </c>
      <c r="D592" s="9">
        <v>44554</v>
      </c>
      <c r="E592" s="14">
        <f>VLOOKUP(F592,CarrierID!A:B,2,0)</f>
        <v>10</v>
      </c>
      <c r="F592" s="15" t="s">
        <v>8</v>
      </c>
      <c r="G592" t="str">
        <f>VLOOKUP(F592,Carrier_Category!A:B,2,0)</f>
        <v>Intercity</v>
      </c>
      <c r="I592" s="7">
        <f t="shared" si="31"/>
        <v>0</v>
      </c>
      <c r="K592" s="18" t="e">
        <f t="shared" si="30"/>
        <v>#DIV/0!</v>
      </c>
    </row>
    <row r="593" spans="1:11" x14ac:dyDescent="0.3">
      <c r="A593" s="14">
        <v>2021</v>
      </c>
      <c r="B593" s="14">
        <f t="shared" si="29"/>
        <v>51</v>
      </c>
      <c r="C593" s="9">
        <v>44550</v>
      </c>
      <c r="D593" s="9">
        <v>44554</v>
      </c>
      <c r="E593" s="14">
        <f>VLOOKUP(F593,CarrierID!A:B,2,0)</f>
        <v>4</v>
      </c>
      <c r="F593" s="15" t="s">
        <v>24</v>
      </c>
      <c r="G593" t="str">
        <f>VLOOKUP(F593,Carrier_Category!A:B,2,0)</f>
        <v>Commuter</v>
      </c>
      <c r="I593" s="7">
        <f t="shared" si="31"/>
        <v>0</v>
      </c>
      <c r="K593" s="18" t="e">
        <f t="shared" si="30"/>
        <v>#DIV/0!</v>
      </c>
    </row>
    <row r="594" spans="1:11" x14ac:dyDescent="0.3">
      <c r="A594" s="14">
        <v>2021</v>
      </c>
      <c r="B594" s="14">
        <f t="shared" si="29"/>
        <v>51</v>
      </c>
      <c r="C594" s="9">
        <v>44550</v>
      </c>
      <c r="D594" s="9">
        <v>44554</v>
      </c>
      <c r="E594" s="14">
        <f>VLOOKUP(F594,CarrierID!A:B,2,0)</f>
        <v>6</v>
      </c>
      <c r="F594" s="15" t="s">
        <v>9</v>
      </c>
      <c r="G594" t="str">
        <f>VLOOKUP(F594,Carrier_Category!A:B,2,0)</f>
        <v>Commuter</v>
      </c>
      <c r="I594" s="7">
        <f t="shared" si="31"/>
        <v>0</v>
      </c>
      <c r="K594" s="18" t="e">
        <f t="shared" si="30"/>
        <v>#DIV/0!</v>
      </c>
    </row>
    <row r="595" spans="1:11" x14ac:dyDescent="0.3">
      <c r="A595" s="14">
        <v>2022</v>
      </c>
      <c r="B595" s="14">
        <f t="shared" si="29"/>
        <v>1</v>
      </c>
      <c r="C595" s="9">
        <v>44564</v>
      </c>
      <c r="D595" s="9">
        <v>44568</v>
      </c>
      <c r="E595" s="14">
        <f>VLOOKUP(F595,CarrierID!A:B,2,0)</f>
        <v>1</v>
      </c>
      <c r="F595" s="15" t="s">
        <v>0</v>
      </c>
      <c r="G595" t="str">
        <f>VLOOKUP(F595,Carrier_Category!A:B,2,0)</f>
        <v>Commuter</v>
      </c>
      <c r="H595" s="5">
        <v>36</v>
      </c>
      <c r="I595" s="7">
        <f t="shared" si="31"/>
        <v>0</v>
      </c>
      <c r="J595" s="5">
        <v>626</v>
      </c>
      <c r="K595" s="18">
        <f t="shared" si="30"/>
        <v>17.388888888888889</v>
      </c>
    </row>
    <row r="596" spans="1:11" x14ac:dyDescent="0.3">
      <c r="A596" s="14">
        <v>2022</v>
      </c>
      <c r="B596" s="14">
        <f t="shared" si="29"/>
        <v>1</v>
      </c>
      <c r="C596" s="9">
        <v>44564</v>
      </c>
      <c r="D596" s="9">
        <v>44568</v>
      </c>
      <c r="E596" s="14">
        <f>VLOOKUP(F596,CarrierID!A:B,2,0)</f>
        <v>5</v>
      </c>
      <c r="F596" s="15" t="s">
        <v>1</v>
      </c>
      <c r="G596" t="str">
        <f>VLOOKUP(F596,Carrier_Category!A:B,2,0)</f>
        <v>Intercity</v>
      </c>
      <c r="H596" s="5">
        <v>55</v>
      </c>
      <c r="I596" s="7">
        <f t="shared" si="31"/>
        <v>0</v>
      </c>
      <c r="J596" s="5">
        <v>1213</v>
      </c>
      <c r="K596" s="18">
        <f t="shared" si="30"/>
        <v>22.054545454545455</v>
      </c>
    </row>
    <row r="597" spans="1:11" x14ac:dyDescent="0.3">
      <c r="A597" s="14">
        <v>2022</v>
      </c>
      <c r="B597" s="14">
        <f t="shared" si="29"/>
        <v>1</v>
      </c>
      <c r="C597" s="9">
        <v>44564</v>
      </c>
      <c r="D597" s="9">
        <v>44568</v>
      </c>
      <c r="E597" s="14">
        <f>VLOOKUP(F597,CarrierID!A:B,2,0)</f>
        <v>8</v>
      </c>
      <c r="F597" s="15" t="s">
        <v>2</v>
      </c>
      <c r="G597" t="str">
        <f>VLOOKUP(F597,Carrier_Category!A:B,2,0)</f>
        <v>Commuter</v>
      </c>
      <c r="H597" s="5">
        <v>17</v>
      </c>
      <c r="I597" s="7">
        <f t="shared" si="31"/>
        <v>0</v>
      </c>
      <c r="J597" s="5">
        <v>554</v>
      </c>
      <c r="K597" s="18">
        <f t="shared" si="30"/>
        <v>32.588235294117645</v>
      </c>
    </row>
    <row r="598" spans="1:11" x14ac:dyDescent="0.3">
      <c r="A598" s="14">
        <v>2022</v>
      </c>
      <c r="B598" s="14">
        <f t="shared" si="29"/>
        <v>1</v>
      </c>
      <c r="C598" s="9">
        <v>44564</v>
      </c>
      <c r="D598" s="9">
        <v>44568</v>
      </c>
      <c r="E598" s="14">
        <f>VLOOKUP(F598,CarrierID!A:B,2,0)</f>
        <v>9</v>
      </c>
      <c r="F598" s="15" t="s">
        <v>3</v>
      </c>
      <c r="G598" t="str">
        <f>VLOOKUP(F598,Carrier_Category!A:B,2,0)</f>
        <v>NJT</v>
      </c>
      <c r="H598" s="5">
        <v>1977</v>
      </c>
      <c r="I598" s="7">
        <f t="shared" si="31"/>
        <v>0</v>
      </c>
      <c r="J598" s="5">
        <v>33589</v>
      </c>
      <c r="K598" s="18">
        <f t="shared" si="30"/>
        <v>16.989883662114316</v>
      </c>
    </row>
    <row r="599" spans="1:11" x14ac:dyDescent="0.3">
      <c r="A599" s="14">
        <v>2022</v>
      </c>
      <c r="B599" s="14">
        <f t="shared" si="29"/>
        <v>1</v>
      </c>
      <c r="C599" s="9">
        <v>44564</v>
      </c>
      <c r="D599" s="9">
        <v>44568</v>
      </c>
      <c r="E599" s="14">
        <f>VLOOKUP(F599,CarrierID!A:B,2,0)</f>
        <v>7</v>
      </c>
      <c r="F599" s="15" t="s">
        <v>4</v>
      </c>
      <c r="G599" t="str">
        <f>VLOOKUP(F599,Carrier_Category!A:B,2,0)</f>
        <v>Commuter</v>
      </c>
      <c r="H599" s="5">
        <v>25</v>
      </c>
      <c r="I599" s="7">
        <f t="shared" si="31"/>
        <v>0</v>
      </c>
      <c r="J599" s="5">
        <v>476</v>
      </c>
      <c r="K599" s="18">
        <f t="shared" si="30"/>
        <v>19.04</v>
      </c>
    </row>
    <row r="600" spans="1:11" x14ac:dyDescent="0.3">
      <c r="A600" s="14">
        <v>2022</v>
      </c>
      <c r="B600" s="14">
        <f t="shared" si="29"/>
        <v>1</v>
      </c>
      <c r="C600" s="9">
        <v>44564</v>
      </c>
      <c r="D600" s="9">
        <v>44568</v>
      </c>
      <c r="E600" s="14">
        <f>VLOOKUP(F600,CarrierID!A:B,2,0)</f>
        <v>11</v>
      </c>
      <c r="F600" s="15" t="s">
        <v>5</v>
      </c>
      <c r="G600" t="str">
        <f>VLOOKUP(F600,Carrier_Category!A:B,2,0)</f>
        <v>Intercity</v>
      </c>
      <c r="H600" s="5">
        <v>18</v>
      </c>
      <c r="I600" s="7">
        <f t="shared" si="31"/>
        <v>0</v>
      </c>
      <c r="J600" s="5">
        <v>330</v>
      </c>
      <c r="K600" s="18">
        <f t="shared" si="30"/>
        <v>18.333333333333332</v>
      </c>
    </row>
    <row r="601" spans="1:11" x14ac:dyDescent="0.3">
      <c r="A601" s="14">
        <v>2022</v>
      </c>
      <c r="B601" s="14">
        <f t="shared" si="29"/>
        <v>1</v>
      </c>
      <c r="C601" s="9">
        <v>44564</v>
      </c>
      <c r="D601" s="9">
        <v>44568</v>
      </c>
      <c r="E601" s="14">
        <f>VLOOKUP(F601,CarrierID!A:B,2,0)</f>
        <v>3</v>
      </c>
      <c r="F601" s="15" t="s">
        <v>6</v>
      </c>
      <c r="G601" t="str">
        <f>VLOOKUP(F601,Carrier_Category!A:B,2,0)</f>
        <v>Commuter</v>
      </c>
      <c r="H601" s="5">
        <v>128</v>
      </c>
      <c r="I601" s="7">
        <f t="shared" si="31"/>
        <v>0</v>
      </c>
      <c r="J601" s="5">
        <v>2375</v>
      </c>
      <c r="K601" s="18">
        <f t="shared" si="30"/>
        <v>18.5546875</v>
      </c>
    </row>
    <row r="602" spans="1:11" x14ac:dyDescent="0.3">
      <c r="A602" s="14">
        <v>2022</v>
      </c>
      <c r="B602" s="14">
        <f t="shared" si="29"/>
        <v>1</v>
      </c>
      <c r="C602" s="9">
        <v>44564</v>
      </c>
      <c r="D602" s="9">
        <v>44568</v>
      </c>
      <c r="E602" s="14">
        <f>VLOOKUP(F602,CarrierID!A:B,2,0)</f>
        <v>12</v>
      </c>
      <c r="F602" s="15" t="s">
        <v>25</v>
      </c>
      <c r="G602" t="str">
        <f>VLOOKUP(F602,Carrier_Category!A:B,2,0)</f>
        <v>Commuter</v>
      </c>
      <c r="H602" s="5">
        <v>17</v>
      </c>
      <c r="I602" s="7">
        <f t="shared" si="31"/>
        <v>0</v>
      </c>
      <c r="J602" s="5">
        <v>356</v>
      </c>
      <c r="K602" s="18">
        <f t="shared" si="30"/>
        <v>20.941176470588236</v>
      </c>
    </row>
    <row r="603" spans="1:11" x14ac:dyDescent="0.3">
      <c r="A603" s="14">
        <v>2022</v>
      </c>
      <c r="B603" s="14">
        <f t="shared" si="29"/>
        <v>1</v>
      </c>
      <c r="C603" s="9">
        <v>44564</v>
      </c>
      <c r="D603" s="9">
        <v>44568</v>
      </c>
      <c r="E603" s="14">
        <f>VLOOKUP(F603,CarrierID!A:B,2,0)</f>
        <v>10</v>
      </c>
      <c r="F603" s="15" t="s">
        <v>8</v>
      </c>
      <c r="G603" t="str">
        <f>VLOOKUP(F603,Carrier_Category!A:B,2,0)</f>
        <v>Intercity</v>
      </c>
      <c r="H603" s="5">
        <v>25</v>
      </c>
      <c r="I603" s="7">
        <f t="shared" si="31"/>
        <v>0</v>
      </c>
      <c r="J603" s="5">
        <v>595</v>
      </c>
      <c r="K603" s="18">
        <f t="shared" si="30"/>
        <v>23.8</v>
      </c>
    </row>
    <row r="604" spans="1:11" x14ac:dyDescent="0.3">
      <c r="A604" s="14">
        <v>2022</v>
      </c>
      <c r="B604" s="14">
        <f t="shared" si="29"/>
        <v>1</v>
      </c>
      <c r="C604" s="9">
        <v>44564</v>
      </c>
      <c r="D604" s="9">
        <v>44568</v>
      </c>
      <c r="E604" s="14">
        <f>VLOOKUP(F604,CarrierID!A:B,2,0)</f>
        <v>4</v>
      </c>
      <c r="F604" s="15" t="s">
        <v>24</v>
      </c>
      <c r="G604" t="str">
        <f>VLOOKUP(F604,Carrier_Category!A:B,2,0)</f>
        <v>Commuter</v>
      </c>
      <c r="H604" s="5">
        <v>37</v>
      </c>
      <c r="I604" s="7">
        <f t="shared" si="31"/>
        <v>0</v>
      </c>
      <c r="J604" s="5">
        <v>231</v>
      </c>
      <c r="K604" s="18">
        <f t="shared" si="30"/>
        <v>6.243243243243243</v>
      </c>
    </row>
    <row r="605" spans="1:11" x14ac:dyDescent="0.3">
      <c r="A605" s="14">
        <v>2022</v>
      </c>
      <c r="B605" s="14">
        <f t="shared" si="29"/>
        <v>1</v>
      </c>
      <c r="C605" s="9">
        <v>44564</v>
      </c>
      <c r="D605" s="9">
        <v>44568</v>
      </c>
      <c r="E605" s="14">
        <f>VLOOKUP(F605,CarrierID!A:B,2,0)</f>
        <v>6</v>
      </c>
      <c r="F605" s="15" t="s">
        <v>9</v>
      </c>
      <c r="G605" t="str">
        <f>VLOOKUP(F605,Carrier_Category!A:B,2,0)</f>
        <v>Commuter</v>
      </c>
      <c r="H605" s="5">
        <v>96</v>
      </c>
      <c r="I605" s="7">
        <f t="shared" si="31"/>
        <v>0</v>
      </c>
      <c r="J605" s="5">
        <v>1678</v>
      </c>
      <c r="K605" s="18">
        <f t="shared" si="30"/>
        <v>17.479166666666668</v>
      </c>
    </row>
    <row r="606" spans="1:11" x14ac:dyDescent="0.3">
      <c r="A606" s="14">
        <v>2022</v>
      </c>
      <c r="B606" s="14">
        <f t="shared" si="29"/>
        <v>2</v>
      </c>
      <c r="C606" s="9">
        <v>44571</v>
      </c>
      <c r="D606" s="9">
        <v>44575</v>
      </c>
      <c r="E606" s="14">
        <f>VLOOKUP(F606,CarrierID!A:B,2,0)</f>
        <v>1</v>
      </c>
      <c r="F606" s="15" t="s">
        <v>0</v>
      </c>
      <c r="G606" t="str">
        <f>VLOOKUP(F606,Carrier_Category!A:B,2,0)</f>
        <v>Commuter</v>
      </c>
      <c r="H606" s="5">
        <v>35</v>
      </c>
      <c r="I606" s="7">
        <f t="shared" si="31"/>
        <v>36</v>
      </c>
      <c r="J606" s="5">
        <v>659</v>
      </c>
      <c r="K606" s="18">
        <f t="shared" si="30"/>
        <v>18.828571428571429</v>
      </c>
    </row>
    <row r="607" spans="1:11" x14ac:dyDescent="0.3">
      <c r="A607" s="14">
        <v>2022</v>
      </c>
      <c r="B607" s="14">
        <f t="shared" si="29"/>
        <v>2</v>
      </c>
      <c r="C607" s="9">
        <v>44571</v>
      </c>
      <c r="D607" s="9">
        <v>44575</v>
      </c>
      <c r="E607" s="14">
        <f>VLOOKUP(F607,CarrierID!A:B,2,0)</f>
        <v>5</v>
      </c>
      <c r="F607" s="15" t="s">
        <v>1</v>
      </c>
      <c r="G607" t="str">
        <f>VLOOKUP(F607,Carrier_Category!A:B,2,0)</f>
        <v>Intercity</v>
      </c>
      <c r="H607" s="5">
        <v>42</v>
      </c>
      <c r="I607" s="7">
        <f t="shared" si="31"/>
        <v>55</v>
      </c>
      <c r="J607" s="5">
        <v>765</v>
      </c>
      <c r="K607" s="18">
        <f t="shared" si="30"/>
        <v>18.214285714285715</v>
      </c>
    </row>
    <row r="608" spans="1:11" x14ac:dyDescent="0.3">
      <c r="A608" s="14">
        <v>2022</v>
      </c>
      <c r="B608" s="14">
        <f t="shared" si="29"/>
        <v>2</v>
      </c>
      <c r="C608" s="9">
        <v>44571</v>
      </c>
      <c r="D608" s="9">
        <v>44575</v>
      </c>
      <c r="E608" s="14">
        <f>VLOOKUP(F608,CarrierID!A:B,2,0)</f>
        <v>8</v>
      </c>
      <c r="F608" s="15" t="s">
        <v>2</v>
      </c>
      <c r="G608" t="str">
        <f>VLOOKUP(F608,Carrier_Category!A:B,2,0)</f>
        <v>Commuter</v>
      </c>
      <c r="H608" s="5">
        <v>17</v>
      </c>
      <c r="I608" s="7">
        <f t="shared" si="31"/>
        <v>17</v>
      </c>
      <c r="J608" s="5">
        <v>570</v>
      </c>
      <c r="K608" s="18">
        <f t="shared" si="30"/>
        <v>33.529411764705884</v>
      </c>
    </row>
    <row r="609" spans="1:11" x14ac:dyDescent="0.3">
      <c r="A609" s="14">
        <v>2022</v>
      </c>
      <c r="B609" s="14">
        <f t="shared" si="29"/>
        <v>2</v>
      </c>
      <c r="C609" s="9">
        <v>44571</v>
      </c>
      <c r="D609" s="9">
        <v>44575</v>
      </c>
      <c r="E609" s="14">
        <f>VLOOKUP(F609,CarrierID!A:B,2,0)</f>
        <v>9</v>
      </c>
      <c r="F609" s="15" t="s">
        <v>3</v>
      </c>
      <c r="G609" t="str">
        <f>VLOOKUP(F609,Carrier_Category!A:B,2,0)</f>
        <v>NJT</v>
      </c>
      <c r="H609" s="5">
        <v>2140</v>
      </c>
      <c r="I609" s="7">
        <f t="shared" si="31"/>
        <v>1977</v>
      </c>
      <c r="J609" s="5">
        <v>37462</v>
      </c>
      <c r="K609" s="18">
        <f t="shared" si="30"/>
        <v>17.505607476635515</v>
      </c>
    </row>
    <row r="610" spans="1:11" x14ac:dyDescent="0.3">
      <c r="A610" s="14">
        <v>2022</v>
      </c>
      <c r="B610" s="14">
        <f t="shared" si="29"/>
        <v>2</v>
      </c>
      <c r="C610" s="9">
        <v>44571</v>
      </c>
      <c r="D610" s="9">
        <v>44575</v>
      </c>
      <c r="E610" s="14">
        <f>VLOOKUP(F610,CarrierID!A:B,2,0)</f>
        <v>7</v>
      </c>
      <c r="F610" s="15" t="s">
        <v>4</v>
      </c>
      <c r="G610" t="str">
        <f>VLOOKUP(F610,Carrier_Category!A:B,2,0)</f>
        <v>Commuter</v>
      </c>
      <c r="H610" s="5">
        <v>25</v>
      </c>
      <c r="I610" s="7">
        <f t="shared" si="31"/>
        <v>25</v>
      </c>
      <c r="J610" s="5">
        <v>474</v>
      </c>
      <c r="K610" s="18">
        <f t="shared" si="30"/>
        <v>18.96</v>
      </c>
    </row>
    <row r="611" spans="1:11" x14ac:dyDescent="0.3">
      <c r="A611" s="14">
        <v>2022</v>
      </c>
      <c r="B611" s="14">
        <f t="shared" si="29"/>
        <v>2</v>
      </c>
      <c r="C611" s="9">
        <v>44571</v>
      </c>
      <c r="D611" s="9">
        <v>44575</v>
      </c>
      <c r="E611" s="14">
        <f>VLOOKUP(F611,CarrierID!A:B,2,0)</f>
        <v>11</v>
      </c>
      <c r="F611" s="15" t="s">
        <v>5</v>
      </c>
      <c r="G611" t="str">
        <f>VLOOKUP(F611,Carrier_Category!A:B,2,0)</f>
        <v>Intercity</v>
      </c>
      <c r="H611" s="5">
        <v>19</v>
      </c>
      <c r="I611" s="7">
        <f t="shared" si="31"/>
        <v>18</v>
      </c>
      <c r="J611" s="5">
        <v>300</v>
      </c>
      <c r="K611" s="18">
        <f t="shared" si="30"/>
        <v>15.789473684210526</v>
      </c>
    </row>
    <row r="612" spans="1:11" x14ac:dyDescent="0.3">
      <c r="A612" s="14">
        <v>2022</v>
      </c>
      <c r="B612" s="14">
        <f t="shared" si="29"/>
        <v>2</v>
      </c>
      <c r="C612" s="9">
        <v>44571</v>
      </c>
      <c r="D612" s="9">
        <v>44575</v>
      </c>
      <c r="E612" s="14">
        <f>VLOOKUP(F612,CarrierID!A:B,2,0)</f>
        <v>3</v>
      </c>
      <c r="F612" s="15" t="s">
        <v>6</v>
      </c>
      <c r="G612" t="str">
        <f>VLOOKUP(F612,Carrier_Category!A:B,2,0)</f>
        <v>Commuter</v>
      </c>
      <c r="H612" s="5">
        <v>124</v>
      </c>
      <c r="I612" s="7">
        <f t="shared" si="31"/>
        <v>128</v>
      </c>
      <c r="J612" s="5">
        <v>2381</v>
      </c>
      <c r="K612" s="18">
        <f t="shared" si="30"/>
        <v>19.201612903225808</v>
      </c>
    </row>
    <row r="613" spans="1:11" x14ac:dyDescent="0.3">
      <c r="A613" s="14">
        <v>2022</v>
      </c>
      <c r="B613" s="14">
        <f t="shared" si="29"/>
        <v>2</v>
      </c>
      <c r="C613" s="9">
        <v>44571</v>
      </c>
      <c r="D613" s="9">
        <v>44575</v>
      </c>
      <c r="E613" s="14">
        <f>VLOOKUP(F613,CarrierID!A:B,2,0)</f>
        <v>12</v>
      </c>
      <c r="F613" s="15" t="s">
        <v>25</v>
      </c>
      <c r="G613" t="str">
        <f>VLOOKUP(F613,Carrier_Category!A:B,2,0)</f>
        <v>Commuter</v>
      </c>
      <c r="H613" s="5">
        <v>18</v>
      </c>
      <c r="I613" s="7">
        <f t="shared" si="31"/>
        <v>17</v>
      </c>
      <c r="J613" s="5">
        <v>363</v>
      </c>
      <c r="K613" s="18">
        <f t="shared" si="30"/>
        <v>20.166666666666668</v>
      </c>
    </row>
    <row r="614" spans="1:11" x14ac:dyDescent="0.3">
      <c r="A614" s="14">
        <v>2022</v>
      </c>
      <c r="B614" s="14">
        <f t="shared" si="29"/>
        <v>2</v>
      </c>
      <c r="C614" s="9">
        <v>44571</v>
      </c>
      <c r="D614" s="9">
        <v>44575</v>
      </c>
      <c r="E614" s="14">
        <f>VLOOKUP(F614,CarrierID!A:B,2,0)</f>
        <v>10</v>
      </c>
      <c r="F614" s="15" t="s">
        <v>8</v>
      </c>
      <c r="G614" t="str">
        <f>VLOOKUP(F614,Carrier_Category!A:B,2,0)</f>
        <v>Intercity</v>
      </c>
      <c r="H614" s="5">
        <v>25</v>
      </c>
      <c r="I614" s="7">
        <f t="shared" si="31"/>
        <v>25</v>
      </c>
      <c r="J614" s="5">
        <v>384</v>
      </c>
      <c r="K614" s="18">
        <f t="shared" si="30"/>
        <v>15.36</v>
      </c>
    </row>
    <row r="615" spans="1:11" x14ac:dyDescent="0.3">
      <c r="A615" s="14">
        <v>2022</v>
      </c>
      <c r="B615" s="14">
        <f t="shared" si="29"/>
        <v>2</v>
      </c>
      <c r="C615" s="9">
        <v>44571</v>
      </c>
      <c r="D615" s="9">
        <v>44575</v>
      </c>
      <c r="E615" s="14">
        <f>VLOOKUP(F615,CarrierID!A:B,2,0)</f>
        <v>4</v>
      </c>
      <c r="F615" s="15" t="s">
        <v>24</v>
      </c>
      <c r="G615" t="str">
        <f>VLOOKUP(F615,Carrier_Category!A:B,2,0)</f>
        <v>Commuter</v>
      </c>
      <c r="H615" s="5">
        <v>35</v>
      </c>
      <c r="I615" s="7">
        <f t="shared" si="31"/>
        <v>37</v>
      </c>
      <c r="J615" s="5">
        <v>239</v>
      </c>
      <c r="K615" s="18">
        <f t="shared" si="30"/>
        <v>6.8285714285714283</v>
      </c>
    </row>
    <row r="616" spans="1:11" x14ac:dyDescent="0.3">
      <c r="A616" s="14">
        <v>2022</v>
      </c>
      <c r="B616" s="14">
        <f t="shared" si="29"/>
        <v>2</v>
      </c>
      <c r="C616" s="9">
        <v>44571</v>
      </c>
      <c r="D616" s="9">
        <v>44575</v>
      </c>
      <c r="E616" s="14">
        <f>VLOOKUP(F616,CarrierID!A:B,2,0)</f>
        <v>6</v>
      </c>
      <c r="F616" s="15" t="s">
        <v>9</v>
      </c>
      <c r="G616" t="str">
        <f>VLOOKUP(F616,Carrier_Category!A:B,2,0)</f>
        <v>Commuter</v>
      </c>
      <c r="H616" s="5">
        <v>82</v>
      </c>
      <c r="I616" s="7">
        <f t="shared" si="31"/>
        <v>96</v>
      </c>
      <c r="J616" s="5">
        <v>1169</v>
      </c>
      <c r="K616" s="18">
        <f t="shared" si="30"/>
        <v>14.25609756097561</v>
      </c>
    </row>
    <row r="617" spans="1:11" x14ac:dyDescent="0.3">
      <c r="A617" s="14">
        <v>2022</v>
      </c>
      <c r="B617" s="14">
        <f t="shared" si="29"/>
        <v>3</v>
      </c>
      <c r="C617" s="9">
        <v>44578</v>
      </c>
      <c r="D617" s="9">
        <v>44582</v>
      </c>
      <c r="E617" s="14">
        <f>VLOOKUP(F617,CarrierID!A:B,2,0)</f>
        <v>1</v>
      </c>
      <c r="F617" s="15" t="s">
        <v>0</v>
      </c>
      <c r="G617" t="str">
        <f>VLOOKUP(F617,Carrier_Category!A:B,2,0)</f>
        <v>Commuter</v>
      </c>
      <c r="H617" s="5">
        <v>34</v>
      </c>
      <c r="I617" s="7">
        <f t="shared" si="31"/>
        <v>35</v>
      </c>
      <c r="J617" s="5">
        <v>775</v>
      </c>
      <c r="K617" s="18">
        <f t="shared" si="30"/>
        <v>22.794117647058822</v>
      </c>
    </row>
    <row r="618" spans="1:11" x14ac:dyDescent="0.3">
      <c r="A618" s="14">
        <v>2022</v>
      </c>
      <c r="B618" s="14">
        <f t="shared" si="29"/>
        <v>3</v>
      </c>
      <c r="C618" s="9">
        <v>44578</v>
      </c>
      <c r="D618" s="9">
        <v>44582</v>
      </c>
      <c r="E618" s="14">
        <f>VLOOKUP(F618,CarrierID!A:B,2,0)</f>
        <v>5</v>
      </c>
      <c r="F618" s="15" t="s">
        <v>1</v>
      </c>
      <c r="G618" t="str">
        <f>VLOOKUP(F618,Carrier_Category!A:B,2,0)</f>
        <v>Intercity</v>
      </c>
      <c r="H618" s="5">
        <v>42</v>
      </c>
      <c r="I618" s="7">
        <f t="shared" si="31"/>
        <v>42</v>
      </c>
      <c r="J618" s="5">
        <v>765</v>
      </c>
      <c r="K618" s="18">
        <f t="shared" si="30"/>
        <v>18.214285714285715</v>
      </c>
    </row>
    <row r="619" spans="1:11" x14ac:dyDescent="0.3">
      <c r="A619" s="14">
        <v>2022</v>
      </c>
      <c r="B619" s="14">
        <f t="shared" si="29"/>
        <v>3</v>
      </c>
      <c r="C619" s="9">
        <v>44578</v>
      </c>
      <c r="D619" s="9">
        <v>44582</v>
      </c>
      <c r="E619" s="14">
        <f>VLOOKUP(F619,CarrierID!A:B,2,0)</f>
        <v>8</v>
      </c>
      <c r="F619" s="15" t="s">
        <v>2</v>
      </c>
      <c r="G619" t="str">
        <f>VLOOKUP(F619,Carrier_Category!A:B,2,0)</f>
        <v>Commuter</v>
      </c>
      <c r="H619" s="5">
        <v>17</v>
      </c>
      <c r="I619" s="7">
        <f t="shared" si="31"/>
        <v>17</v>
      </c>
      <c r="J619" s="5">
        <v>606</v>
      </c>
      <c r="K619" s="18">
        <f t="shared" si="30"/>
        <v>35.647058823529413</v>
      </c>
    </row>
    <row r="620" spans="1:11" x14ac:dyDescent="0.3">
      <c r="A620" s="14">
        <v>2022</v>
      </c>
      <c r="B620" s="14">
        <f t="shared" si="29"/>
        <v>3</v>
      </c>
      <c r="C620" s="9">
        <v>44578</v>
      </c>
      <c r="D620" s="9">
        <v>44582</v>
      </c>
      <c r="E620" s="14">
        <f>VLOOKUP(F620,CarrierID!A:B,2,0)</f>
        <v>9</v>
      </c>
      <c r="F620" s="15" t="s">
        <v>3</v>
      </c>
      <c r="G620" t="str">
        <f>VLOOKUP(F620,Carrier_Category!A:B,2,0)</f>
        <v>NJT</v>
      </c>
      <c r="H620" s="5">
        <v>2151</v>
      </c>
      <c r="I620" s="7">
        <f t="shared" si="31"/>
        <v>2140</v>
      </c>
      <c r="J620" s="5">
        <v>40408</v>
      </c>
      <c r="K620" s="18">
        <f t="shared" si="30"/>
        <v>18.785681078568107</v>
      </c>
    </row>
    <row r="621" spans="1:11" x14ac:dyDescent="0.3">
      <c r="A621" s="14">
        <v>2022</v>
      </c>
      <c r="B621" s="14">
        <f t="shared" si="29"/>
        <v>3</v>
      </c>
      <c r="C621" s="9">
        <v>44578</v>
      </c>
      <c r="D621" s="9">
        <v>44582</v>
      </c>
      <c r="E621" s="14">
        <f>VLOOKUP(F621,CarrierID!A:B,2,0)</f>
        <v>7</v>
      </c>
      <c r="F621" s="15" t="s">
        <v>4</v>
      </c>
      <c r="G621" t="str">
        <f>VLOOKUP(F621,Carrier_Category!A:B,2,0)</f>
        <v>Commuter</v>
      </c>
      <c r="H621" s="5">
        <v>25</v>
      </c>
      <c r="I621" s="7">
        <f t="shared" si="31"/>
        <v>25</v>
      </c>
      <c r="J621" s="5">
        <v>543</v>
      </c>
      <c r="K621" s="18">
        <f t="shared" si="30"/>
        <v>21.72</v>
      </c>
    </row>
    <row r="622" spans="1:11" x14ac:dyDescent="0.3">
      <c r="A622" s="14">
        <v>2022</v>
      </c>
      <c r="B622" s="14">
        <f t="shared" si="29"/>
        <v>3</v>
      </c>
      <c r="C622" s="9">
        <v>44578</v>
      </c>
      <c r="D622" s="9">
        <v>44582</v>
      </c>
      <c r="E622" s="14">
        <f>VLOOKUP(F622,CarrierID!A:B,2,0)</f>
        <v>11</v>
      </c>
      <c r="F622" s="15" t="s">
        <v>5</v>
      </c>
      <c r="G622" t="str">
        <f>VLOOKUP(F622,Carrier_Category!A:B,2,0)</f>
        <v>Intercity</v>
      </c>
      <c r="H622" s="5">
        <v>18</v>
      </c>
      <c r="I622" s="7">
        <f t="shared" si="31"/>
        <v>19</v>
      </c>
      <c r="J622" s="5">
        <v>379</v>
      </c>
      <c r="K622" s="18">
        <f t="shared" si="30"/>
        <v>21.055555555555557</v>
      </c>
    </row>
    <row r="623" spans="1:11" x14ac:dyDescent="0.3">
      <c r="A623" s="14">
        <v>2022</v>
      </c>
      <c r="B623" s="14">
        <f t="shared" si="29"/>
        <v>3</v>
      </c>
      <c r="C623" s="9">
        <v>44578</v>
      </c>
      <c r="D623" s="9">
        <v>44582</v>
      </c>
      <c r="E623" s="14">
        <f>VLOOKUP(F623,CarrierID!A:B,2,0)</f>
        <v>3</v>
      </c>
      <c r="F623" s="15" t="s">
        <v>6</v>
      </c>
      <c r="G623" t="str">
        <f>VLOOKUP(F623,Carrier_Category!A:B,2,0)</f>
        <v>Commuter</v>
      </c>
      <c r="H623" s="5">
        <v>123</v>
      </c>
      <c r="I623" s="7">
        <f t="shared" si="31"/>
        <v>124</v>
      </c>
      <c r="J623" s="5">
        <v>2685</v>
      </c>
      <c r="K623" s="18">
        <f t="shared" si="30"/>
        <v>21.829268292682926</v>
      </c>
    </row>
    <row r="624" spans="1:11" x14ac:dyDescent="0.3">
      <c r="A624" s="14">
        <v>2022</v>
      </c>
      <c r="B624" s="14">
        <f t="shared" si="29"/>
        <v>3</v>
      </c>
      <c r="C624" s="9">
        <v>44578</v>
      </c>
      <c r="D624" s="9">
        <v>44582</v>
      </c>
      <c r="E624" s="14">
        <f>VLOOKUP(F624,CarrierID!A:B,2,0)</f>
        <v>12</v>
      </c>
      <c r="F624" s="15" t="s">
        <v>25</v>
      </c>
      <c r="G624" t="str">
        <f>VLOOKUP(F624,Carrier_Category!A:B,2,0)</f>
        <v>Commuter</v>
      </c>
      <c r="H624" s="5">
        <v>18</v>
      </c>
      <c r="I624" s="7">
        <f t="shared" si="31"/>
        <v>18</v>
      </c>
      <c r="J624" s="5">
        <v>420</v>
      </c>
      <c r="K624" s="18">
        <f t="shared" si="30"/>
        <v>23.333333333333332</v>
      </c>
    </row>
    <row r="625" spans="1:11" x14ac:dyDescent="0.3">
      <c r="A625" s="14">
        <v>2022</v>
      </c>
      <c r="B625" s="14">
        <f t="shared" si="29"/>
        <v>3</v>
      </c>
      <c r="C625" s="9">
        <v>44578</v>
      </c>
      <c r="D625" s="9">
        <v>44582</v>
      </c>
      <c r="E625" s="14">
        <f>VLOOKUP(F625,CarrierID!A:B,2,0)</f>
        <v>10</v>
      </c>
      <c r="F625" s="15" t="s">
        <v>8</v>
      </c>
      <c r="G625" t="str">
        <f>VLOOKUP(F625,Carrier_Category!A:B,2,0)</f>
        <v>Intercity</v>
      </c>
      <c r="H625" s="5">
        <v>25</v>
      </c>
      <c r="I625" s="7">
        <f t="shared" si="31"/>
        <v>25</v>
      </c>
      <c r="J625" s="5">
        <v>471</v>
      </c>
      <c r="K625" s="18">
        <f t="shared" si="30"/>
        <v>18.84</v>
      </c>
    </row>
    <row r="626" spans="1:11" x14ac:dyDescent="0.3">
      <c r="A626" s="14">
        <v>2022</v>
      </c>
      <c r="B626" s="14">
        <f t="shared" si="29"/>
        <v>3</v>
      </c>
      <c r="C626" s="9">
        <v>44578</v>
      </c>
      <c r="D626" s="9">
        <v>44582</v>
      </c>
      <c r="E626" s="14">
        <f>VLOOKUP(F626,CarrierID!A:B,2,0)</f>
        <v>4</v>
      </c>
      <c r="F626" s="15" t="s">
        <v>24</v>
      </c>
      <c r="G626" t="str">
        <f>VLOOKUP(F626,Carrier_Category!A:B,2,0)</f>
        <v>Commuter</v>
      </c>
      <c r="H626" s="5">
        <v>37</v>
      </c>
      <c r="I626" s="7">
        <f t="shared" si="31"/>
        <v>35</v>
      </c>
      <c r="J626" s="5">
        <v>286</v>
      </c>
      <c r="K626" s="18">
        <f t="shared" si="30"/>
        <v>7.7297297297297298</v>
      </c>
    </row>
    <row r="627" spans="1:11" x14ac:dyDescent="0.3">
      <c r="A627" s="14">
        <v>2022</v>
      </c>
      <c r="B627" s="14">
        <f t="shared" si="29"/>
        <v>3</v>
      </c>
      <c r="C627" s="9">
        <v>44578</v>
      </c>
      <c r="D627" s="9">
        <v>44582</v>
      </c>
      <c r="E627" s="14">
        <f>VLOOKUP(F627,CarrierID!A:B,2,0)</f>
        <v>6</v>
      </c>
      <c r="F627" s="15" t="s">
        <v>9</v>
      </c>
      <c r="G627" t="str">
        <f>VLOOKUP(F627,Carrier_Category!A:B,2,0)</f>
        <v>Commuter</v>
      </c>
      <c r="H627" s="5">
        <v>81</v>
      </c>
      <c r="I627" s="7">
        <f t="shared" si="31"/>
        <v>82</v>
      </c>
      <c r="J627" s="5">
        <v>1235</v>
      </c>
      <c r="K627" s="18">
        <f t="shared" si="30"/>
        <v>15.246913580246913</v>
      </c>
    </row>
    <row r="628" spans="1:11" x14ac:dyDescent="0.3">
      <c r="A628" s="14">
        <v>2022</v>
      </c>
      <c r="B628" s="14">
        <f t="shared" si="29"/>
        <v>4</v>
      </c>
      <c r="C628" s="9">
        <v>44585</v>
      </c>
      <c r="D628" s="9">
        <v>44589</v>
      </c>
      <c r="E628" s="14">
        <f>VLOOKUP(F628,CarrierID!A:B,2,0)</f>
        <v>1</v>
      </c>
      <c r="F628" s="15" t="s">
        <v>0</v>
      </c>
      <c r="G628" t="str">
        <f>VLOOKUP(F628,Carrier_Category!A:B,2,0)</f>
        <v>Commuter</v>
      </c>
      <c r="H628" s="5">
        <v>35</v>
      </c>
      <c r="I628" s="7">
        <f t="shared" si="31"/>
        <v>34</v>
      </c>
      <c r="J628" s="5">
        <v>815</v>
      </c>
      <c r="K628" s="18">
        <f t="shared" si="30"/>
        <v>23.285714285714285</v>
      </c>
    </row>
    <row r="629" spans="1:11" x14ac:dyDescent="0.3">
      <c r="A629" s="14">
        <v>2022</v>
      </c>
      <c r="B629" s="14">
        <f t="shared" si="29"/>
        <v>4</v>
      </c>
      <c r="C629" s="9">
        <v>44585</v>
      </c>
      <c r="D629" s="9">
        <v>44589</v>
      </c>
      <c r="E629" s="14">
        <f>VLOOKUP(F629,CarrierID!A:B,2,0)</f>
        <v>5</v>
      </c>
      <c r="F629" s="15" t="s">
        <v>1</v>
      </c>
      <c r="G629" t="str">
        <f>VLOOKUP(F629,Carrier_Category!A:B,2,0)</f>
        <v>Intercity</v>
      </c>
      <c r="H629" s="5">
        <v>45</v>
      </c>
      <c r="I629" s="7">
        <f t="shared" si="31"/>
        <v>42</v>
      </c>
      <c r="J629" s="5">
        <v>919</v>
      </c>
      <c r="K629" s="18">
        <f t="shared" si="30"/>
        <v>20.422222222222221</v>
      </c>
    </row>
    <row r="630" spans="1:11" x14ac:dyDescent="0.3">
      <c r="A630" s="14">
        <v>2022</v>
      </c>
      <c r="B630" s="14">
        <f t="shared" si="29"/>
        <v>4</v>
      </c>
      <c r="C630" s="9">
        <v>44585</v>
      </c>
      <c r="D630" s="9">
        <v>44589</v>
      </c>
      <c r="E630" s="14">
        <f>VLOOKUP(F630,CarrierID!A:B,2,0)</f>
        <v>8</v>
      </c>
      <c r="F630" s="15" t="s">
        <v>2</v>
      </c>
      <c r="G630" t="str">
        <f>VLOOKUP(F630,Carrier_Category!A:B,2,0)</f>
        <v>Commuter</v>
      </c>
      <c r="H630" s="5">
        <v>17</v>
      </c>
      <c r="I630" s="7">
        <f t="shared" si="31"/>
        <v>17</v>
      </c>
      <c r="J630" s="5">
        <v>640</v>
      </c>
      <c r="K630" s="18">
        <f t="shared" si="30"/>
        <v>37.647058823529413</v>
      </c>
    </row>
    <row r="631" spans="1:11" x14ac:dyDescent="0.3">
      <c r="A631" s="14">
        <v>2022</v>
      </c>
      <c r="B631" s="14">
        <f t="shared" si="29"/>
        <v>4</v>
      </c>
      <c r="C631" s="9">
        <v>44585</v>
      </c>
      <c r="D631" s="9">
        <v>44589</v>
      </c>
      <c r="E631" s="14">
        <f>VLOOKUP(F631,CarrierID!A:B,2,0)</f>
        <v>9</v>
      </c>
      <c r="F631" s="15" t="s">
        <v>3</v>
      </c>
      <c r="G631" t="str">
        <f>VLOOKUP(F631,Carrier_Category!A:B,2,0)</f>
        <v>NJT</v>
      </c>
      <c r="H631" s="5">
        <v>2158</v>
      </c>
      <c r="I631" s="7">
        <f t="shared" si="31"/>
        <v>2151</v>
      </c>
      <c r="J631" s="5">
        <v>40685</v>
      </c>
      <c r="K631" s="18">
        <f t="shared" si="30"/>
        <v>18.853104726598701</v>
      </c>
    </row>
    <row r="632" spans="1:11" x14ac:dyDescent="0.3">
      <c r="A632" s="14">
        <v>2022</v>
      </c>
      <c r="B632" s="14">
        <f t="shared" si="29"/>
        <v>4</v>
      </c>
      <c r="C632" s="9">
        <v>44585</v>
      </c>
      <c r="D632" s="9">
        <v>44589</v>
      </c>
      <c r="E632" s="14">
        <f>VLOOKUP(F632,CarrierID!A:B,2,0)</f>
        <v>7</v>
      </c>
      <c r="F632" s="15" t="s">
        <v>4</v>
      </c>
      <c r="G632" t="str">
        <f>VLOOKUP(F632,Carrier_Category!A:B,2,0)</f>
        <v>Commuter</v>
      </c>
      <c r="H632" s="5">
        <v>25</v>
      </c>
      <c r="I632" s="7">
        <f t="shared" si="31"/>
        <v>25</v>
      </c>
      <c r="J632" s="5">
        <v>583</v>
      </c>
      <c r="K632" s="18">
        <f t="shared" si="30"/>
        <v>23.32</v>
      </c>
    </row>
    <row r="633" spans="1:11" x14ac:dyDescent="0.3">
      <c r="A633" s="14">
        <v>2022</v>
      </c>
      <c r="B633" s="14">
        <f t="shared" si="29"/>
        <v>4</v>
      </c>
      <c r="C633" s="9">
        <v>44585</v>
      </c>
      <c r="D633" s="9">
        <v>44589</v>
      </c>
      <c r="E633" s="14">
        <f>VLOOKUP(F633,CarrierID!A:B,2,0)</f>
        <v>11</v>
      </c>
      <c r="F633" s="15" t="s">
        <v>5</v>
      </c>
      <c r="G633" t="str">
        <f>VLOOKUP(F633,Carrier_Category!A:B,2,0)</f>
        <v>Intercity</v>
      </c>
      <c r="H633" s="5">
        <v>17</v>
      </c>
      <c r="I633" s="7">
        <f t="shared" si="31"/>
        <v>18</v>
      </c>
      <c r="J633" s="5">
        <v>327</v>
      </c>
      <c r="K633" s="18">
        <f t="shared" si="30"/>
        <v>19.235294117647058</v>
      </c>
    </row>
    <row r="634" spans="1:11" x14ac:dyDescent="0.3">
      <c r="A634" s="14">
        <v>2022</v>
      </c>
      <c r="B634" s="14">
        <f t="shared" si="29"/>
        <v>4</v>
      </c>
      <c r="C634" s="9">
        <v>44585</v>
      </c>
      <c r="D634" s="9">
        <v>44589</v>
      </c>
      <c r="E634" s="14">
        <f>VLOOKUP(F634,CarrierID!A:B,2,0)</f>
        <v>3</v>
      </c>
      <c r="F634" s="15" t="s">
        <v>6</v>
      </c>
      <c r="G634" t="str">
        <f>VLOOKUP(F634,Carrier_Category!A:B,2,0)</f>
        <v>Commuter</v>
      </c>
      <c r="H634" s="5">
        <v>129</v>
      </c>
      <c r="I634" s="7">
        <f t="shared" si="31"/>
        <v>123</v>
      </c>
      <c r="J634" s="5">
        <v>2874</v>
      </c>
      <c r="K634" s="18">
        <f t="shared" si="30"/>
        <v>22.279069767441861</v>
      </c>
    </row>
    <row r="635" spans="1:11" x14ac:dyDescent="0.3">
      <c r="A635" s="14">
        <v>2022</v>
      </c>
      <c r="B635" s="14">
        <f t="shared" si="29"/>
        <v>4</v>
      </c>
      <c r="C635" s="9">
        <v>44585</v>
      </c>
      <c r="D635" s="9">
        <v>44589</v>
      </c>
      <c r="E635" s="14">
        <f>VLOOKUP(F635,CarrierID!A:B,2,0)</f>
        <v>12</v>
      </c>
      <c r="F635" s="15" t="s">
        <v>25</v>
      </c>
      <c r="G635" t="str">
        <f>VLOOKUP(F635,Carrier_Category!A:B,2,0)</f>
        <v>Commuter</v>
      </c>
      <c r="H635" s="5">
        <v>18</v>
      </c>
      <c r="I635" s="7">
        <f t="shared" si="31"/>
        <v>18</v>
      </c>
      <c r="J635" s="5">
        <v>432</v>
      </c>
      <c r="K635" s="18">
        <f t="shared" si="30"/>
        <v>24</v>
      </c>
    </row>
    <row r="636" spans="1:11" x14ac:dyDescent="0.3">
      <c r="A636" s="14">
        <v>2022</v>
      </c>
      <c r="B636" s="14">
        <f t="shared" si="29"/>
        <v>4</v>
      </c>
      <c r="C636" s="9">
        <v>44585</v>
      </c>
      <c r="D636" s="9">
        <v>44589</v>
      </c>
      <c r="E636" s="14">
        <f>VLOOKUP(F636,CarrierID!A:B,2,0)</f>
        <v>10</v>
      </c>
      <c r="F636" s="15" t="s">
        <v>8</v>
      </c>
      <c r="G636" t="str">
        <f>VLOOKUP(F636,Carrier_Category!A:B,2,0)</f>
        <v>Intercity</v>
      </c>
      <c r="H636" s="5">
        <v>22</v>
      </c>
      <c r="I636" s="7">
        <f t="shared" si="31"/>
        <v>25</v>
      </c>
      <c r="J636" s="5">
        <v>410</v>
      </c>
      <c r="K636" s="18">
        <f t="shared" si="30"/>
        <v>18.636363636363637</v>
      </c>
    </row>
    <row r="637" spans="1:11" x14ac:dyDescent="0.3">
      <c r="A637" s="14">
        <v>2022</v>
      </c>
      <c r="B637" s="14">
        <f t="shared" si="29"/>
        <v>4</v>
      </c>
      <c r="C637" s="9">
        <v>44585</v>
      </c>
      <c r="D637" s="9">
        <v>44589</v>
      </c>
      <c r="E637" s="14">
        <f>VLOOKUP(F637,CarrierID!A:B,2,0)</f>
        <v>4</v>
      </c>
      <c r="F637" s="15" t="s">
        <v>24</v>
      </c>
      <c r="G637" t="str">
        <f>VLOOKUP(F637,Carrier_Category!A:B,2,0)</f>
        <v>Commuter</v>
      </c>
      <c r="H637" s="5">
        <v>37</v>
      </c>
      <c r="I637" s="7">
        <f t="shared" si="31"/>
        <v>37</v>
      </c>
      <c r="J637" s="5">
        <v>305</v>
      </c>
      <c r="K637" s="18">
        <f t="shared" si="30"/>
        <v>8.2432432432432439</v>
      </c>
    </row>
    <row r="638" spans="1:11" x14ac:dyDescent="0.3">
      <c r="A638" s="14">
        <v>2022</v>
      </c>
      <c r="B638" s="14">
        <f t="shared" si="29"/>
        <v>4</v>
      </c>
      <c r="C638" s="9">
        <v>44585</v>
      </c>
      <c r="D638" s="9">
        <v>44589</v>
      </c>
      <c r="E638" s="14">
        <f>VLOOKUP(F638,CarrierID!A:B,2,0)</f>
        <v>6</v>
      </c>
      <c r="F638" s="15" t="s">
        <v>9</v>
      </c>
      <c r="G638" t="str">
        <f>VLOOKUP(F638,Carrier_Category!A:B,2,0)</f>
        <v>Commuter</v>
      </c>
      <c r="H638" s="5">
        <v>81</v>
      </c>
      <c r="I638" s="7">
        <f t="shared" si="31"/>
        <v>81</v>
      </c>
      <c r="J638" s="5">
        <v>1256</v>
      </c>
      <c r="K638" s="18">
        <f t="shared" si="30"/>
        <v>15.506172839506172</v>
      </c>
    </row>
    <row r="639" spans="1:11" x14ac:dyDescent="0.3">
      <c r="A639" s="14">
        <v>2022</v>
      </c>
      <c r="B639" s="14">
        <f t="shared" si="29"/>
        <v>5</v>
      </c>
      <c r="C639" s="9">
        <v>44592</v>
      </c>
      <c r="D639" s="9">
        <v>44596</v>
      </c>
      <c r="E639" s="14">
        <f>VLOOKUP(F639,CarrierID!A:B,2,0)</f>
        <v>1</v>
      </c>
      <c r="F639" s="15" t="s">
        <v>0</v>
      </c>
      <c r="G639" t="str">
        <f>VLOOKUP(F639,Carrier_Category!A:B,2,0)</f>
        <v>Commuter</v>
      </c>
      <c r="H639" s="5">
        <v>35</v>
      </c>
      <c r="I639" s="7">
        <f t="shared" si="31"/>
        <v>35</v>
      </c>
      <c r="J639" s="5">
        <v>849</v>
      </c>
      <c r="K639" s="18">
        <f t="shared" si="30"/>
        <v>24.257142857142856</v>
      </c>
    </row>
    <row r="640" spans="1:11" x14ac:dyDescent="0.3">
      <c r="A640" s="14">
        <v>2022</v>
      </c>
      <c r="B640" s="14">
        <f t="shared" si="29"/>
        <v>5</v>
      </c>
      <c r="C640" s="9">
        <v>44592</v>
      </c>
      <c r="D640" s="9">
        <v>44596</v>
      </c>
      <c r="E640" s="14">
        <f>VLOOKUP(F640,CarrierID!A:B,2,0)</f>
        <v>5</v>
      </c>
      <c r="F640" s="15" t="s">
        <v>1</v>
      </c>
      <c r="G640" t="str">
        <f>VLOOKUP(F640,Carrier_Category!A:B,2,0)</f>
        <v>Intercity</v>
      </c>
      <c r="H640" s="5">
        <v>40</v>
      </c>
      <c r="I640" s="7">
        <f t="shared" si="31"/>
        <v>45</v>
      </c>
      <c r="J640" s="5">
        <v>852</v>
      </c>
      <c r="K640" s="18">
        <f t="shared" si="30"/>
        <v>21.3</v>
      </c>
    </row>
    <row r="641" spans="1:11" x14ac:dyDescent="0.3">
      <c r="A641" s="14">
        <v>2022</v>
      </c>
      <c r="B641" s="14">
        <f t="shared" si="29"/>
        <v>5</v>
      </c>
      <c r="C641" s="9">
        <v>44592</v>
      </c>
      <c r="D641" s="9">
        <v>44596</v>
      </c>
      <c r="E641" s="14">
        <f>VLOOKUP(F641,CarrierID!A:B,2,0)</f>
        <v>8</v>
      </c>
      <c r="F641" s="15" t="s">
        <v>2</v>
      </c>
      <c r="G641" t="str">
        <f>VLOOKUP(F641,Carrier_Category!A:B,2,0)</f>
        <v>Commuter</v>
      </c>
      <c r="H641" s="5">
        <v>17</v>
      </c>
      <c r="I641" s="7">
        <f t="shared" si="31"/>
        <v>17</v>
      </c>
      <c r="J641" s="5">
        <v>643</v>
      </c>
      <c r="K641" s="18">
        <f t="shared" si="30"/>
        <v>37.823529411764703</v>
      </c>
    </row>
    <row r="642" spans="1:11" x14ac:dyDescent="0.3">
      <c r="A642" s="14">
        <v>2022</v>
      </c>
      <c r="B642" s="14">
        <f t="shared" si="29"/>
        <v>5</v>
      </c>
      <c r="C642" s="9">
        <v>44592</v>
      </c>
      <c r="D642" s="9">
        <v>44596</v>
      </c>
      <c r="E642" s="14">
        <f>VLOOKUP(F642,CarrierID!A:B,2,0)</f>
        <v>9</v>
      </c>
      <c r="F642" s="15" t="s">
        <v>3</v>
      </c>
      <c r="G642" t="str">
        <f>VLOOKUP(F642,Carrier_Category!A:B,2,0)</f>
        <v>NJT</v>
      </c>
      <c r="H642" s="5">
        <v>2153</v>
      </c>
      <c r="I642" s="7">
        <f t="shared" si="31"/>
        <v>2158</v>
      </c>
      <c r="J642" s="5">
        <v>45373</v>
      </c>
      <c r="K642" s="18">
        <f t="shared" si="30"/>
        <v>21.074314909428704</v>
      </c>
    </row>
    <row r="643" spans="1:11" x14ac:dyDescent="0.3">
      <c r="A643" s="14">
        <v>2022</v>
      </c>
      <c r="B643" s="14">
        <f t="shared" si="29"/>
        <v>5</v>
      </c>
      <c r="C643" s="9">
        <v>44592</v>
      </c>
      <c r="D643" s="9">
        <v>44596</v>
      </c>
      <c r="E643" s="14">
        <f>VLOOKUP(F643,CarrierID!A:B,2,0)</f>
        <v>7</v>
      </c>
      <c r="F643" s="15" t="s">
        <v>4</v>
      </c>
      <c r="G643" t="str">
        <f>VLOOKUP(F643,Carrier_Category!A:B,2,0)</f>
        <v>Commuter</v>
      </c>
      <c r="H643" s="5">
        <v>25</v>
      </c>
      <c r="I643" s="7">
        <f t="shared" si="31"/>
        <v>25</v>
      </c>
      <c r="J643" s="5">
        <v>616</v>
      </c>
      <c r="K643" s="18">
        <f t="shared" si="30"/>
        <v>24.64</v>
      </c>
    </row>
    <row r="644" spans="1:11" x14ac:dyDescent="0.3">
      <c r="A644" s="14">
        <v>2022</v>
      </c>
      <c r="B644" s="14">
        <f t="shared" si="29"/>
        <v>5</v>
      </c>
      <c r="C644" s="9">
        <v>44592</v>
      </c>
      <c r="D644" s="9">
        <v>44596</v>
      </c>
      <c r="E644" s="14">
        <f>VLOOKUP(F644,CarrierID!A:B,2,0)</f>
        <v>11</v>
      </c>
      <c r="F644" s="15" t="s">
        <v>5</v>
      </c>
      <c r="G644" t="str">
        <f>VLOOKUP(F644,Carrier_Category!A:B,2,0)</f>
        <v>Intercity</v>
      </c>
      <c r="H644" s="5">
        <v>18</v>
      </c>
      <c r="I644" s="7">
        <f t="shared" si="31"/>
        <v>17</v>
      </c>
      <c r="J644" s="5">
        <v>338</v>
      </c>
      <c r="K644" s="18">
        <f t="shared" si="30"/>
        <v>18.777777777777779</v>
      </c>
    </row>
    <row r="645" spans="1:11" x14ac:dyDescent="0.3">
      <c r="A645" s="14">
        <v>2022</v>
      </c>
      <c r="B645" s="14">
        <f t="shared" ref="B645:B708" si="32">_xlfn.ISOWEEKNUM(C645)</f>
        <v>5</v>
      </c>
      <c r="C645" s="9">
        <v>44592</v>
      </c>
      <c r="D645" s="9">
        <v>44596</v>
      </c>
      <c r="E645" s="14">
        <f>VLOOKUP(F645,CarrierID!A:B,2,0)</f>
        <v>3</v>
      </c>
      <c r="F645" s="15" t="s">
        <v>6</v>
      </c>
      <c r="G645" t="str">
        <f>VLOOKUP(F645,Carrier_Category!A:B,2,0)</f>
        <v>Commuter</v>
      </c>
      <c r="H645" s="5">
        <v>130</v>
      </c>
      <c r="I645" s="7">
        <f t="shared" si="31"/>
        <v>129</v>
      </c>
      <c r="J645" s="5">
        <v>3188</v>
      </c>
      <c r="K645" s="18">
        <f t="shared" ref="K645:K708" si="33">J645/H645</f>
        <v>24.523076923076925</v>
      </c>
    </row>
    <row r="646" spans="1:11" x14ac:dyDescent="0.3">
      <c r="A646" s="14">
        <v>2022</v>
      </c>
      <c r="B646" s="14">
        <f t="shared" si="32"/>
        <v>5</v>
      </c>
      <c r="C646" s="9">
        <v>44592</v>
      </c>
      <c r="D646" s="9">
        <v>44596</v>
      </c>
      <c r="E646" s="14">
        <f>VLOOKUP(F646,CarrierID!A:B,2,0)</f>
        <v>12</v>
      </c>
      <c r="F646" s="15" t="s">
        <v>25</v>
      </c>
      <c r="G646" t="str">
        <f>VLOOKUP(F646,Carrier_Category!A:B,2,0)</f>
        <v>Commuter</v>
      </c>
      <c r="H646" s="5">
        <v>18</v>
      </c>
      <c r="I646" s="7">
        <f t="shared" si="31"/>
        <v>18</v>
      </c>
      <c r="J646" s="5">
        <v>452</v>
      </c>
      <c r="K646" s="18">
        <f t="shared" si="33"/>
        <v>25.111111111111111</v>
      </c>
    </row>
    <row r="647" spans="1:11" x14ac:dyDescent="0.3">
      <c r="A647" s="14">
        <v>2022</v>
      </c>
      <c r="B647" s="14">
        <f t="shared" si="32"/>
        <v>5</v>
      </c>
      <c r="C647" s="9">
        <v>44592</v>
      </c>
      <c r="D647" s="9">
        <v>44596</v>
      </c>
      <c r="E647" s="14">
        <f>VLOOKUP(F647,CarrierID!A:B,2,0)</f>
        <v>10</v>
      </c>
      <c r="F647" s="15" t="s">
        <v>8</v>
      </c>
      <c r="G647" t="str">
        <f>VLOOKUP(F647,Carrier_Category!A:B,2,0)</f>
        <v>Intercity</v>
      </c>
      <c r="H647" s="5">
        <v>18</v>
      </c>
      <c r="I647" s="7">
        <f t="shared" si="31"/>
        <v>22</v>
      </c>
      <c r="J647" s="5">
        <v>395</v>
      </c>
      <c r="K647" s="18">
        <f t="shared" si="33"/>
        <v>21.944444444444443</v>
      </c>
    </row>
    <row r="648" spans="1:11" x14ac:dyDescent="0.3">
      <c r="A648" s="14">
        <v>2022</v>
      </c>
      <c r="B648" s="14">
        <f t="shared" si="32"/>
        <v>5</v>
      </c>
      <c r="C648" s="9">
        <v>44592</v>
      </c>
      <c r="D648" s="9">
        <v>44596</v>
      </c>
      <c r="E648" s="14">
        <f>VLOOKUP(F648,CarrierID!A:B,2,0)</f>
        <v>4</v>
      </c>
      <c r="F648" s="15" t="s">
        <v>24</v>
      </c>
      <c r="G648" t="str">
        <f>VLOOKUP(F648,Carrier_Category!A:B,2,0)</f>
        <v>Commuter</v>
      </c>
      <c r="H648" s="5">
        <v>37</v>
      </c>
      <c r="I648" s="7">
        <f t="shared" si="31"/>
        <v>37</v>
      </c>
      <c r="J648" s="5">
        <v>343</v>
      </c>
      <c r="K648" s="18">
        <f t="shared" si="33"/>
        <v>9.2702702702702702</v>
      </c>
    </row>
    <row r="649" spans="1:11" x14ac:dyDescent="0.3">
      <c r="A649" s="14">
        <v>2022</v>
      </c>
      <c r="B649" s="14">
        <f t="shared" si="32"/>
        <v>5</v>
      </c>
      <c r="C649" s="9">
        <v>44592</v>
      </c>
      <c r="D649" s="9">
        <v>44596</v>
      </c>
      <c r="E649" s="14">
        <f>VLOOKUP(F649,CarrierID!A:B,2,0)</f>
        <v>6</v>
      </c>
      <c r="F649" s="15" t="s">
        <v>9</v>
      </c>
      <c r="G649" t="str">
        <f>VLOOKUP(F649,Carrier_Category!A:B,2,0)</f>
        <v>Commuter</v>
      </c>
      <c r="H649" s="5">
        <v>52</v>
      </c>
      <c r="I649" s="7">
        <f t="shared" si="31"/>
        <v>81</v>
      </c>
      <c r="J649" s="5">
        <v>827</v>
      </c>
      <c r="K649" s="18">
        <f t="shared" si="33"/>
        <v>15.903846153846153</v>
      </c>
    </row>
    <row r="650" spans="1:11" x14ac:dyDescent="0.3">
      <c r="A650" s="14">
        <v>2022</v>
      </c>
      <c r="B650" s="14">
        <f t="shared" si="32"/>
        <v>6</v>
      </c>
      <c r="C650" s="9">
        <v>44599</v>
      </c>
      <c r="D650" s="9">
        <v>44603</v>
      </c>
      <c r="E650" s="14">
        <f>VLOOKUP(F650,CarrierID!A:B,2,0)</f>
        <v>1</v>
      </c>
      <c r="F650" s="15" t="s">
        <v>0</v>
      </c>
      <c r="G650" t="str">
        <f>VLOOKUP(F650,Carrier_Category!A:B,2,0)</f>
        <v>Commuter</v>
      </c>
      <c r="H650" s="5">
        <v>35</v>
      </c>
      <c r="I650" s="7">
        <f t="shared" si="31"/>
        <v>35</v>
      </c>
      <c r="J650" s="5">
        <v>938</v>
      </c>
      <c r="K650" s="18">
        <f t="shared" si="33"/>
        <v>26.8</v>
      </c>
    </row>
    <row r="651" spans="1:11" x14ac:dyDescent="0.3">
      <c r="A651" s="14">
        <v>2022</v>
      </c>
      <c r="B651" s="14">
        <f t="shared" si="32"/>
        <v>6</v>
      </c>
      <c r="C651" s="9">
        <v>44599</v>
      </c>
      <c r="D651" s="9">
        <v>44603</v>
      </c>
      <c r="E651" s="14">
        <f>VLOOKUP(F651,CarrierID!A:B,2,0)</f>
        <v>5</v>
      </c>
      <c r="F651" s="15" t="s">
        <v>1</v>
      </c>
      <c r="G651" t="str">
        <f>VLOOKUP(F651,Carrier_Category!A:B,2,0)</f>
        <v>Intercity</v>
      </c>
      <c r="H651" s="5">
        <v>42</v>
      </c>
      <c r="I651" s="7">
        <f t="shared" si="31"/>
        <v>40</v>
      </c>
      <c r="J651" s="5">
        <v>869</v>
      </c>
      <c r="K651" s="18">
        <f t="shared" si="33"/>
        <v>20.69047619047619</v>
      </c>
    </row>
    <row r="652" spans="1:11" x14ac:dyDescent="0.3">
      <c r="A652" s="14">
        <v>2022</v>
      </c>
      <c r="B652" s="14">
        <f t="shared" si="32"/>
        <v>6</v>
      </c>
      <c r="C652" s="9">
        <v>44599</v>
      </c>
      <c r="D652" s="9">
        <v>44603</v>
      </c>
      <c r="E652" s="14">
        <f>VLOOKUP(F652,CarrierID!A:B,2,0)</f>
        <v>8</v>
      </c>
      <c r="F652" s="15" t="s">
        <v>2</v>
      </c>
      <c r="G652" t="str">
        <f>VLOOKUP(F652,Carrier_Category!A:B,2,0)</f>
        <v>Commuter</v>
      </c>
      <c r="H652" s="5">
        <v>17</v>
      </c>
      <c r="I652" s="7">
        <f t="shared" si="31"/>
        <v>17</v>
      </c>
      <c r="J652" s="5">
        <v>656</v>
      </c>
      <c r="K652" s="18">
        <f t="shared" si="33"/>
        <v>38.588235294117645</v>
      </c>
    </row>
    <row r="653" spans="1:11" x14ac:dyDescent="0.3">
      <c r="A653" s="14">
        <v>2022</v>
      </c>
      <c r="B653" s="14">
        <f t="shared" si="32"/>
        <v>6</v>
      </c>
      <c r="C653" s="9">
        <v>44599</v>
      </c>
      <c r="D653" s="9">
        <v>44603</v>
      </c>
      <c r="E653" s="14">
        <f>VLOOKUP(F653,CarrierID!A:B,2,0)</f>
        <v>9</v>
      </c>
      <c r="F653" s="15" t="s">
        <v>3</v>
      </c>
      <c r="G653" t="str">
        <f>VLOOKUP(F653,Carrier_Category!A:B,2,0)</f>
        <v>NJT</v>
      </c>
      <c r="H653" s="5">
        <v>2154</v>
      </c>
      <c r="I653" s="7">
        <f t="shared" ref="I653:I716" si="34">H642</f>
        <v>2153</v>
      </c>
      <c r="J653" s="5">
        <v>46402</v>
      </c>
      <c r="K653" s="18">
        <f t="shared" si="33"/>
        <v>21.542246982358403</v>
      </c>
    </row>
    <row r="654" spans="1:11" x14ac:dyDescent="0.3">
      <c r="A654" s="14">
        <v>2022</v>
      </c>
      <c r="B654" s="14">
        <f t="shared" si="32"/>
        <v>6</v>
      </c>
      <c r="C654" s="9">
        <v>44599</v>
      </c>
      <c r="D654" s="9">
        <v>44603</v>
      </c>
      <c r="E654" s="14">
        <f>VLOOKUP(F654,CarrierID!A:B,2,0)</f>
        <v>7</v>
      </c>
      <c r="F654" s="15" t="s">
        <v>4</v>
      </c>
      <c r="G654" t="str">
        <f>VLOOKUP(F654,Carrier_Category!A:B,2,0)</f>
        <v>Commuter</v>
      </c>
      <c r="H654" s="5">
        <v>25</v>
      </c>
      <c r="I654" s="7">
        <f t="shared" si="34"/>
        <v>25</v>
      </c>
      <c r="J654" s="5">
        <v>667</v>
      </c>
      <c r="K654" s="18">
        <f t="shared" si="33"/>
        <v>26.68</v>
      </c>
    </row>
    <row r="655" spans="1:11" x14ac:dyDescent="0.3">
      <c r="A655" s="14">
        <v>2022</v>
      </c>
      <c r="B655" s="14">
        <f t="shared" si="32"/>
        <v>6</v>
      </c>
      <c r="C655" s="9">
        <v>44599</v>
      </c>
      <c r="D655" s="9">
        <v>44603</v>
      </c>
      <c r="E655" s="14">
        <f>VLOOKUP(F655,CarrierID!A:B,2,0)</f>
        <v>11</v>
      </c>
      <c r="F655" s="15" t="s">
        <v>5</v>
      </c>
      <c r="G655" t="str">
        <f>VLOOKUP(F655,Carrier_Category!A:B,2,0)</f>
        <v>Intercity</v>
      </c>
      <c r="H655" s="5">
        <v>19</v>
      </c>
      <c r="I655" s="7">
        <f t="shared" si="34"/>
        <v>18</v>
      </c>
      <c r="J655" s="5">
        <v>336</v>
      </c>
      <c r="K655" s="18">
        <f t="shared" si="33"/>
        <v>17.684210526315791</v>
      </c>
    </row>
    <row r="656" spans="1:11" x14ac:dyDescent="0.3">
      <c r="A656" s="14">
        <v>2022</v>
      </c>
      <c r="B656" s="14">
        <f t="shared" si="32"/>
        <v>6</v>
      </c>
      <c r="C656" s="9">
        <v>44599</v>
      </c>
      <c r="D656" s="9">
        <v>44603</v>
      </c>
      <c r="E656" s="14">
        <f>VLOOKUP(F656,CarrierID!A:B,2,0)</f>
        <v>3</v>
      </c>
      <c r="F656" s="15" t="s">
        <v>6</v>
      </c>
      <c r="G656" t="str">
        <f>VLOOKUP(F656,Carrier_Category!A:B,2,0)</f>
        <v>Commuter</v>
      </c>
      <c r="H656" s="5">
        <v>130</v>
      </c>
      <c r="I656" s="7">
        <f t="shared" si="34"/>
        <v>130</v>
      </c>
      <c r="J656" s="5">
        <v>3338</v>
      </c>
      <c r="K656" s="18">
        <f t="shared" si="33"/>
        <v>25.676923076923078</v>
      </c>
    </row>
    <row r="657" spans="1:11" x14ac:dyDescent="0.3">
      <c r="A657" s="14">
        <v>2022</v>
      </c>
      <c r="B657" s="14">
        <f t="shared" si="32"/>
        <v>6</v>
      </c>
      <c r="C657" s="9">
        <v>44599</v>
      </c>
      <c r="D657" s="9">
        <v>44603</v>
      </c>
      <c r="E657" s="14">
        <f>VLOOKUP(F657,CarrierID!A:B,2,0)</f>
        <v>12</v>
      </c>
      <c r="F657" s="15" t="s">
        <v>25</v>
      </c>
      <c r="G657" t="str">
        <f>VLOOKUP(F657,Carrier_Category!A:B,2,0)</f>
        <v>Commuter</v>
      </c>
      <c r="H657" s="5">
        <v>18</v>
      </c>
      <c r="I657" s="7">
        <f t="shared" si="34"/>
        <v>18</v>
      </c>
      <c r="J657" s="5">
        <v>490</v>
      </c>
      <c r="K657" s="18">
        <f t="shared" si="33"/>
        <v>27.222222222222221</v>
      </c>
    </row>
    <row r="658" spans="1:11" x14ac:dyDescent="0.3">
      <c r="A658" s="14">
        <v>2022</v>
      </c>
      <c r="B658" s="14">
        <f t="shared" si="32"/>
        <v>6</v>
      </c>
      <c r="C658" s="9">
        <v>44599</v>
      </c>
      <c r="D658" s="9">
        <v>44603</v>
      </c>
      <c r="E658" s="14">
        <f>VLOOKUP(F658,CarrierID!A:B,2,0)</f>
        <v>10</v>
      </c>
      <c r="F658" s="15" t="s">
        <v>8</v>
      </c>
      <c r="G658" t="str">
        <f>VLOOKUP(F658,Carrier_Category!A:B,2,0)</f>
        <v>Intercity</v>
      </c>
      <c r="H658" s="5">
        <v>18</v>
      </c>
      <c r="I658" s="7">
        <f t="shared" si="34"/>
        <v>18</v>
      </c>
      <c r="J658" s="5">
        <v>421</v>
      </c>
      <c r="K658" s="18">
        <f t="shared" si="33"/>
        <v>23.388888888888889</v>
      </c>
    </row>
    <row r="659" spans="1:11" x14ac:dyDescent="0.3">
      <c r="A659" s="14">
        <v>2022</v>
      </c>
      <c r="B659" s="14">
        <f t="shared" si="32"/>
        <v>6</v>
      </c>
      <c r="C659" s="9">
        <v>44599</v>
      </c>
      <c r="D659" s="9">
        <v>44603</v>
      </c>
      <c r="E659" s="14">
        <f>VLOOKUP(F659,CarrierID!A:B,2,0)</f>
        <v>4</v>
      </c>
      <c r="F659" s="15" t="s">
        <v>24</v>
      </c>
      <c r="G659" t="str">
        <f>VLOOKUP(F659,Carrier_Category!A:B,2,0)</f>
        <v>Commuter</v>
      </c>
      <c r="H659" s="5">
        <v>37</v>
      </c>
      <c r="I659" s="7">
        <f t="shared" si="34"/>
        <v>37</v>
      </c>
      <c r="J659" s="5">
        <v>384</v>
      </c>
      <c r="K659" s="18">
        <f t="shared" si="33"/>
        <v>10.378378378378379</v>
      </c>
    </row>
    <row r="660" spans="1:11" x14ac:dyDescent="0.3">
      <c r="A660" s="14">
        <v>2022</v>
      </c>
      <c r="B660" s="14">
        <f t="shared" si="32"/>
        <v>6</v>
      </c>
      <c r="C660" s="9">
        <v>44599</v>
      </c>
      <c r="D660" s="9">
        <v>44603</v>
      </c>
      <c r="E660" s="14">
        <f>VLOOKUP(F660,CarrierID!A:B,2,0)</f>
        <v>6</v>
      </c>
      <c r="F660" s="15" t="s">
        <v>9</v>
      </c>
      <c r="G660" t="str">
        <f>VLOOKUP(F660,Carrier_Category!A:B,2,0)</f>
        <v>Commuter</v>
      </c>
      <c r="H660" s="5">
        <v>60</v>
      </c>
      <c r="I660" s="7">
        <f t="shared" si="34"/>
        <v>52</v>
      </c>
      <c r="J660" s="5">
        <v>846</v>
      </c>
      <c r="K660" s="18">
        <f t="shared" si="33"/>
        <v>14.1</v>
      </c>
    </row>
    <row r="661" spans="1:11" x14ac:dyDescent="0.3">
      <c r="A661" s="14">
        <v>2022</v>
      </c>
      <c r="B661" s="14">
        <f t="shared" si="32"/>
        <v>7</v>
      </c>
      <c r="C661" s="9">
        <v>44606</v>
      </c>
      <c r="D661" s="9">
        <v>44610</v>
      </c>
      <c r="E661" s="14">
        <f>VLOOKUP(F661,CarrierID!A:B,2,0)</f>
        <v>1</v>
      </c>
      <c r="F661" s="15" t="s">
        <v>0</v>
      </c>
      <c r="G661" t="str">
        <f>VLOOKUP(F661,Carrier_Category!A:B,2,0)</f>
        <v>Commuter</v>
      </c>
      <c r="H661" s="5">
        <v>34</v>
      </c>
      <c r="I661" s="7">
        <f t="shared" si="34"/>
        <v>35</v>
      </c>
      <c r="J661" s="5">
        <v>954</v>
      </c>
      <c r="K661" s="18">
        <f t="shared" si="33"/>
        <v>28.058823529411764</v>
      </c>
    </row>
    <row r="662" spans="1:11" x14ac:dyDescent="0.3">
      <c r="A662" s="14">
        <v>2022</v>
      </c>
      <c r="B662" s="14">
        <f t="shared" si="32"/>
        <v>7</v>
      </c>
      <c r="C662" s="9">
        <v>44606</v>
      </c>
      <c r="D662" s="9">
        <v>44610</v>
      </c>
      <c r="E662" s="14">
        <f>VLOOKUP(F662,CarrierID!A:B,2,0)</f>
        <v>5</v>
      </c>
      <c r="F662" s="15" t="s">
        <v>1</v>
      </c>
      <c r="G662" t="str">
        <f>VLOOKUP(F662,Carrier_Category!A:B,2,0)</f>
        <v>Intercity</v>
      </c>
      <c r="H662" s="5">
        <v>44</v>
      </c>
      <c r="I662" s="7">
        <f t="shared" si="34"/>
        <v>42</v>
      </c>
      <c r="J662" s="5">
        <v>1057</v>
      </c>
      <c r="K662" s="18">
        <f t="shared" si="33"/>
        <v>24.022727272727273</v>
      </c>
    </row>
    <row r="663" spans="1:11" x14ac:dyDescent="0.3">
      <c r="A663" s="14">
        <v>2022</v>
      </c>
      <c r="B663" s="14">
        <f t="shared" si="32"/>
        <v>7</v>
      </c>
      <c r="C663" s="9">
        <v>44606</v>
      </c>
      <c r="D663" s="9">
        <v>44610</v>
      </c>
      <c r="E663" s="14">
        <f>VLOOKUP(F663,CarrierID!A:B,2,0)</f>
        <v>8</v>
      </c>
      <c r="F663" s="15" t="s">
        <v>2</v>
      </c>
      <c r="G663" t="str">
        <f>VLOOKUP(F663,Carrier_Category!A:B,2,0)</f>
        <v>Commuter</v>
      </c>
      <c r="H663" s="5">
        <v>17</v>
      </c>
      <c r="I663" s="7">
        <f t="shared" si="34"/>
        <v>17</v>
      </c>
      <c r="J663" s="5">
        <v>670</v>
      </c>
      <c r="K663" s="18">
        <f t="shared" si="33"/>
        <v>39.411764705882355</v>
      </c>
    </row>
    <row r="664" spans="1:11" x14ac:dyDescent="0.3">
      <c r="A664" s="14">
        <v>2022</v>
      </c>
      <c r="B664" s="14">
        <f t="shared" si="32"/>
        <v>7</v>
      </c>
      <c r="C664" s="9">
        <v>44606</v>
      </c>
      <c r="D664" s="9">
        <v>44610</v>
      </c>
      <c r="E664" s="14">
        <f>VLOOKUP(F664,CarrierID!A:B,2,0)</f>
        <v>9</v>
      </c>
      <c r="F664" s="15" t="s">
        <v>3</v>
      </c>
      <c r="G664" t="str">
        <f>VLOOKUP(F664,Carrier_Category!A:B,2,0)</f>
        <v>NJT</v>
      </c>
      <c r="H664" s="5">
        <v>2144</v>
      </c>
      <c r="I664" s="7">
        <f t="shared" si="34"/>
        <v>2154</v>
      </c>
      <c r="J664" s="5">
        <v>47466</v>
      </c>
      <c r="K664" s="18">
        <f t="shared" si="33"/>
        <v>22.138992537313431</v>
      </c>
    </row>
    <row r="665" spans="1:11" x14ac:dyDescent="0.3">
      <c r="A665" s="14">
        <v>2022</v>
      </c>
      <c r="B665" s="14">
        <f t="shared" si="32"/>
        <v>7</v>
      </c>
      <c r="C665" s="9">
        <v>44606</v>
      </c>
      <c r="D665" s="9">
        <v>44610</v>
      </c>
      <c r="E665" s="14">
        <f>VLOOKUP(F665,CarrierID!A:B,2,0)</f>
        <v>7</v>
      </c>
      <c r="F665" s="15" t="s">
        <v>4</v>
      </c>
      <c r="G665" t="str">
        <f>VLOOKUP(F665,Carrier_Category!A:B,2,0)</f>
        <v>Commuter</v>
      </c>
      <c r="H665" s="5">
        <v>25</v>
      </c>
      <c r="I665" s="7">
        <f t="shared" si="34"/>
        <v>25</v>
      </c>
      <c r="J665" s="5">
        <v>740</v>
      </c>
      <c r="K665" s="18">
        <f t="shared" si="33"/>
        <v>29.6</v>
      </c>
    </row>
    <row r="666" spans="1:11" x14ac:dyDescent="0.3">
      <c r="A666" s="14">
        <v>2022</v>
      </c>
      <c r="B666" s="14">
        <f t="shared" si="32"/>
        <v>7</v>
      </c>
      <c r="C666" s="9">
        <v>44606</v>
      </c>
      <c r="D666" s="9">
        <v>44610</v>
      </c>
      <c r="E666" s="14">
        <f>VLOOKUP(F666,CarrierID!A:B,2,0)</f>
        <v>11</v>
      </c>
      <c r="F666" s="15" t="s">
        <v>5</v>
      </c>
      <c r="G666" t="str">
        <f>VLOOKUP(F666,Carrier_Category!A:B,2,0)</f>
        <v>Intercity</v>
      </c>
      <c r="H666" s="5">
        <v>19</v>
      </c>
      <c r="I666" s="7">
        <f t="shared" si="34"/>
        <v>19</v>
      </c>
      <c r="J666" s="5">
        <v>384</v>
      </c>
      <c r="K666" s="18">
        <f t="shared" si="33"/>
        <v>20.210526315789473</v>
      </c>
    </row>
    <row r="667" spans="1:11" x14ac:dyDescent="0.3">
      <c r="A667" s="14">
        <v>2022</v>
      </c>
      <c r="B667" s="14">
        <f t="shared" si="32"/>
        <v>7</v>
      </c>
      <c r="C667" s="9">
        <v>44606</v>
      </c>
      <c r="D667" s="9">
        <v>44610</v>
      </c>
      <c r="E667" s="14">
        <f>VLOOKUP(F667,CarrierID!A:B,2,0)</f>
        <v>3</v>
      </c>
      <c r="F667" s="15" t="s">
        <v>6</v>
      </c>
      <c r="G667" t="str">
        <f>VLOOKUP(F667,Carrier_Category!A:B,2,0)</f>
        <v>Commuter</v>
      </c>
      <c r="H667" s="5">
        <v>130</v>
      </c>
      <c r="I667" s="7">
        <f t="shared" si="34"/>
        <v>130</v>
      </c>
      <c r="J667" s="5">
        <v>3625</v>
      </c>
      <c r="K667" s="18">
        <f t="shared" si="33"/>
        <v>27.884615384615383</v>
      </c>
    </row>
    <row r="668" spans="1:11" x14ac:dyDescent="0.3">
      <c r="A668" s="14">
        <v>2022</v>
      </c>
      <c r="B668" s="14">
        <f t="shared" si="32"/>
        <v>7</v>
      </c>
      <c r="C668" s="9">
        <v>44606</v>
      </c>
      <c r="D668" s="9">
        <v>44610</v>
      </c>
      <c r="E668" s="14">
        <f>VLOOKUP(F668,CarrierID!A:B,2,0)</f>
        <v>12</v>
      </c>
      <c r="F668" s="15" t="s">
        <v>25</v>
      </c>
      <c r="G668" t="str">
        <f>VLOOKUP(F668,Carrier_Category!A:B,2,0)</f>
        <v>Commuter</v>
      </c>
      <c r="H668" s="5">
        <v>18</v>
      </c>
      <c r="I668" s="7">
        <f t="shared" si="34"/>
        <v>18</v>
      </c>
      <c r="J668" s="5">
        <v>517</v>
      </c>
      <c r="K668" s="18">
        <f t="shared" si="33"/>
        <v>28.722222222222221</v>
      </c>
    </row>
    <row r="669" spans="1:11" x14ac:dyDescent="0.3">
      <c r="A669" s="14">
        <v>2022</v>
      </c>
      <c r="B669" s="14">
        <f t="shared" si="32"/>
        <v>7</v>
      </c>
      <c r="C669" s="9">
        <v>44606</v>
      </c>
      <c r="D669" s="9">
        <v>44610</v>
      </c>
      <c r="E669" s="14">
        <f>VLOOKUP(F669,CarrierID!A:B,2,0)</f>
        <v>10</v>
      </c>
      <c r="F669" s="15" t="s">
        <v>8</v>
      </c>
      <c r="G669" t="str">
        <f>VLOOKUP(F669,Carrier_Category!A:B,2,0)</f>
        <v>Intercity</v>
      </c>
      <c r="H669" s="5">
        <v>20</v>
      </c>
      <c r="I669" s="7">
        <f t="shared" si="34"/>
        <v>18</v>
      </c>
      <c r="J669" s="5">
        <v>523</v>
      </c>
      <c r="K669" s="18">
        <f t="shared" si="33"/>
        <v>26.15</v>
      </c>
    </row>
    <row r="670" spans="1:11" x14ac:dyDescent="0.3">
      <c r="A670" s="14">
        <v>2022</v>
      </c>
      <c r="B670" s="14">
        <f t="shared" si="32"/>
        <v>7</v>
      </c>
      <c r="C670" s="9">
        <v>44606</v>
      </c>
      <c r="D670" s="9">
        <v>44610</v>
      </c>
      <c r="E670" s="14">
        <f>VLOOKUP(F670,CarrierID!A:B,2,0)</f>
        <v>4</v>
      </c>
      <c r="F670" s="15" t="s">
        <v>24</v>
      </c>
      <c r="G670" t="str">
        <f>VLOOKUP(F670,Carrier_Category!A:B,2,0)</f>
        <v>Commuter</v>
      </c>
      <c r="H670" s="5">
        <v>37</v>
      </c>
      <c r="I670" s="7">
        <f t="shared" si="34"/>
        <v>37</v>
      </c>
      <c r="J670" s="5">
        <v>422</v>
      </c>
      <c r="K670" s="18">
        <f t="shared" si="33"/>
        <v>11.405405405405405</v>
      </c>
    </row>
    <row r="671" spans="1:11" x14ac:dyDescent="0.3">
      <c r="A671" s="14">
        <v>2022</v>
      </c>
      <c r="B671" s="14">
        <f t="shared" si="32"/>
        <v>7</v>
      </c>
      <c r="C671" s="9">
        <v>44606</v>
      </c>
      <c r="D671" s="9">
        <v>44610</v>
      </c>
      <c r="E671" s="14">
        <f>VLOOKUP(F671,CarrierID!A:B,2,0)</f>
        <v>6</v>
      </c>
      <c r="F671" s="15" t="s">
        <v>9</v>
      </c>
      <c r="G671" t="str">
        <f>VLOOKUP(F671,Carrier_Category!A:B,2,0)</f>
        <v>Commuter</v>
      </c>
      <c r="H671" s="5">
        <v>56</v>
      </c>
      <c r="I671" s="7">
        <f t="shared" si="34"/>
        <v>60</v>
      </c>
      <c r="J671" s="5">
        <v>774</v>
      </c>
      <c r="K671" s="18">
        <f t="shared" si="33"/>
        <v>13.821428571428571</v>
      </c>
    </row>
    <row r="672" spans="1:11" x14ac:dyDescent="0.3">
      <c r="A672" s="14">
        <v>2022</v>
      </c>
      <c r="B672" s="14">
        <f t="shared" si="32"/>
        <v>8</v>
      </c>
      <c r="C672" s="9">
        <v>44613</v>
      </c>
      <c r="D672" s="9">
        <v>44617</v>
      </c>
      <c r="E672" s="14">
        <f>VLOOKUP(F672,CarrierID!A:B,2,0)</f>
        <v>1</v>
      </c>
      <c r="F672" s="15" t="s">
        <v>0</v>
      </c>
      <c r="G672" t="str">
        <f>VLOOKUP(F672,Carrier_Category!A:B,2,0)</f>
        <v>Commuter</v>
      </c>
      <c r="H672" s="5">
        <v>34</v>
      </c>
      <c r="I672" s="7">
        <f t="shared" si="34"/>
        <v>34</v>
      </c>
      <c r="J672" s="5">
        <v>998</v>
      </c>
      <c r="K672" s="18">
        <f t="shared" si="33"/>
        <v>29.352941176470587</v>
      </c>
    </row>
    <row r="673" spans="1:11" x14ac:dyDescent="0.3">
      <c r="A673" s="14">
        <v>2022</v>
      </c>
      <c r="B673" s="14">
        <f t="shared" si="32"/>
        <v>8</v>
      </c>
      <c r="C673" s="9">
        <v>44613</v>
      </c>
      <c r="D673" s="9">
        <v>44617</v>
      </c>
      <c r="E673" s="14">
        <f>VLOOKUP(F673,CarrierID!A:B,2,0)</f>
        <v>5</v>
      </c>
      <c r="F673" s="15" t="s">
        <v>1</v>
      </c>
      <c r="G673" t="str">
        <f>VLOOKUP(F673,Carrier_Category!A:B,2,0)</f>
        <v>Intercity</v>
      </c>
      <c r="H673" s="5">
        <v>43</v>
      </c>
      <c r="I673" s="7">
        <f t="shared" si="34"/>
        <v>44</v>
      </c>
      <c r="J673" s="5">
        <v>1280</v>
      </c>
      <c r="K673" s="18">
        <f t="shared" si="33"/>
        <v>29.767441860465116</v>
      </c>
    </row>
    <row r="674" spans="1:11" x14ac:dyDescent="0.3">
      <c r="A674" s="14">
        <v>2022</v>
      </c>
      <c r="B674" s="14">
        <f t="shared" si="32"/>
        <v>8</v>
      </c>
      <c r="C674" s="9">
        <v>44613</v>
      </c>
      <c r="D674" s="9">
        <v>44617</v>
      </c>
      <c r="E674" s="14">
        <f>VLOOKUP(F674,CarrierID!A:B,2,0)</f>
        <v>8</v>
      </c>
      <c r="F674" s="15" t="s">
        <v>2</v>
      </c>
      <c r="G674" t="str">
        <f>VLOOKUP(F674,Carrier_Category!A:B,2,0)</f>
        <v>Commuter</v>
      </c>
      <c r="H674" s="5">
        <v>17</v>
      </c>
      <c r="I674" s="7">
        <f t="shared" si="34"/>
        <v>17</v>
      </c>
      <c r="J674" s="5">
        <v>719</v>
      </c>
      <c r="K674" s="18">
        <f t="shared" si="33"/>
        <v>42.294117647058826</v>
      </c>
    </row>
    <row r="675" spans="1:11" x14ac:dyDescent="0.3">
      <c r="A675" s="14">
        <v>2022</v>
      </c>
      <c r="B675" s="14">
        <f t="shared" si="32"/>
        <v>8</v>
      </c>
      <c r="C675" s="9">
        <v>44613</v>
      </c>
      <c r="D675" s="9">
        <v>44617</v>
      </c>
      <c r="E675" s="14">
        <f>VLOOKUP(F675,CarrierID!A:B,2,0)</f>
        <v>9</v>
      </c>
      <c r="F675" s="15" t="s">
        <v>3</v>
      </c>
      <c r="G675" t="str">
        <f>VLOOKUP(F675,Carrier_Category!A:B,2,0)</f>
        <v>NJT</v>
      </c>
      <c r="H675" s="5">
        <v>2147</v>
      </c>
      <c r="I675" s="7">
        <f t="shared" si="34"/>
        <v>2144</v>
      </c>
      <c r="J675" s="5">
        <v>48692</v>
      </c>
      <c r="K675" s="18">
        <f t="shared" si="33"/>
        <v>22.679087098276664</v>
      </c>
    </row>
    <row r="676" spans="1:11" x14ac:dyDescent="0.3">
      <c r="A676" s="14">
        <v>2022</v>
      </c>
      <c r="B676" s="14">
        <f t="shared" si="32"/>
        <v>8</v>
      </c>
      <c r="C676" s="9">
        <v>44613</v>
      </c>
      <c r="D676" s="9">
        <v>44617</v>
      </c>
      <c r="E676" s="14">
        <f>VLOOKUP(F676,CarrierID!A:B,2,0)</f>
        <v>7</v>
      </c>
      <c r="F676" s="15" t="s">
        <v>4</v>
      </c>
      <c r="G676" t="str">
        <f>VLOOKUP(F676,Carrier_Category!A:B,2,0)</f>
        <v>Commuter</v>
      </c>
      <c r="H676" s="5">
        <v>25</v>
      </c>
      <c r="I676" s="7">
        <f t="shared" si="34"/>
        <v>25</v>
      </c>
      <c r="J676" s="5">
        <v>757</v>
      </c>
      <c r="K676" s="18">
        <f t="shared" si="33"/>
        <v>30.28</v>
      </c>
    </row>
    <row r="677" spans="1:11" x14ac:dyDescent="0.3">
      <c r="A677" s="14">
        <v>2022</v>
      </c>
      <c r="B677" s="14">
        <f t="shared" si="32"/>
        <v>8</v>
      </c>
      <c r="C677" s="9">
        <v>44613</v>
      </c>
      <c r="D677" s="9">
        <v>44617</v>
      </c>
      <c r="E677" s="14">
        <f>VLOOKUP(F677,CarrierID!A:B,2,0)</f>
        <v>11</v>
      </c>
      <c r="F677" s="15" t="s">
        <v>5</v>
      </c>
      <c r="G677" t="str">
        <f>VLOOKUP(F677,Carrier_Category!A:B,2,0)</f>
        <v>Intercity</v>
      </c>
      <c r="H677" s="5">
        <v>20</v>
      </c>
      <c r="I677" s="7">
        <f t="shared" si="34"/>
        <v>19</v>
      </c>
      <c r="J677" s="5">
        <v>473</v>
      </c>
      <c r="K677" s="18">
        <f t="shared" si="33"/>
        <v>23.65</v>
      </c>
    </row>
    <row r="678" spans="1:11" x14ac:dyDescent="0.3">
      <c r="A678" s="14">
        <v>2022</v>
      </c>
      <c r="B678" s="14">
        <f t="shared" si="32"/>
        <v>8</v>
      </c>
      <c r="C678" s="9">
        <v>44613</v>
      </c>
      <c r="D678" s="9">
        <v>44617</v>
      </c>
      <c r="E678" s="14">
        <f>VLOOKUP(F678,CarrierID!A:B,2,0)</f>
        <v>3</v>
      </c>
      <c r="F678" s="15" t="s">
        <v>6</v>
      </c>
      <c r="G678" t="str">
        <f>VLOOKUP(F678,Carrier_Category!A:B,2,0)</f>
        <v>Commuter</v>
      </c>
      <c r="H678" s="5">
        <v>130</v>
      </c>
      <c r="I678" s="7">
        <f t="shared" si="34"/>
        <v>130</v>
      </c>
      <c r="J678" s="5">
        <v>3555</v>
      </c>
      <c r="K678" s="18">
        <f t="shared" si="33"/>
        <v>27.346153846153847</v>
      </c>
    </row>
    <row r="679" spans="1:11" x14ac:dyDescent="0.3">
      <c r="A679" s="14">
        <v>2022</v>
      </c>
      <c r="B679" s="14">
        <f t="shared" si="32"/>
        <v>8</v>
      </c>
      <c r="C679" s="9">
        <v>44613</v>
      </c>
      <c r="D679" s="9">
        <v>44617</v>
      </c>
      <c r="E679" s="14">
        <f>VLOOKUP(F679,CarrierID!A:B,2,0)</f>
        <v>12</v>
      </c>
      <c r="F679" s="15" t="s">
        <v>25</v>
      </c>
      <c r="G679" t="str">
        <f>VLOOKUP(F679,Carrier_Category!A:B,2,0)</f>
        <v>Commuter</v>
      </c>
      <c r="H679" s="5">
        <v>18</v>
      </c>
      <c r="I679" s="7">
        <f t="shared" si="34"/>
        <v>18</v>
      </c>
      <c r="J679" s="5">
        <v>541</v>
      </c>
      <c r="K679" s="18">
        <f t="shared" si="33"/>
        <v>30.055555555555557</v>
      </c>
    </row>
    <row r="680" spans="1:11" x14ac:dyDescent="0.3">
      <c r="A680" s="14">
        <v>2022</v>
      </c>
      <c r="B680" s="14">
        <f t="shared" si="32"/>
        <v>8</v>
      </c>
      <c r="C680" s="9">
        <v>44613</v>
      </c>
      <c r="D680" s="9">
        <v>44617</v>
      </c>
      <c r="E680" s="14">
        <f>VLOOKUP(F680,CarrierID!A:B,2,0)</f>
        <v>10</v>
      </c>
      <c r="F680" s="15" t="s">
        <v>8</v>
      </c>
      <c r="G680" t="str">
        <f>VLOOKUP(F680,Carrier_Category!A:B,2,0)</f>
        <v>Intercity</v>
      </c>
      <c r="H680" s="5">
        <v>20</v>
      </c>
      <c r="I680" s="7">
        <f t="shared" si="34"/>
        <v>20</v>
      </c>
      <c r="J680" s="5">
        <v>647</v>
      </c>
      <c r="K680" s="18">
        <f t="shared" si="33"/>
        <v>32.35</v>
      </c>
    </row>
    <row r="681" spans="1:11" x14ac:dyDescent="0.3">
      <c r="A681" s="14">
        <v>2022</v>
      </c>
      <c r="B681" s="14">
        <f t="shared" si="32"/>
        <v>8</v>
      </c>
      <c r="C681" s="9">
        <v>44613</v>
      </c>
      <c r="D681" s="9">
        <v>44617</v>
      </c>
      <c r="E681" s="14">
        <f>VLOOKUP(F681,CarrierID!A:B,2,0)</f>
        <v>4</v>
      </c>
      <c r="F681" s="15" t="s">
        <v>24</v>
      </c>
      <c r="G681" t="str">
        <f>VLOOKUP(F681,Carrier_Category!A:B,2,0)</f>
        <v>Commuter</v>
      </c>
      <c r="H681" s="5">
        <v>37</v>
      </c>
      <c r="I681" s="7">
        <f t="shared" si="34"/>
        <v>37</v>
      </c>
      <c r="J681" s="5">
        <v>431</v>
      </c>
      <c r="K681" s="18">
        <f t="shared" si="33"/>
        <v>11.648648648648649</v>
      </c>
    </row>
    <row r="682" spans="1:11" x14ac:dyDescent="0.3">
      <c r="A682" s="14">
        <v>2022</v>
      </c>
      <c r="B682" s="14">
        <f t="shared" si="32"/>
        <v>8</v>
      </c>
      <c r="C682" s="9">
        <v>44613</v>
      </c>
      <c r="D682" s="9">
        <v>44617</v>
      </c>
      <c r="E682" s="14">
        <f>VLOOKUP(F682,CarrierID!A:B,2,0)</f>
        <v>6</v>
      </c>
      <c r="F682" s="15" t="s">
        <v>9</v>
      </c>
      <c r="G682" t="str">
        <f>VLOOKUP(F682,Carrier_Category!A:B,2,0)</f>
        <v>Commuter</v>
      </c>
      <c r="H682" s="5">
        <v>57</v>
      </c>
      <c r="I682" s="7">
        <f t="shared" si="34"/>
        <v>56</v>
      </c>
      <c r="J682" s="5">
        <v>788</v>
      </c>
      <c r="K682" s="18">
        <f t="shared" si="33"/>
        <v>13.824561403508772</v>
      </c>
    </row>
    <row r="683" spans="1:11" x14ac:dyDescent="0.3">
      <c r="A683" s="14">
        <v>2022</v>
      </c>
      <c r="B683" s="14">
        <f t="shared" si="32"/>
        <v>9</v>
      </c>
      <c r="C683" s="9">
        <v>44620</v>
      </c>
      <c r="D683" s="9">
        <v>44624</v>
      </c>
      <c r="E683" s="14">
        <f>VLOOKUP(F683,CarrierID!A:B,2,0)</f>
        <v>1</v>
      </c>
      <c r="F683" s="15" t="s">
        <v>0</v>
      </c>
      <c r="G683" t="str">
        <f>VLOOKUP(F683,Carrier_Category!A:B,2,0)</f>
        <v>Commuter</v>
      </c>
      <c r="H683" s="5">
        <v>35</v>
      </c>
      <c r="I683" s="7">
        <f t="shared" si="34"/>
        <v>34</v>
      </c>
      <c r="J683" s="5">
        <v>988</v>
      </c>
      <c r="K683" s="18">
        <f t="shared" si="33"/>
        <v>28.228571428571428</v>
      </c>
    </row>
    <row r="684" spans="1:11" x14ac:dyDescent="0.3">
      <c r="A684" s="14">
        <v>2022</v>
      </c>
      <c r="B684" s="14">
        <f t="shared" si="32"/>
        <v>9</v>
      </c>
      <c r="C684" s="9">
        <v>44620</v>
      </c>
      <c r="D684" s="9">
        <v>44624</v>
      </c>
      <c r="E684" s="14">
        <f>VLOOKUP(F684,CarrierID!A:B,2,0)</f>
        <v>5</v>
      </c>
      <c r="F684" s="15" t="s">
        <v>1</v>
      </c>
      <c r="G684" t="str">
        <f>VLOOKUP(F684,Carrier_Category!A:B,2,0)</f>
        <v>Intercity</v>
      </c>
      <c r="H684" s="5">
        <v>40</v>
      </c>
      <c r="I684" s="7">
        <f t="shared" si="34"/>
        <v>43</v>
      </c>
      <c r="J684" s="5">
        <v>1006</v>
      </c>
      <c r="K684" s="18">
        <f t="shared" si="33"/>
        <v>25.15</v>
      </c>
    </row>
    <row r="685" spans="1:11" x14ac:dyDescent="0.3">
      <c r="A685" s="14">
        <v>2022</v>
      </c>
      <c r="B685" s="14">
        <f t="shared" si="32"/>
        <v>9</v>
      </c>
      <c r="C685" s="9">
        <v>44620</v>
      </c>
      <c r="D685" s="9">
        <v>44624</v>
      </c>
      <c r="E685" s="14">
        <f>VLOOKUP(F685,CarrierID!A:B,2,0)</f>
        <v>8</v>
      </c>
      <c r="F685" s="15" t="s">
        <v>2</v>
      </c>
      <c r="G685" t="str">
        <f>VLOOKUP(F685,Carrier_Category!A:B,2,0)</f>
        <v>Commuter</v>
      </c>
      <c r="H685" s="5">
        <v>16</v>
      </c>
      <c r="I685" s="7">
        <f t="shared" si="34"/>
        <v>17</v>
      </c>
      <c r="J685" s="5">
        <v>673</v>
      </c>
      <c r="K685" s="18">
        <f t="shared" si="33"/>
        <v>42.0625</v>
      </c>
    </row>
    <row r="686" spans="1:11" x14ac:dyDescent="0.3">
      <c r="A686" s="14">
        <v>2022</v>
      </c>
      <c r="B686" s="14">
        <f t="shared" si="32"/>
        <v>9</v>
      </c>
      <c r="C686" s="9">
        <v>44620</v>
      </c>
      <c r="D686" s="9">
        <v>44624</v>
      </c>
      <c r="E686" s="14">
        <f>VLOOKUP(F686,CarrierID!A:B,2,0)</f>
        <v>9</v>
      </c>
      <c r="F686" s="15" t="s">
        <v>3</v>
      </c>
      <c r="G686" t="str">
        <f>VLOOKUP(F686,Carrier_Category!A:B,2,0)</f>
        <v>NJT</v>
      </c>
      <c r="H686" s="5">
        <v>2160</v>
      </c>
      <c r="I686" s="7">
        <f t="shared" si="34"/>
        <v>2147</v>
      </c>
      <c r="J686" s="5">
        <v>51417</v>
      </c>
      <c r="K686" s="18">
        <f t="shared" si="33"/>
        <v>23.804166666666667</v>
      </c>
    </row>
    <row r="687" spans="1:11" x14ac:dyDescent="0.3">
      <c r="A687" s="14">
        <v>2022</v>
      </c>
      <c r="B687" s="14">
        <f t="shared" si="32"/>
        <v>9</v>
      </c>
      <c r="C687" s="9">
        <v>44620</v>
      </c>
      <c r="D687" s="9">
        <v>44624</v>
      </c>
      <c r="E687" s="14">
        <f>VLOOKUP(F687,CarrierID!A:B,2,0)</f>
        <v>7</v>
      </c>
      <c r="F687" s="15" t="s">
        <v>4</v>
      </c>
      <c r="G687" t="str">
        <f>VLOOKUP(F687,Carrier_Category!A:B,2,0)</f>
        <v>Commuter</v>
      </c>
      <c r="H687" s="5">
        <v>25</v>
      </c>
      <c r="I687" s="7">
        <f t="shared" si="34"/>
        <v>25</v>
      </c>
      <c r="J687" s="5">
        <v>760</v>
      </c>
      <c r="K687" s="18">
        <f t="shared" si="33"/>
        <v>30.4</v>
      </c>
    </row>
    <row r="688" spans="1:11" x14ac:dyDescent="0.3">
      <c r="A688" s="14">
        <v>2022</v>
      </c>
      <c r="B688" s="14">
        <f t="shared" si="32"/>
        <v>9</v>
      </c>
      <c r="C688" s="9">
        <v>44620</v>
      </c>
      <c r="D688" s="9">
        <v>44624</v>
      </c>
      <c r="E688" s="14">
        <f>VLOOKUP(F688,CarrierID!A:B,2,0)</f>
        <v>11</v>
      </c>
      <c r="F688" s="15" t="s">
        <v>5</v>
      </c>
      <c r="G688" t="str">
        <f>VLOOKUP(F688,Carrier_Category!A:B,2,0)</f>
        <v>Intercity</v>
      </c>
      <c r="H688" s="5">
        <v>19</v>
      </c>
      <c r="I688" s="7">
        <f t="shared" si="34"/>
        <v>20</v>
      </c>
      <c r="J688" s="5">
        <v>418</v>
      </c>
      <c r="K688" s="18">
        <f t="shared" si="33"/>
        <v>22</v>
      </c>
    </row>
    <row r="689" spans="1:11" x14ac:dyDescent="0.3">
      <c r="A689" s="14">
        <v>2022</v>
      </c>
      <c r="B689" s="14">
        <f t="shared" si="32"/>
        <v>9</v>
      </c>
      <c r="C689" s="9">
        <v>44620</v>
      </c>
      <c r="D689" s="9">
        <v>44624</v>
      </c>
      <c r="E689" s="14">
        <f>VLOOKUP(F689,CarrierID!A:B,2,0)</f>
        <v>3</v>
      </c>
      <c r="F689" s="15" t="s">
        <v>6</v>
      </c>
      <c r="G689" t="str">
        <f>VLOOKUP(F689,Carrier_Category!A:B,2,0)</f>
        <v>Commuter</v>
      </c>
      <c r="H689" s="5">
        <v>129</v>
      </c>
      <c r="I689" s="7">
        <f t="shared" si="34"/>
        <v>130</v>
      </c>
      <c r="J689" s="5">
        <v>3756</v>
      </c>
      <c r="K689" s="18">
        <f t="shared" si="33"/>
        <v>29.11627906976744</v>
      </c>
    </row>
    <row r="690" spans="1:11" x14ac:dyDescent="0.3">
      <c r="A690" s="14">
        <v>2022</v>
      </c>
      <c r="B690" s="14">
        <f t="shared" si="32"/>
        <v>9</v>
      </c>
      <c r="C690" s="9">
        <v>44620</v>
      </c>
      <c r="D690" s="9">
        <v>44624</v>
      </c>
      <c r="E690" s="14">
        <f>VLOOKUP(F690,CarrierID!A:B,2,0)</f>
        <v>12</v>
      </c>
      <c r="F690" s="15" t="s">
        <v>25</v>
      </c>
      <c r="G690" t="str">
        <f>VLOOKUP(F690,Carrier_Category!A:B,2,0)</f>
        <v>Commuter</v>
      </c>
      <c r="H690" s="5">
        <v>18</v>
      </c>
      <c r="I690" s="7">
        <f t="shared" si="34"/>
        <v>18</v>
      </c>
      <c r="J690" s="5">
        <v>547</v>
      </c>
      <c r="K690" s="18">
        <f t="shared" si="33"/>
        <v>30.388888888888889</v>
      </c>
    </row>
    <row r="691" spans="1:11" x14ac:dyDescent="0.3">
      <c r="A691" s="14">
        <v>2022</v>
      </c>
      <c r="B691" s="14">
        <f t="shared" si="32"/>
        <v>9</v>
      </c>
      <c r="C691" s="9">
        <v>44620</v>
      </c>
      <c r="D691" s="9">
        <v>44624</v>
      </c>
      <c r="E691" s="14">
        <f>VLOOKUP(F691,CarrierID!A:B,2,0)</f>
        <v>10</v>
      </c>
      <c r="F691" s="15" t="s">
        <v>8</v>
      </c>
      <c r="G691" t="str">
        <f>VLOOKUP(F691,Carrier_Category!A:B,2,0)</f>
        <v>Intercity</v>
      </c>
      <c r="H691" s="5">
        <v>21</v>
      </c>
      <c r="I691" s="7">
        <f t="shared" si="34"/>
        <v>20</v>
      </c>
      <c r="J691" s="5">
        <v>569</v>
      </c>
      <c r="K691" s="18">
        <f t="shared" si="33"/>
        <v>27.095238095238095</v>
      </c>
    </row>
    <row r="692" spans="1:11" x14ac:dyDescent="0.3">
      <c r="A692" s="14">
        <v>2022</v>
      </c>
      <c r="B692" s="14">
        <f t="shared" si="32"/>
        <v>9</v>
      </c>
      <c r="C692" s="9">
        <v>44620</v>
      </c>
      <c r="D692" s="9">
        <v>44624</v>
      </c>
      <c r="E692" s="14">
        <f>VLOOKUP(F692,CarrierID!A:B,2,0)</f>
        <v>4</v>
      </c>
      <c r="F692" s="15" t="s">
        <v>24</v>
      </c>
      <c r="G692" t="str">
        <f>VLOOKUP(F692,Carrier_Category!A:B,2,0)</f>
        <v>Commuter</v>
      </c>
      <c r="H692" s="5">
        <v>37</v>
      </c>
      <c r="I692" s="7">
        <f t="shared" si="34"/>
        <v>37</v>
      </c>
      <c r="J692" s="5">
        <v>460</v>
      </c>
      <c r="K692" s="18">
        <f t="shared" si="33"/>
        <v>12.432432432432432</v>
      </c>
    </row>
    <row r="693" spans="1:11" x14ac:dyDescent="0.3">
      <c r="A693" s="14">
        <v>2022</v>
      </c>
      <c r="B693" s="14">
        <f t="shared" si="32"/>
        <v>9</v>
      </c>
      <c r="C693" s="9">
        <v>44620</v>
      </c>
      <c r="D693" s="9">
        <v>44624</v>
      </c>
      <c r="E693" s="14">
        <f>VLOOKUP(F693,CarrierID!A:B,2,0)</f>
        <v>6</v>
      </c>
      <c r="F693" s="15" t="s">
        <v>9</v>
      </c>
      <c r="G693" t="str">
        <f>VLOOKUP(F693,Carrier_Category!A:B,2,0)</f>
        <v>Commuter</v>
      </c>
      <c r="H693" s="5">
        <v>83</v>
      </c>
      <c r="I693" s="7">
        <f t="shared" si="34"/>
        <v>57</v>
      </c>
      <c r="J693" s="5">
        <v>1429</v>
      </c>
      <c r="K693" s="18">
        <f t="shared" si="33"/>
        <v>17.216867469879517</v>
      </c>
    </row>
    <row r="694" spans="1:11" x14ac:dyDescent="0.3">
      <c r="A694" s="14">
        <v>2022</v>
      </c>
      <c r="B694" s="14">
        <f t="shared" si="32"/>
        <v>10</v>
      </c>
      <c r="C694" s="9">
        <v>44627</v>
      </c>
      <c r="D694" s="9">
        <v>44631</v>
      </c>
      <c r="E694" s="14">
        <f>VLOOKUP(F694,CarrierID!A:B,2,0)</f>
        <v>1</v>
      </c>
      <c r="F694" s="15" t="s">
        <v>0</v>
      </c>
      <c r="G694" t="str">
        <f>VLOOKUP(F694,Carrier_Category!A:B,2,0)</f>
        <v>Commuter</v>
      </c>
      <c r="H694" s="5">
        <v>35</v>
      </c>
      <c r="I694" s="7">
        <f t="shared" si="34"/>
        <v>35</v>
      </c>
      <c r="J694" s="5">
        <v>1054</v>
      </c>
      <c r="K694" s="18">
        <f t="shared" si="33"/>
        <v>30.114285714285714</v>
      </c>
    </row>
    <row r="695" spans="1:11" x14ac:dyDescent="0.3">
      <c r="A695" s="14">
        <v>2022</v>
      </c>
      <c r="B695" s="14">
        <f t="shared" si="32"/>
        <v>10</v>
      </c>
      <c r="C695" s="9">
        <v>44627</v>
      </c>
      <c r="D695" s="9">
        <v>44631</v>
      </c>
      <c r="E695" s="14">
        <f>VLOOKUP(F695,CarrierID!A:B,2,0)</f>
        <v>5</v>
      </c>
      <c r="F695" s="15" t="s">
        <v>1</v>
      </c>
      <c r="G695" t="str">
        <f>VLOOKUP(F695,Carrier_Category!A:B,2,0)</f>
        <v>Intercity</v>
      </c>
      <c r="H695" s="5">
        <v>44</v>
      </c>
      <c r="I695" s="7">
        <f t="shared" si="34"/>
        <v>40</v>
      </c>
      <c r="J695" s="5">
        <v>1201</v>
      </c>
      <c r="K695" s="18">
        <f t="shared" si="33"/>
        <v>27.295454545454547</v>
      </c>
    </row>
    <row r="696" spans="1:11" x14ac:dyDescent="0.3">
      <c r="A696" s="14">
        <v>2022</v>
      </c>
      <c r="B696" s="14">
        <f t="shared" si="32"/>
        <v>10</v>
      </c>
      <c r="C696" s="9">
        <v>44627</v>
      </c>
      <c r="D696" s="9">
        <v>44631</v>
      </c>
      <c r="E696" s="14">
        <f>VLOOKUP(F696,CarrierID!A:B,2,0)</f>
        <v>8</v>
      </c>
      <c r="F696" s="15" t="s">
        <v>2</v>
      </c>
      <c r="G696" t="str">
        <f>VLOOKUP(F696,Carrier_Category!A:B,2,0)</f>
        <v>Commuter</v>
      </c>
      <c r="H696" s="5">
        <v>17</v>
      </c>
      <c r="I696" s="7">
        <f t="shared" si="34"/>
        <v>16</v>
      </c>
      <c r="J696" s="5">
        <v>736</v>
      </c>
      <c r="K696" s="18">
        <f t="shared" si="33"/>
        <v>43.294117647058826</v>
      </c>
    </row>
    <row r="697" spans="1:11" x14ac:dyDescent="0.3">
      <c r="A697" s="14">
        <v>2022</v>
      </c>
      <c r="B697" s="14">
        <f t="shared" si="32"/>
        <v>10</v>
      </c>
      <c r="C697" s="9">
        <v>44627</v>
      </c>
      <c r="D697" s="9">
        <v>44631</v>
      </c>
      <c r="E697" s="14">
        <f>VLOOKUP(F697,CarrierID!A:B,2,0)</f>
        <v>9</v>
      </c>
      <c r="F697" s="15" t="s">
        <v>3</v>
      </c>
      <c r="G697" t="str">
        <f>VLOOKUP(F697,Carrier_Category!A:B,2,0)</f>
        <v>NJT</v>
      </c>
      <c r="H697" s="5">
        <v>2158</v>
      </c>
      <c r="I697" s="7">
        <f t="shared" si="34"/>
        <v>2160</v>
      </c>
      <c r="J697" s="5">
        <v>48835</v>
      </c>
      <c r="K697" s="18">
        <f t="shared" si="33"/>
        <v>22.629749768303984</v>
      </c>
    </row>
    <row r="698" spans="1:11" x14ac:dyDescent="0.3">
      <c r="A698" s="14">
        <v>2022</v>
      </c>
      <c r="B698" s="14">
        <f t="shared" si="32"/>
        <v>10</v>
      </c>
      <c r="C698" s="9">
        <v>44627</v>
      </c>
      <c r="D698" s="9">
        <v>44631</v>
      </c>
      <c r="E698" s="14">
        <f>VLOOKUP(F698,CarrierID!A:B,2,0)</f>
        <v>7</v>
      </c>
      <c r="F698" s="15" t="s">
        <v>4</v>
      </c>
      <c r="G698" t="str">
        <f>VLOOKUP(F698,Carrier_Category!A:B,2,0)</f>
        <v>Commuter</v>
      </c>
      <c r="H698" s="5">
        <v>27</v>
      </c>
      <c r="I698" s="7">
        <f t="shared" si="34"/>
        <v>25</v>
      </c>
      <c r="J698" s="5">
        <v>995</v>
      </c>
      <c r="K698" s="18">
        <f t="shared" si="33"/>
        <v>36.851851851851855</v>
      </c>
    </row>
    <row r="699" spans="1:11" x14ac:dyDescent="0.3">
      <c r="A699" s="14">
        <v>2022</v>
      </c>
      <c r="B699" s="14">
        <f t="shared" si="32"/>
        <v>10</v>
      </c>
      <c r="C699" s="9">
        <v>44627</v>
      </c>
      <c r="D699" s="9">
        <v>44631</v>
      </c>
      <c r="E699" s="14">
        <f>VLOOKUP(F699,CarrierID!A:B,2,0)</f>
        <v>11</v>
      </c>
      <c r="F699" s="15" t="s">
        <v>5</v>
      </c>
      <c r="G699" t="str">
        <f>VLOOKUP(F699,Carrier_Category!A:B,2,0)</f>
        <v>Intercity</v>
      </c>
      <c r="H699" s="5">
        <v>19</v>
      </c>
      <c r="I699" s="7">
        <f t="shared" si="34"/>
        <v>19</v>
      </c>
      <c r="J699" s="5">
        <v>460</v>
      </c>
      <c r="K699" s="18">
        <f t="shared" si="33"/>
        <v>24.210526315789473</v>
      </c>
    </row>
    <row r="700" spans="1:11" x14ac:dyDescent="0.3">
      <c r="A700" s="14">
        <v>2022</v>
      </c>
      <c r="B700" s="14">
        <f t="shared" si="32"/>
        <v>10</v>
      </c>
      <c r="C700" s="9">
        <v>44627</v>
      </c>
      <c r="D700" s="9">
        <v>44631</v>
      </c>
      <c r="E700" s="14">
        <f>VLOOKUP(F700,CarrierID!A:B,2,0)</f>
        <v>3</v>
      </c>
      <c r="F700" s="15" t="s">
        <v>6</v>
      </c>
      <c r="G700" t="str">
        <f>VLOOKUP(F700,Carrier_Category!A:B,2,0)</f>
        <v>Commuter</v>
      </c>
      <c r="H700" s="5">
        <v>130</v>
      </c>
      <c r="I700" s="7">
        <f t="shared" si="34"/>
        <v>129</v>
      </c>
      <c r="J700" s="5">
        <v>4111</v>
      </c>
      <c r="K700" s="18">
        <f t="shared" si="33"/>
        <v>31.623076923076923</v>
      </c>
    </row>
    <row r="701" spans="1:11" x14ac:dyDescent="0.3">
      <c r="A701" s="14">
        <v>2022</v>
      </c>
      <c r="B701" s="14">
        <f t="shared" si="32"/>
        <v>10</v>
      </c>
      <c r="C701" s="9">
        <v>44627</v>
      </c>
      <c r="D701" s="9">
        <v>44631</v>
      </c>
      <c r="E701" s="14">
        <f>VLOOKUP(F701,CarrierID!A:B,2,0)</f>
        <v>12</v>
      </c>
      <c r="F701" s="15" t="s">
        <v>25</v>
      </c>
      <c r="G701" t="str">
        <f>VLOOKUP(F701,Carrier_Category!A:B,2,0)</f>
        <v>Commuter</v>
      </c>
      <c r="H701" s="5">
        <v>18</v>
      </c>
      <c r="I701" s="7">
        <f t="shared" si="34"/>
        <v>18</v>
      </c>
      <c r="J701" s="5">
        <v>567</v>
      </c>
      <c r="K701" s="18">
        <f t="shared" si="33"/>
        <v>31.5</v>
      </c>
    </row>
    <row r="702" spans="1:11" x14ac:dyDescent="0.3">
      <c r="A702" s="14">
        <v>2022</v>
      </c>
      <c r="B702" s="14">
        <f t="shared" si="32"/>
        <v>10</v>
      </c>
      <c r="C702" s="9">
        <v>44627</v>
      </c>
      <c r="D702" s="9">
        <v>44631</v>
      </c>
      <c r="E702" s="14">
        <f>VLOOKUP(F702,CarrierID!A:B,2,0)</f>
        <v>10</v>
      </c>
      <c r="F702" s="15" t="s">
        <v>8</v>
      </c>
      <c r="G702" t="str">
        <f>VLOOKUP(F702,Carrier_Category!A:B,2,0)</f>
        <v>Intercity</v>
      </c>
      <c r="H702" s="5">
        <v>22</v>
      </c>
      <c r="I702" s="7">
        <f t="shared" si="34"/>
        <v>21</v>
      </c>
      <c r="J702" s="5">
        <v>622</v>
      </c>
      <c r="K702" s="18">
        <f t="shared" si="33"/>
        <v>28.272727272727273</v>
      </c>
    </row>
    <row r="703" spans="1:11" x14ac:dyDescent="0.3">
      <c r="A703" s="14">
        <v>2022</v>
      </c>
      <c r="B703" s="14">
        <f t="shared" si="32"/>
        <v>10</v>
      </c>
      <c r="C703" s="9">
        <v>44627</v>
      </c>
      <c r="D703" s="9">
        <v>44631</v>
      </c>
      <c r="E703" s="14">
        <f>VLOOKUP(F703,CarrierID!A:B,2,0)</f>
        <v>4</v>
      </c>
      <c r="F703" s="15" t="s">
        <v>24</v>
      </c>
      <c r="G703" t="str">
        <f>VLOOKUP(F703,Carrier_Category!A:B,2,0)</f>
        <v>Commuter</v>
      </c>
      <c r="H703" s="5">
        <v>37</v>
      </c>
      <c r="I703" s="7">
        <f t="shared" si="34"/>
        <v>37</v>
      </c>
      <c r="J703" s="5">
        <v>487</v>
      </c>
      <c r="K703" s="18">
        <f t="shared" si="33"/>
        <v>13.162162162162161</v>
      </c>
    </row>
    <row r="704" spans="1:11" x14ac:dyDescent="0.3">
      <c r="A704" s="14">
        <v>2022</v>
      </c>
      <c r="B704" s="14">
        <f t="shared" si="32"/>
        <v>10</v>
      </c>
      <c r="C704" s="9">
        <v>44627</v>
      </c>
      <c r="D704" s="9">
        <v>44631</v>
      </c>
      <c r="E704" s="14">
        <f>VLOOKUP(F704,CarrierID!A:B,2,0)</f>
        <v>6</v>
      </c>
      <c r="F704" s="15" t="s">
        <v>9</v>
      </c>
      <c r="G704" t="str">
        <f>VLOOKUP(F704,Carrier_Category!A:B,2,0)</f>
        <v>Commuter</v>
      </c>
      <c r="H704" s="5">
        <v>85</v>
      </c>
      <c r="I704" s="7">
        <f t="shared" si="34"/>
        <v>83</v>
      </c>
      <c r="J704" s="5">
        <v>1587</v>
      </c>
      <c r="K704" s="18">
        <f t="shared" si="33"/>
        <v>18.670588235294119</v>
      </c>
    </row>
    <row r="705" spans="1:11" x14ac:dyDescent="0.3">
      <c r="A705" s="14">
        <v>2022</v>
      </c>
      <c r="B705" s="14">
        <f t="shared" si="32"/>
        <v>11</v>
      </c>
      <c r="C705" s="9">
        <v>44634</v>
      </c>
      <c r="D705" s="9">
        <v>44638</v>
      </c>
      <c r="E705" s="14">
        <f>VLOOKUP(F705,CarrierID!A:B,2,0)</f>
        <v>1</v>
      </c>
      <c r="F705" s="15" t="s">
        <v>0</v>
      </c>
      <c r="G705" t="str">
        <f>VLOOKUP(F705,Carrier_Category!A:B,2,0)</f>
        <v>Commuter</v>
      </c>
      <c r="H705" s="5">
        <v>35</v>
      </c>
      <c r="I705" s="7">
        <f t="shared" si="34"/>
        <v>35</v>
      </c>
      <c r="J705" s="5">
        <v>1077</v>
      </c>
      <c r="K705" s="18">
        <f t="shared" si="33"/>
        <v>30.771428571428572</v>
      </c>
    </row>
    <row r="706" spans="1:11" x14ac:dyDescent="0.3">
      <c r="A706" s="14">
        <v>2022</v>
      </c>
      <c r="B706" s="14">
        <f t="shared" si="32"/>
        <v>11</v>
      </c>
      <c r="C706" s="9">
        <v>44634</v>
      </c>
      <c r="D706" s="9">
        <v>44638</v>
      </c>
      <c r="E706" s="14">
        <f>VLOOKUP(F706,CarrierID!A:B,2,0)</f>
        <v>5</v>
      </c>
      <c r="F706" s="15" t="s">
        <v>1</v>
      </c>
      <c r="G706" t="str">
        <f>VLOOKUP(F706,Carrier_Category!A:B,2,0)</f>
        <v>Intercity</v>
      </c>
      <c r="H706" s="5">
        <v>45</v>
      </c>
      <c r="I706" s="7">
        <f t="shared" si="34"/>
        <v>44</v>
      </c>
      <c r="J706" s="5">
        <v>1409</v>
      </c>
      <c r="K706" s="18">
        <f t="shared" si="33"/>
        <v>31.31111111111111</v>
      </c>
    </row>
    <row r="707" spans="1:11" x14ac:dyDescent="0.3">
      <c r="A707" s="14">
        <v>2022</v>
      </c>
      <c r="B707" s="14">
        <f t="shared" si="32"/>
        <v>11</v>
      </c>
      <c r="C707" s="9">
        <v>44634</v>
      </c>
      <c r="D707" s="9">
        <v>44638</v>
      </c>
      <c r="E707" s="14">
        <f>VLOOKUP(F707,CarrierID!A:B,2,0)</f>
        <v>8</v>
      </c>
      <c r="F707" s="15" t="s">
        <v>2</v>
      </c>
      <c r="G707" t="str">
        <f>VLOOKUP(F707,Carrier_Category!A:B,2,0)</f>
        <v>Commuter</v>
      </c>
      <c r="H707" s="5">
        <v>17</v>
      </c>
      <c r="I707" s="7">
        <f t="shared" si="34"/>
        <v>17</v>
      </c>
      <c r="J707" s="5">
        <v>776</v>
      </c>
      <c r="K707" s="18">
        <f t="shared" si="33"/>
        <v>45.647058823529413</v>
      </c>
    </row>
    <row r="708" spans="1:11" x14ac:dyDescent="0.3">
      <c r="A708" s="14">
        <v>2022</v>
      </c>
      <c r="B708" s="14">
        <f t="shared" si="32"/>
        <v>11</v>
      </c>
      <c r="C708" s="9">
        <v>44634</v>
      </c>
      <c r="D708" s="9">
        <v>44638</v>
      </c>
      <c r="E708" s="14">
        <f>VLOOKUP(F708,CarrierID!A:B,2,0)</f>
        <v>9</v>
      </c>
      <c r="F708" s="15" t="s">
        <v>3</v>
      </c>
      <c r="G708" t="str">
        <f>VLOOKUP(F708,Carrier_Category!A:B,2,0)</f>
        <v>NJT</v>
      </c>
      <c r="H708" s="5">
        <v>2156</v>
      </c>
      <c r="I708" s="7">
        <f t="shared" si="34"/>
        <v>2158</v>
      </c>
      <c r="J708" s="5">
        <v>53623</v>
      </c>
      <c r="K708" s="18">
        <f t="shared" si="33"/>
        <v>24.871521335807049</v>
      </c>
    </row>
    <row r="709" spans="1:11" x14ac:dyDescent="0.3">
      <c r="A709" s="14">
        <v>2022</v>
      </c>
      <c r="B709" s="14">
        <f t="shared" ref="B709:B772" si="35">_xlfn.ISOWEEKNUM(C709)</f>
        <v>11</v>
      </c>
      <c r="C709" s="9">
        <v>44634</v>
      </c>
      <c r="D709" s="9">
        <v>44638</v>
      </c>
      <c r="E709" s="14">
        <f>VLOOKUP(F709,CarrierID!A:B,2,0)</f>
        <v>7</v>
      </c>
      <c r="F709" s="15" t="s">
        <v>4</v>
      </c>
      <c r="G709" t="str">
        <f>VLOOKUP(F709,Carrier_Category!A:B,2,0)</f>
        <v>Commuter</v>
      </c>
      <c r="H709" s="5">
        <v>30</v>
      </c>
      <c r="I709" s="7">
        <f t="shared" si="34"/>
        <v>27</v>
      </c>
      <c r="J709" s="5">
        <v>1114</v>
      </c>
      <c r="K709" s="18">
        <f t="shared" ref="K709:K772" si="36">J709/H709</f>
        <v>37.133333333333333</v>
      </c>
    </row>
    <row r="710" spans="1:11" x14ac:dyDescent="0.3">
      <c r="A710" s="14">
        <v>2022</v>
      </c>
      <c r="B710" s="14">
        <f t="shared" si="35"/>
        <v>11</v>
      </c>
      <c r="C710" s="9">
        <v>44634</v>
      </c>
      <c r="D710" s="9">
        <v>44638</v>
      </c>
      <c r="E710" s="14">
        <f>VLOOKUP(F710,CarrierID!A:B,2,0)</f>
        <v>11</v>
      </c>
      <c r="F710" s="15" t="s">
        <v>5</v>
      </c>
      <c r="G710" t="str">
        <f>VLOOKUP(F710,Carrier_Category!A:B,2,0)</f>
        <v>Intercity</v>
      </c>
      <c r="H710" s="5">
        <v>19</v>
      </c>
      <c r="I710" s="7">
        <f t="shared" si="34"/>
        <v>19</v>
      </c>
      <c r="J710" s="5">
        <v>508</v>
      </c>
      <c r="K710" s="18">
        <f t="shared" si="36"/>
        <v>26.736842105263158</v>
      </c>
    </row>
    <row r="711" spans="1:11" x14ac:dyDescent="0.3">
      <c r="A711" s="14">
        <v>2022</v>
      </c>
      <c r="B711" s="14">
        <f t="shared" si="35"/>
        <v>11</v>
      </c>
      <c r="C711" s="9">
        <v>44634</v>
      </c>
      <c r="D711" s="9">
        <v>44638</v>
      </c>
      <c r="E711" s="14">
        <f>VLOOKUP(F711,CarrierID!A:B,2,0)</f>
        <v>3</v>
      </c>
      <c r="F711" s="15" t="s">
        <v>6</v>
      </c>
      <c r="G711" t="str">
        <f>VLOOKUP(F711,Carrier_Category!A:B,2,0)</f>
        <v>Commuter</v>
      </c>
      <c r="H711" s="5">
        <v>129</v>
      </c>
      <c r="I711" s="7">
        <f t="shared" si="34"/>
        <v>130</v>
      </c>
      <c r="J711" s="5">
        <v>4270</v>
      </c>
      <c r="K711" s="18">
        <f t="shared" si="36"/>
        <v>33.100775193798448</v>
      </c>
    </row>
    <row r="712" spans="1:11" x14ac:dyDescent="0.3">
      <c r="A712" s="14">
        <v>2022</v>
      </c>
      <c r="B712" s="14">
        <f t="shared" si="35"/>
        <v>11</v>
      </c>
      <c r="C712" s="9">
        <v>44634</v>
      </c>
      <c r="D712" s="9">
        <v>44638</v>
      </c>
      <c r="E712" s="14">
        <f>VLOOKUP(F712,CarrierID!A:B,2,0)</f>
        <v>12</v>
      </c>
      <c r="F712" s="15" t="s">
        <v>25</v>
      </c>
      <c r="G712" t="str">
        <f>VLOOKUP(F712,Carrier_Category!A:B,2,0)</f>
        <v>Commuter</v>
      </c>
      <c r="H712" s="5">
        <v>18</v>
      </c>
      <c r="I712" s="7">
        <f t="shared" si="34"/>
        <v>18</v>
      </c>
      <c r="J712" s="5">
        <v>596</v>
      </c>
      <c r="K712" s="18">
        <f t="shared" si="36"/>
        <v>33.111111111111114</v>
      </c>
    </row>
    <row r="713" spans="1:11" x14ac:dyDescent="0.3">
      <c r="A713" s="14">
        <v>2022</v>
      </c>
      <c r="B713" s="14">
        <f t="shared" si="35"/>
        <v>11</v>
      </c>
      <c r="C713" s="9">
        <v>44634</v>
      </c>
      <c r="D713" s="9">
        <v>44638</v>
      </c>
      <c r="E713" s="14">
        <f>VLOOKUP(F713,CarrierID!A:B,2,0)</f>
        <v>10</v>
      </c>
      <c r="F713" s="15" t="s">
        <v>8</v>
      </c>
      <c r="G713" t="str">
        <f>VLOOKUP(F713,Carrier_Category!A:B,2,0)</f>
        <v>Intercity</v>
      </c>
      <c r="H713" s="5">
        <v>24</v>
      </c>
      <c r="I713" s="7">
        <f t="shared" si="34"/>
        <v>22</v>
      </c>
      <c r="J713" s="5">
        <v>902</v>
      </c>
      <c r="K713" s="18">
        <f t="shared" si="36"/>
        <v>37.583333333333336</v>
      </c>
    </row>
    <row r="714" spans="1:11" x14ac:dyDescent="0.3">
      <c r="A714" s="14">
        <v>2022</v>
      </c>
      <c r="B714" s="14">
        <f t="shared" si="35"/>
        <v>11</v>
      </c>
      <c r="C714" s="9">
        <v>44634</v>
      </c>
      <c r="D714" s="9">
        <v>44638</v>
      </c>
      <c r="E714" s="14">
        <f>VLOOKUP(F714,CarrierID!A:B,2,0)</f>
        <v>4</v>
      </c>
      <c r="F714" s="15" t="s">
        <v>24</v>
      </c>
      <c r="G714" t="str">
        <f>VLOOKUP(F714,Carrier_Category!A:B,2,0)</f>
        <v>Commuter</v>
      </c>
      <c r="H714" s="5">
        <v>37</v>
      </c>
      <c r="I714" s="7">
        <f t="shared" si="34"/>
        <v>37</v>
      </c>
      <c r="J714" s="5">
        <v>509</v>
      </c>
      <c r="K714" s="18">
        <f t="shared" si="36"/>
        <v>13.756756756756756</v>
      </c>
    </row>
    <row r="715" spans="1:11" x14ac:dyDescent="0.3">
      <c r="A715" s="14">
        <v>2022</v>
      </c>
      <c r="B715" s="14">
        <f t="shared" si="35"/>
        <v>11</v>
      </c>
      <c r="C715" s="9">
        <v>44634</v>
      </c>
      <c r="D715" s="9">
        <v>44638</v>
      </c>
      <c r="E715" s="14">
        <f>VLOOKUP(F715,CarrierID!A:B,2,0)</f>
        <v>6</v>
      </c>
      <c r="F715" s="15" t="s">
        <v>9</v>
      </c>
      <c r="G715" t="str">
        <f>VLOOKUP(F715,Carrier_Category!A:B,2,0)</f>
        <v>Commuter</v>
      </c>
      <c r="H715" s="5">
        <v>86</v>
      </c>
      <c r="I715" s="7">
        <f t="shared" si="34"/>
        <v>85</v>
      </c>
      <c r="J715" s="5">
        <v>1602</v>
      </c>
      <c r="K715" s="18">
        <f t="shared" si="36"/>
        <v>18.627906976744185</v>
      </c>
    </row>
    <row r="716" spans="1:11" x14ac:dyDescent="0.3">
      <c r="A716" s="14">
        <v>2022</v>
      </c>
      <c r="B716" s="14">
        <f t="shared" si="35"/>
        <v>12</v>
      </c>
      <c r="C716" s="9">
        <v>44641</v>
      </c>
      <c r="D716" s="9">
        <v>44645</v>
      </c>
      <c r="E716" s="14">
        <f>VLOOKUP(F716,CarrierID!A:B,2,0)</f>
        <v>1</v>
      </c>
      <c r="F716" s="15" t="s">
        <v>0</v>
      </c>
      <c r="G716" t="str">
        <f>VLOOKUP(F716,Carrier_Category!A:B,2,0)</f>
        <v>Commuter</v>
      </c>
      <c r="H716" s="5">
        <v>35</v>
      </c>
      <c r="I716" s="7">
        <f t="shared" si="34"/>
        <v>35</v>
      </c>
      <c r="J716" s="5">
        <v>1110</v>
      </c>
      <c r="K716" s="18">
        <f t="shared" si="36"/>
        <v>31.714285714285715</v>
      </c>
    </row>
    <row r="717" spans="1:11" x14ac:dyDescent="0.3">
      <c r="A717" s="14">
        <v>2022</v>
      </c>
      <c r="B717" s="14">
        <f t="shared" si="35"/>
        <v>12</v>
      </c>
      <c r="C717" s="9">
        <v>44641</v>
      </c>
      <c r="D717" s="9">
        <v>44645</v>
      </c>
      <c r="E717" s="14">
        <f>VLOOKUP(F717,CarrierID!A:B,2,0)</f>
        <v>5</v>
      </c>
      <c r="F717" s="15" t="s">
        <v>1</v>
      </c>
      <c r="G717" t="str">
        <f>VLOOKUP(F717,Carrier_Category!A:B,2,0)</f>
        <v>Intercity</v>
      </c>
      <c r="H717" s="5">
        <v>45</v>
      </c>
      <c r="I717" s="7">
        <f t="shared" ref="I717:I780" si="37">H706</f>
        <v>45</v>
      </c>
      <c r="J717" s="5">
        <v>1362</v>
      </c>
      <c r="K717" s="18">
        <f t="shared" si="36"/>
        <v>30.266666666666666</v>
      </c>
    </row>
    <row r="718" spans="1:11" x14ac:dyDescent="0.3">
      <c r="A718" s="14">
        <v>2022</v>
      </c>
      <c r="B718" s="14">
        <f t="shared" si="35"/>
        <v>12</v>
      </c>
      <c r="C718" s="9">
        <v>44641</v>
      </c>
      <c r="D718" s="9">
        <v>44645</v>
      </c>
      <c r="E718" s="14">
        <f>VLOOKUP(F718,CarrierID!A:B,2,0)</f>
        <v>8</v>
      </c>
      <c r="F718" s="15" t="s">
        <v>2</v>
      </c>
      <c r="G718" t="str">
        <f>VLOOKUP(F718,Carrier_Category!A:B,2,0)</f>
        <v>Commuter</v>
      </c>
      <c r="H718" s="5">
        <v>18</v>
      </c>
      <c r="I718" s="7">
        <f t="shared" si="37"/>
        <v>17</v>
      </c>
      <c r="J718" s="5">
        <v>760</v>
      </c>
      <c r="K718" s="18">
        <f t="shared" si="36"/>
        <v>42.222222222222221</v>
      </c>
    </row>
    <row r="719" spans="1:11" x14ac:dyDescent="0.3">
      <c r="A719" s="14">
        <v>2022</v>
      </c>
      <c r="B719" s="14">
        <f t="shared" si="35"/>
        <v>12</v>
      </c>
      <c r="C719" s="9">
        <v>44641</v>
      </c>
      <c r="D719" s="9">
        <v>44645</v>
      </c>
      <c r="E719" s="14">
        <f>VLOOKUP(F719,CarrierID!A:B,2,0)</f>
        <v>9</v>
      </c>
      <c r="F719" s="15" t="s">
        <v>3</v>
      </c>
      <c r="G719" t="str">
        <f>VLOOKUP(F719,Carrier_Category!A:B,2,0)</f>
        <v>NJT</v>
      </c>
      <c r="H719" s="5">
        <v>2157</v>
      </c>
      <c r="I719" s="7">
        <f t="shared" si="37"/>
        <v>2156</v>
      </c>
      <c r="J719" s="5">
        <v>53698</v>
      </c>
      <c r="K719" s="18">
        <f t="shared" si="36"/>
        <v>24.894761242466387</v>
      </c>
    </row>
    <row r="720" spans="1:11" x14ac:dyDescent="0.3">
      <c r="A720" s="14">
        <v>2022</v>
      </c>
      <c r="B720" s="14">
        <f t="shared" si="35"/>
        <v>12</v>
      </c>
      <c r="C720" s="9">
        <v>44641</v>
      </c>
      <c r="D720" s="9">
        <v>44645</v>
      </c>
      <c r="E720" s="14">
        <f>VLOOKUP(F720,CarrierID!A:B,2,0)</f>
        <v>7</v>
      </c>
      <c r="F720" s="15" t="s">
        <v>4</v>
      </c>
      <c r="G720" t="str">
        <f>VLOOKUP(F720,Carrier_Category!A:B,2,0)</f>
        <v>Commuter</v>
      </c>
      <c r="H720" s="5">
        <v>29</v>
      </c>
      <c r="I720" s="7">
        <f t="shared" si="37"/>
        <v>30</v>
      </c>
      <c r="J720" s="5">
        <v>945</v>
      </c>
      <c r="K720" s="18">
        <f t="shared" si="36"/>
        <v>32.586206896551722</v>
      </c>
    </row>
    <row r="721" spans="1:11" x14ac:dyDescent="0.3">
      <c r="A721" s="14">
        <v>2022</v>
      </c>
      <c r="B721" s="14">
        <f t="shared" si="35"/>
        <v>12</v>
      </c>
      <c r="C721" s="9">
        <v>44641</v>
      </c>
      <c r="D721" s="9">
        <v>44645</v>
      </c>
      <c r="E721" s="14">
        <f>VLOOKUP(F721,CarrierID!A:B,2,0)</f>
        <v>11</v>
      </c>
      <c r="F721" s="15" t="s">
        <v>5</v>
      </c>
      <c r="G721" t="str">
        <f>VLOOKUP(F721,Carrier_Category!A:B,2,0)</f>
        <v>Intercity</v>
      </c>
      <c r="H721" s="5">
        <v>20</v>
      </c>
      <c r="I721" s="7">
        <f t="shared" si="37"/>
        <v>19</v>
      </c>
      <c r="J721" s="5">
        <v>553</v>
      </c>
      <c r="K721" s="18">
        <f t="shared" si="36"/>
        <v>27.65</v>
      </c>
    </row>
    <row r="722" spans="1:11" x14ac:dyDescent="0.3">
      <c r="A722" s="14">
        <v>2022</v>
      </c>
      <c r="B722" s="14">
        <f t="shared" si="35"/>
        <v>12</v>
      </c>
      <c r="C722" s="9">
        <v>44641</v>
      </c>
      <c r="D722" s="9">
        <v>44645</v>
      </c>
      <c r="E722" s="14">
        <f>VLOOKUP(F722,CarrierID!A:B,2,0)</f>
        <v>3</v>
      </c>
      <c r="F722" s="15" t="s">
        <v>6</v>
      </c>
      <c r="G722" t="str">
        <f>VLOOKUP(F722,Carrier_Category!A:B,2,0)</f>
        <v>Commuter</v>
      </c>
      <c r="H722" s="5">
        <v>131</v>
      </c>
      <c r="I722" s="7">
        <f t="shared" si="37"/>
        <v>129</v>
      </c>
      <c r="J722" s="5">
        <v>4257</v>
      </c>
      <c r="K722" s="18">
        <f t="shared" si="36"/>
        <v>32.496183206106871</v>
      </c>
    </row>
    <row r="723" spans="1:11" x14ac:dyDescent="0.3">
      <c r="A723" s="14">
        <v>2022</v>
      </c>
      <c r="B723" s="14">
        <f t="shared" si="35"/>
        <v>12</v>
      </c>
      <c r="C723" s="9">
        <v>44641</v>
      </c>
      <c r="D723" s="9">
        <v>44645</v>
      </c>
      <c r="E723" s="14">
        <f>VLOOKUP(F723,CarrierID!A:B,2,0)</f>
        <v>12</v>
      </c>
      <c r="F723" s="15" t="s">
        <v>25</v>
      </c>
      <c r="G723" t="str">
        <f>VLOOKUP(F723,Carrier_Category!A:B,2,0)</f>
        <v>Commuter</v>
      </c>
      <c r="H723" s="5">
        <v>18</v>
      </c>
      <c r="I723" s="7">
        <f t="shared" si="37"/>
        <v>18</v>
      </c>
      <c r="J723" s="5">
        <v>599</v>
      </c>
      <c r="K723" s="18">
        <f t="shared" si="36"/>
        <v>33.277777777777779</v>
      </c>
    </row>
    <row r="724" spans="1:11" x14ac:dyDescent="0.3">
      <c r="A724" s="14">
        <v>2022</v>
      </c>
      <c r="B724" s="14">
        <f t="shared" si="35"/>
        <v>12</v>
      </c>
      <c r="C724" s="9">
        <v>44641</v>
      </c>
      <c r="D724" s="9">
        <v>44645</v>
      </c>
      <c r="E724" s="14">
        <f>VLOOKUP(F724,CarrierID!A:B,2,0)</f>
        <v>10</v>
      </c>
      <c r="F724" s="15" t="s">
        <v>8</v>
      </c>
      <c r="G724" t="str">
        <f>VLOOKUP(F724,Carrier_Category!A:B,2,0)</f>
        <v>Intercity</v>
      </c>
      <c r="H724" s="5">
        <v>24</v>
      </c>
      <c r="I724" s="7">
        <f t="shared" si="37"/>
        <v>24</v>
      </c>
      <c r="J724" s="5">
        <v>809</v>
      </c>
      <c r="K724" s="18">
        <f t="shared" si="36"/>
        <v>33.708333333333336</v>
      </c>
    </row>
    <row r="725" spans="1:11" x14ac:dyDescent="0.3">
      <c r="A725" s="14">
        <v>2022</v>
      </c>
      <c r="B725" s="14">
        <f t="shared" si="35"/>
        <v>12</v>
      </c>
      <c r="C725" s="9">
        <v>44641</v>
      </c>
      <c r="D725" s="9">
        <v>44645</v>
      </c>
      <c r="E725" s="14">
        <f>VLOOKUP(F725,CarrierID!A:B,2,0)</f>
        <v>4</v>
      </c>
      <c r="F725" s="15" t="s">
        <v>24</v>
      </c>
      <c r="G725" t="str">
        <f>VLOOKUP(F725,Carrier_Category!A:B,2,0)</f>
        <v>Commuter</v>
      </c>
      <c r="H725" s="5">
        <v>37</v>
      </c>
      <c r="I725" s="7">
        <f t="shared" si="37"/>
        <v>37</v>
      </c>
      <c r="J725" s="5">
        <v>498</v>
      </c>
      <c r="K725" s="18">
        <f t="shared" si="36"/>
        <v>13.45945945945946</v>
      </c>
    </row>
    <row r="726" spans="1:11" x14ac:dyDescent="0.3">
      <c r="A726" s="14">
        <v>2022</v>
      </c>
      <c r="B726" s="14">
        <f t="shared" si="35"/>
        <v>12</v>
      </c>
      <c r="C726" s="9">
        <v>44641</v>
      </c>
      <c r="D726" s="9">
        <v>44645</v>
      </c>
      <c r="E726" s="14">
        <f>VLOOKUP(F726,CarrierID!A:B,2,0)</f>
        <v>6</v>
      </c>
      <c r="F726" s="15" t="s">
        <v>9</v>
      </c>
      <c r="G726" t="str">
        <f>VLOOKUP(F726,Carrier_Category!A:B,2,0)</f>
        <v>Commuter</v>
      </c>
      <c r="H726" s="5">
        <v>86</v>
      </c>
      <c r="I726" s="7">
        <f t="shared" si="37"/>
        <v>86</v>
      </c>
      <c r="J726" s="5">
        <v>1368</v>
      </c>
      <c r="K726" s="18">
        <f t="shared" si="36"/>
        <v>15.906976744186046</v>
      </c>
    </row>
    <row r="727" spans="1:11" x14ac:dyDescent="0.3">
      <c r="A727" s="14">
        <v>2022</v>
      </c>
      <c r="B727" s="14">
        <f t="shared" si="35"/>
        <v>13</v>
      </c>
      <c r="C727" s="9">
        <v>44648</v>
      </c>
      <c r="D727" s="9">
        <v>44652</v>
      </c>
      <c r="E727" s="14">
        <f>VLOOKUP(F727,CarrierID!A:B,2,0)</f>
        <v>1</v>
      </c>
      <c r="F727" s="15" t="s">
        <v>0</v>
      </c>
      <c r="G727" t="str">
        <f>VLOOKUP(F727,Carrier_Category!A:B,2,0)</f>
        <v>Commuter</v>
      </c>
      <c r="H727" s="5">
        <v>35</v>
      </c>
      <c r="I727" s="7">
        <f t="shared" si="37"/>
        <v>35</v>
      </c>
      <c r="J727" s="5">
        <v>1138</v>
      </c>
      <c r="K727" s="18">
        <f t="shared" si="36"/>
        <v>32.514285714285712</v>
      </c>
    </row>
    <row r="728" spans="1:11" x14ac:dyDescent="0.3">
      <c r="A728" s="14">
        <v>2022</v>
      </c>
      <c r="B728" s="14">
        <f t="shared" si="35"/>
        <v>13</v>
      </c>
      <c r="C728" s="9">
        <v>44648</v>
      </c>
      <c r="D728" s="9">
        <v>44652</v>
      </c>
      <c r="E728" s="14">
        <f>VLOOKUP(F728,CarrierID!A:B,2,0)</f>
        <v>5</v>
      </c>
      <c r="F728" s="15" t="s">
        <v>1</v>
      </c>
      <c r="G728" t="str">
        <f>VLOOKUP(F728,Carrier_Category!A:B,2,0)</f>
        <v>Intercity</v>
      </c>
      <c r="H728" s="5">
        <v>46</v>
      </c>
      <c r="I728" s="7">
        <f t="shared" si="37"/>
        <v>45</v>
      </c>
      <c r="J728" s="5">
        <v>1271</v>
      </c>
      <c r="K728" s="18">
        <f t="shared" si="36"/>
        <v>27.630434782608695</v>
      </c>
    </row>
    <row r="729" spans="1:11" x14ac:dyDescent="0.3">
      <c r="A729" s="14">
        <v>2022</v>
      </c>
      <c r="B729" s="14">
        <f t="shared" si="35"/>
        <v>13</v>
      </c>
      <c r="C729" s="9">
        <v>44648</v>
      </c>
      <c r="D729" s="9">
        <v>44652</v>
      </c>
      <c r="E729" s="14">
        <f>VLOOKUP(F729,CarrierID!A:B,2,0)</f>
        <v>8</v>
      </c>
      <c r="F729" s="15" t="s">
        <v>2</v>
      </c>
      <c r="G729" t="str">
        <f>VLOOKUP(F729,Carrier_Category!A:B,2,0)</f>
        <v>Commuter</v>
      </c>
      <c r="H729" s="5">
        <v>18</v>
      </c>
      <c r="I729" s="7">
        <f t="shared" si="37"/>
        <v>18</v>
      </c>
      <c r="J729" s="5">
        <v>751</v>
      </c>
      <c r="K729" s="18">
        <f t="shared" si="36"/>
        <v>41.722222222222221</v>
      </c>
    </row>
    <row r="730" spans="1:11" x14ac:dyDescent="0.3">
      <c r="A730" s="14">
        <v>2022</v>
      </c>
      <c r="B730" s="14">
        <f t="shared" si="35"/>
        <v>13</v>
      </c>
      <c r="C730" s="9">
        <v>44648</v>
      </c>
      <c r="D730" s="9">
        <v>44652</v>
      </c>
      <c r="E730" s="14">
        <f>VLOOKUP(F730,CarrierID!A:B,2,0)</f>
        <v>9</v>
      </c>
      <c r="F730" s="15" t="s">
        <v>3</v>
      </c>
      <c r="G730" t="str">
        <f>VLOOKUP(F730,Carrier_Category!A:B,2,0)</f>
        <v>NJT</v>
      </c>
      <c r="H730" s="5">
        <v>2141</v>
      </c>
      <c r="I730" s="7">
        <f t="shared" si="37"/>
        <v>2157</v>
      </c>
      <c r="J730" s="5">
        <v>53814</v>
      </c>
      <c r="K730" s="18">
        <f t="shared" si="36"/>
        <v>25.134983652498832</v>
      </c>
    </row>
    <row r="731" spans="1:11" x14ac:dyDescent="0.3">
      <c r="A731" s="14">
        <v>2022</v>
      </c>
      <c r="B731" s="14">
        <f t="shared" si="35"/>
        <v>13</v>
      </c>
      <c r="C731" s="9">
        <v>44648</v>
      </c>
      <c r="D731" s="9">
        <v>44652</v>
      </c>
      <c r="E731" s="14">
        <f>VLOOKUP(F731,CarrierID!A:B,2,0)</f>
        <v>7</v>
      </c>
      <c r="F731" s="15" t="s">
        <v>4</v>
      </c>
      <c r="G731" t="str">
        <f>VLOOKUP(F731,Carrier_Category!A:B,2,0)</f>
        <v>Commuter</v>
      </c>
      <c r="H731" s="5">
        <v>28</v>
      </c>
      <c r="I731" s="7">
        <f t="shared" si="37"/>
        <v>29</v>
      </c>
      <c r="J731" s="5">
        <v>943</v>
      </c>
      <c r="K731" s="18">
        <f t="shared" si="36"/>
        <v>33.678571428571431</v>
      </c>
    </row>
    <row r="732" spans="1:11" x14ac:dyDescent="0.3">
      <c r="A732" s="14">
        <v>2022</v>
      </c>
      <c r="B732" s="14">
        <f t="shared" si="35"/>
        <v>13</v>
      </c>
      <c r="C732" s="9">
        <v>44648</v>
      </c>
      <c r="D732" s="9">
        <v>44652</v>
      </c>
      <c r="E732" s="14">
        <f>VLOOKUP(F732,CarrierID!A:B,2,0)</f>
        <v>11</v>
      </c>
      <c r="F732" s="15" t="s">
        <v>5</v>
      </c>
      <c r="G732" t="str">
        <f>VLOOKUP(F732,Carrier_Category!A:B,2,0)</f>
        <v>Intercity</v>
      </c>
      <c r="H732" s="5">
        <v>20</v>
      </c>
      <c r="I732" s="7">
        <f t="shared" si="37"/>
        <v>20</v>
      </c>
      <c r="J732" s="5">
        <v>483</v>
      </c>
      <c r="K732" s="18">
        <f t="shared" si="36"/>
        <v>24.15</v>
      </c>
    </row>
    <row r="733" spans="1:11" x14ac:dyDescent="0.3">
      <c r="A733" s="14">
        <v>2022</v>
      </c>
      <c r="B733" s="14">
        <f t="shared" si="35"/>
        <v>13</v>
      </c>
      <c r="C733" s="9">
        <v>44648</v>
      </c>
      <c r="D733" s="9">
        <v>44652</v>
      </c>
      <c r="E733" s="14">
        <f>VLOOKUP(F733,CarrierID!A:B,2,0)</f>
        <v>3</v>
      </c>
      <c r="F733" s="15" t="s">
        <v>6</v>
      </c>
      <c r="G733" t="str">
        <f>VLOOKUP(F733,Carrier_Category!A:B,2,0)</f>
        <v>Commuter</v>
      </c>
      <c r="H733" s="5">
        <v>130</v>
      </c>
      <c r="I733" s="7">
        <f t="shared" si="37"/>
        <v>131</v>
      </c>
      <c r="J733" s="5">
        <v>4338</v>
      </c>
      <c r="K733" s="18">
        <f t="shared" si="36"/>
        <v>33.369230769230768</v>
      </c>
    </row>
    <row r="734" spans="1:11" x14ac:dyDescent="0.3">
      <c r="A734" s="14">
        <v>2022</v>
      </c>
      <c r="B734" s="14">
        <f t="shared" si="35"/>
        <v>13</v>
      </c>
      <c r="C734" s="9">
        <v>44648</v>
      </c>
      <c r="D734" s="9">
        <v>44652</v>
      </c>
      <c r="E734" s="14">
        <f>VLOOKUP(F734,CarrierID!A:B,2,0)</f>
        <v>12</v>
      </c>
      <c r="F734" s="15" t="s">
        <v>25</v>
      </c>
      <c r="G734" t="str">
        <f>VLOOKUP(F734,Carrier_Category!A:B,2,0)</f>
        <v>Commuter</v>
      </c>
      <c r="H734" s="5">
        <v>18</v>
      </c>
      <c r="I734" s="7">
        <f t="shared" si="37"/>
        <v>18</v>
      </c>
      <c r="J734" s="5">
        <v>598</v>
      </c>
      <c r="K734" s="18">
        <f t="shared" si="36"/>
        <v>33.222222222222221</v>
      </c>
    </row>
    <row r="735" spans="1:11" x14ac:dyDescent="0.3">
      <c r="A735" s="14">
        <v>2022</v>
      </c>
      <c r="B735" s="14">
        <f t="shared" si="35"/>
        <v>13</v>
      </c>
      <c r="C735" s="9">
        <v>44648</v>
      </c>
      <c r="D735" s="9">
        <v>44652</v>
      </c>
      <c r="E735" s="14">
        <f>VLOOKUP(F735,CarrierID!A:B,2,0)</f>
        <v>10</v>
      </c>
      <c r="F735" s="15" t="s">
        <v>8</v>
      </c>
      <c r="G735" t="str">
        <f>VLOOKUP(F735,Carrier_Category!A:B,2,0)</f>
        <v>Intercity</v>
      </c>
      <c r="H735" s="5">
        <v>23</v>
      </c>
      <c r="I735" s="7">
        <f t="shared" si="37"/>
        <v>24</v>
      </c>
      <c r="J735" s="5">
        <v>722</v>
      </c>
      <c r="K735" s="18">
        <f t="shared" si="36"/>
        <v>31.391304347826086</v>
      </c>
    </row>
    <row r="736" spans="1:11" x14ac:dyDescent="0.3">
      <c r="A736" s="14">
        <v>2022</v>
      </c>
      <c r="B736" s="14">
        <f t="shared" si="35"/>
        <v>13</v>
      </c>
      <c r="C736" s="9">
        <v>44648</v>
      </c>
      <c r="D736" s="9">
        <v>44652</v>
      </c>
      <c r="E736" s="14">
        <f>VLOOKUP(F736,CarrierID!A:B,2,0)</f>
        <v>4</v>
      </c>
      <c r="F736" s="15" t="s">
        <v>24</v>
      </c>
      <c r="G736" t="str">
        <f>VLOOKUP(F736,Carrier_Category!A:B,2,0)</f>
        <v>Commuter</v>
      </c>
      <c r="H736" s="5">
        <v>37</v>
      </c>
      <c r="I736" s="7">
        <f t="shared" si="37"/>
        <v>37</v>
      </c>
      <c r="J736" s="5">
        <v>514</v>
      </c>
      <c r="K736" s="18">
        <f t="shared" si="36"/>
        <v>13.891891891891891</v>
      </c>
    </row>
    <row r="737" spans="1:11" x14ac:dyDescent="0.3">
      <c r="A737" s="14">
        <v>2022</v>
      </c>
      <c r="B737" s="14">
        <f t="shared" si="35"/>
        <v>13</v>
      </c>
      <c r="C737" s="9">
        <v>44648</v>
      </c>
      <c r="D737" s="9">
        <v>44652</v>
      </c>
      <c r="E737" s="14">
        <f>VLOOKUP(F737,CarrierID!A:B,2,0)</f>
        <v>6</v>
      </c>
      <c r="F737" s="15" t="s">
        <v>9</v>
      </c>
      <c r="G737" t="str">
        <f>VLOOKUP(F737,Carrier_Category!A:B,2,0)</f>
        <v>Commuter</v>
      </c>
      <c r="H737" s="5">
        <v>85</v>
      </c>
      <c r="I737" s="7">
        <f t="shared" si="37"/>
        <v>86</v>
      </c>
      <c r="J737" s="5">
        <v>1419</v>
      </c>
      <c r="K737" s="18">
        <f t="shared" si="36"/>
        <v>16.694117647058825</v>
      </c>
    </row>
    <row r="738" spans="1:11" x14ac:dyDescent="0.3">
      <c r="A738" s="14">
        <v>2022</v>
      </c>
      <c r="B738" s="14">
        <f t="shared" si="35"/>
        <v>14</v>
      </c>
      <c r="C738" s="9">
        <v>44655</v>
      </c>
      <c r="D738" s="9">
        <v>44659</v>
      </c>
      <c r="E738" s="14">
        <f>VLOOKUP(F738,CarrierID!A:B,2,0)</f>
        <v>1</v>
      </c>
      <c r="F738" s="15" t="s">
        <v>0</v>
      </c>
      <c r="G738" t="str">
        <f>VLOOKUP(F738,Carrier_Category!A:B,2,0)</f>
        <v>Commuter</v>
      </c>
      <c r="H738" s="5">
        <v>35</v>
      </c>
      <c r="I738" s="7">
        <f t="shared" si="37"/>
        <v>35</v>
      </c>
      <c r="J738" s="5">
        <v>1152</v>
      </c>
      <c r="K738" s="18">
        <f t="shared" si="36"/>
        <v>32.914285714285711</v>
      </c>
    </row>
    <row r="739" spans="1:11" x14ac:dyDescent="0.3">
      <c r="A739" s="14">
        <v>2022</v>
      </c>
      <c r="B739" s="14">
        <f t="shared" si="35"/>
        <v>14</v>
      </c>
      <c r="C739" s="9">
        <v>44655</v>
      </c>
      <c r="D739" s="9">
        <v>44659</v>
      </c>
      <c r="E739" s="14">
        <f>VLOOKUP(F739,CarrierID!A:B,2,0)</f>
        <v>5</v>
      </c>
      <c r="F739" s="15" t="s">
        <v>1</v>
      </c>
      <c r="G739" t="str">
        <f>VLOOKUP(F739,Carrier_Category!A:B,2,0)</f>
        <v>Intercity</v>
      </c>
      <c r="H739" s="5">
        <v>46</v>
      </c>
      <c r="I739" s="7">
        <f t="shared" si="37"/>
        <v>46</v>
      </c>
      <c r="J739" s="5">
        <v>1297</v>
      </c>
      <c r="K739" s="18">
        <f t="shared" si="36"/>
        <v>28.195652173913043</v>
      </c>
    </row>
    <row r="740" spans="1:11" x14ac:dyDescent="0.3">
      <c r="A740" s="14">
        <v>2022</v>
      </c>
      <c r="B740" s="14">
        <f t="shared" si="35"/>
        <v>14</v>
      </c>
      <c r="C740" s="9">
        <v>44655</v>
      </c>
      <c r="D740" s="9">
        <v>44659</v>
      </c>
      <c r="E740" s="14">
        <f>VLOOKUP(F740,CarrierID!A:B,2,0)</f>
        <v>8</v>
      </c>
      <c r="F740" s="15" t="s">
        <v>2</v>
      </c>
      <c r="G740" t="str">
        <f>VLOOKUP(F740,Carrier_Category!A:B,2,0)</f>
        <v>Commuter</v>
      </c>
      <c r="H740" s="5">
        <v>18</v>
      </c>
      <c r="I740" s="7">
        <f t="shared" si="37"/>
        <v>18</v>
      </c>
      <c r="J740" s="5">
        <v>767</v>
      </c>
      <c r="K740" s="18">
        <f t="shared" si="36"/>
        <v>42.611111111111114</v>
      </c>
    </row>
    <row r="741" spans="1:11" x14ac:dyDescent="0.3">
      <c r="A741" s="14">
        <v>2022</v>
      </c>
      <c r="B741" s="14">
        <f t="shared" si="35"/>
        <v>14</v>
      </c>
      <c r="C741" s="9">
        <v>44655</v>
      </c>
      <c r="D741" s="9">
        <v>44659</v>
      </c>
      <c r="E741" s="14">
        <f>VLOOKUP(F741,CarrierID!A:B,2,0)</f>
        <v>9</v>
      </c>
      <c r="F741" s="15" t="s">
        <v>3</v>
      </c>
      <c r="G741" t="str">
        <f>VLOOKUP(F741,Carrier_Category!A:B,2,0)</f>
        <v>NJT</v>
      </c>
      <c r="H741" s="5">
        <v>2142</v>
      </c>
      <c r="I741" s="7">
        <f t="shared" si="37"/>
        <v>2141</v>
      </c>
      <c r="J741" s="5">
        <v>53966</v>
      </c>
      <c r="K741" s="18">
        <f t="shared" si="36"/>
        <v>25.194211017740429</v>
      </c>
    </row>
    <row r="742" spans="1:11" x14ac:dyDescent="0.3">
      <c r="A742" s="14">
        <v>2022</v>
      </c>
      <c r="B742" s="14">
        <f t="shared" si="35"/>
        <v>14</v>
      </c>
      <c r="C742" s="9">
        <v>44655</v>
      </c>
      <c r="D742" s="9">
        <v>44659</v>
      </c>
      <c r="E742" s="14">
        <f>VLOOKUP(F742,CarrierID!A:B,2,0)</f>
        <v>7</v>
      </c>
      <c r="F742" s="15" t="s">
        <v>4</v>
      </c>
      <c r="G742" t="str">
        <f>VLOOKUP(F742,Carrier_Category!A:B,2,0)</f>
        <v>Commuter</v>
      </c>
      <c r="H742" s="5">
        <v>28</v>
      </c>
      <c r="I742" s="7">
        <f t="shared" si="37"/>
        <v>28</v>
      </c>
      <c r="J742" s="5">
        <v>1009</v>
      </c>
      <c r="K742" s="18">
        <f t="shared" si="36"/>
        <v>36.035714285714285</v>
      </c>
    </row>
    <row r="743" spans="1:11" x14ac:dyDescent="0.3">
      <c r="A743" s="14">
        <v>2022</v>
      </c>
      <c r="B743" s="14">
        <f t="shared" si="35"/>
        <v>14</v>
      </c>
      <c r="C743" s="9">
        <v>44655</v>
      </c>
      <c r="D743" s="9">
        <v>44659</v>
      </c>
      <c r="E743" s="14">
        <f>VLOOKUP(F743,CarrierID!A:B,2,0)</f>
        <v>11</v>
      </c>
      <c r="F743" s="15" t="s">
        <v>5</v>
      </c>
      <c r="G743" t="str">
        <f>VLOOKUP(F743,Carrier_Category!A:B,2,0)</f>
        <v>Intercity</v>
      </c>
      <c r="H743" s="5">
        <v>19</v>
      </c>
      <c r="I743" s="7">
        <f t="shared" si="37"/>
        <v>20</v>
      </c>
      <c r="J743" s="5">
        <v>474</v>
      </c>
      <c r="K743" s="18">
        <f t="shared" si="36"/>
        <v>24.94736842105263</v>
      </c>
    </row>
    <row r="744" spans="1:11" x14ac:dyDescent="0.3">
      <c r="A744" s="14">
        <v>2022</v>
      </c>
      <c r="B744" s="14">
        <f t="shared" si="35"/>
        <v>14</v>
      </c>
      <c r="C744" s="9">
        <v>44655</v>
      </c>
      <c r="D744" s="9">
        <v>44659</v>
      </c>
      <c r="E744" s="14">
        <f>VLOOKUP(F744,CarrierID!A:B,2,0)</f>
        <v>3</v>
      </c>
      <c r="F744" s="15" t="s">
        <v>6</v>
      </c>
      <c r="G744" t="str">
        <f>VLOOKUP(F744,Carrier_Category!A:B,2,0)</f>
        <v>Commuter</v>
      </c>
      <c r="H744" s="5">
        <v>133</v>
      </c>
      <c r="I744" s="7">
        <f t="shared" si="37"/>
        <v>130</v>
      </c>
      <c r="J744" s="5">
        <v>4463</v>
      </c>
      <c r="K744" s="18">
        <f t="shared" si="36"/>
        <v>33.556390977443606</v>
      </c>
    </row>
    <row r="745" spans="1:11" x14ac:dyDescent="0.3">
      <c r="A745" s="14">
        <v>2022</v>
      </c>
      <c r="B745" s="14">
        <f t="shared" si="35"/>
        <v>14</v>
      </c>
      <c r="C745" s="9">
        <v>44655</v>
      </c>
      <c r="D745" s="9">
        <v>44659</v>
      </c>
      <c r="E745" s="14">
        <f>VLOOKUP(F745,CarrierID!A:B,2,0)</f>
        <v>12</v>
      </c>
      <c r="F745" s="15" t="s">
        <v>25</v>
      </c>
      <c r="G745" t="str">
        <f>VLOOKUP(F745,Carrier_Category!A:B,2,0)</f>
        <v>Commuter</v>
      </c>
      <c r="H745" s="5">
        <v>19</v>
      </c>
      <c r="I745" s="7">
        <f t="shared" si="37"/>
        <v>18</v>
      </c>
      <c r="J745" s="5">
        <v>612</v>
      </c>
      <c r="K745" s="18">
        <f t="shared" si="36"/>
        <v>32.210526315789473</v>
      </c>
    </row>
    <row r="746" spans="1:11" x14ac:dyDescent="0.3">
      <c r="A746" s="14">
        <v>2022</v>
      </c>
      <c r="B746" s="14">
        <f t="shared" si="35"/>
        <v>14</v>
      </c>
      <c r="C746" s="9">
        <v>44655</v>
      </c>
      <c r="D746" s="9">
        <v>44659</v>
      </c>
      <c r="E746" s="14">
        <f>VLOOKUP(F746,CarrierID!A:B,2,0)</f>
        <v>10</v>
      </c>
      <c r="F746" s="15" t="s">
        <v>8</v>
      </c>
      <c r="G746" t="str">
        <f>VLOOKUP(F746,Carrier_Category!A:B,2,0)</f>
        <v>Intercity</v>
      </c>
      <c r="H746" s="5">
        <v>23</v>
      </c>
      <c r="I746" s="7">
        <f t="shared" si="37"/>
        <v>23</v>
      </c>
      <c r="J746" s="5">
        <v>649</v>
      </c>
      <c r="K746" s="18">
        <f t="shared" si="36"/>
        <v>28.217391304347824</v>
      </c>
    </row>
    <row r="747" spans="1:11" x14ac:dyDescent="0.3">
      <c r="A747" s="14">
        <v>2022</v>
      </c>
      <c r="B747" s="14">
        <f t="shared" si="35"/>
        <v>14</v>
      </c>
      <c r="C747" s="9">
        <v>44655</v>
      </c>
      <c r="D747" s="9">
        <v>44659</v>
      </c>
      <c r="E747" s="14">
        <f>VLOOKUP(F747,CarrierID!A:B,2,0)</f>
        <v>4</v>
      </c>
      <c r="F747" s="15" t="s">
        <v>24</v>
      </c>
      <c r="G747" t="str">
        <f>VLOOKUP(F747,Carrier_Category!A:B,2,0)</f>
        <v>Commuter</v>
      </c>
      <c r="H747" s="5">
        <v>39</v>
      </c>
      <c r="I747" s="7">
        <f t="shared" si="37"/>
        <v>37</v>
      </c>
      <c r="J747" s="5">
        <v>524</v>
      </c>
      <c r="K747" s="18">
        <f t="shared" si="36"/>
        <v>13.435897435897436</v>
      </c>
    </row>
    <row r="748" spans="1:11" x14ac:dyDescent="0.3">
      <c r="A748" s="14">
        <v>2022</v>
      </c>
      <c r="B748" s="14">
        <f t="shared" si="35"/>
        <v>14</v>
      </c>
      <c r="C748" s="9">
        <v>44655</v>
      </c>
      <c r="D748" s="9">
        <v>44659</v>
      </c>
      <c r="E748" s="14">
        <f>VLOOKUP(F748,CarrierID!A:B,2,0)</f>
        <v>6</v>
      </c>
      <c r="F748" s="15" t="s">
        <v>9</v>
      </c>
      <c r="G748" t="str">
        <f>VLOOKUP(F748,Carrier_Category!A:B,2,0)</f>
        <v>Commuter</v>
      </c>
      <c r="H748" s="5">
        <v>86</v>
      </c>
      <c r="I748" s="7">
        <f t="shared" si="37"/>
        <v>85</v>
      </c>
      <c r="J748" s="5">
        <v>1366</v>
      </c>
      <c r="K748" s="18">
        <f t="shared" si="36"/>
        <v>15.883720930232558</v>
      </c>
    </row>
    <row r="749" spans="1:11" x14ac:dyDescent="0.3">
      <c r="A749" s="14">
        <v>2022</v>
      </c>
      <c r="B749" s="14">
        <f t="shared" si="35"/>
        <v>15</v>
      </c>
      <c r="C749" s="9">
        <v>44662</v>
      </c>
      <c r="D749" s="9">
        <v>44666</v>
      </c>
      <c r="E749" s="14">
        <f>VLOOKUP(F749,CarrierID!A:B,2,0)</f>
        <v>1</v>
      </c>
      <c r="F749" s="15" t="s">
        <v>0</v>
      </c>
      <c r="G749" t="str">
        <f>VLOOKUP(F749,Carrier_Category!A:B,2,0)</f>
        <v>Commuter</v>
      </c>
      <c r="H749" s="5">
        <v>35</v>
      </c>
      <c r="I749" s="7">
        <f t="shared" si="37"/>
        <v>35</v>
      </c>
      <c r="J749" s="5">
        <v>1104</v>
      </c>
      <c r="K749" s="18">
        <f t="shared" si="36"/>
        <v>31.542857142857144</v>
      </c>
    </row>
    <row r="750" spans="1:11" x14ac:dyDescent="0.3">
      <c r="A750" s="14">
        <v>2022</v>
      </c>
      <c r="B750" s="14">
        <f t="shared" si="35"/>
        <v>15</v>
      </c>
      <c r="C750" s="9">
        <v>44662</v>
      </c>
      <c r="D750" s="9">
        <v>44666</v>
      </c>
      <c r="E750" s="14">
        <f>VLOOKUP(F750,CarrierID!A:B,2,0)</f>
        <v>5</v>
      </c>
      <c r="F750" s="15" t="s">
        <v>1</v>
      </c>
      <c r="G750" t="str">
        <f>VLOOKUP(F750,Carrier_Category!A:B,2,0)</f>
        <v>Intercity</v>
      </c>
      <c r="H750" s="5">
        <v>47</v>
      </c>
      <c r="I750" s="7">
        <f t="shared" si="37"/>
        <v>46</v>
      </c>
      <c r="J750" s="5">
        <v>1483</v>
      </c>
      <c r="K750" s="18">
        <f t="shared" si="36"/>
        <v>31.553191489361701</v>
      </c>
    </row>
    <row r="751" spans="1:11" x14ac:dyDescent="0.3">
      <c r="A751" s="14">
        <v>2022</v>
      </c>
      <c r="B751" s="14">
        <f t="shared" si="35"/>
        <v>15</v>
      </c>
      <c r="C751" s="9">
        <v>44662</v>
      </c>
      <c r="D751" s="9">
        <v>44666</v>
      </c>
      <c r="E751" s="14">
        <f>VLOOKUP(F751,CarrierID!A:B,2,0)</f>
        <v>8</v>
      </c>
      <c r="F751" s="15" t="s">
        <v>2</v>
      </c>
      <c r="G751" t="str">
        <f>VLOOKUP(F751,Carrier_Category!A:B,2,0)</f>
        <v>Commuter</v>
      </c>
      <c r="H751" s="5">
        <v>18</v>
      </c>
      <c r="I751" s="7">
        <f t="shared" si="37"/>
        <v>18</v>
      </c>
      <c r="J751" s="5">
        <v>775</v>
      </c>
      <c r="K751" s="18">
        <f t="shared" si="36"/>
        <v>43.055555555555557</v>
      </c>
    </row>
    <row r="752" spans="1:11" x14ac:dyDescent="0.3">
      <c r="A752" s="14">
        <v>2022</v>
      </c>
      <c r="B752" s="14">
        <f t="shared" si="35"/>
        <v>15</v>
      </c>
      <c r="C752" s="9">
        <v>44662</v>
      </c>
      <c r="D752" s="9">
        <v>44666</v>
      </c>
      <c r="E752" s="14">
        <f>VLOOKUP(F752,CarrierID!A:B,2,0)</f>
        <v>9</v>
      </c>
      <c r="F752" s="15" t="s">
        <v>3</v>
      </c>
      <c r="G752" t="str">
        <f>VLOOKUP(F752,Carrier_Category!A:B,2,0)</f>
        <v>NJT</v>
      </c>
      <c r="H752" s="5">
        <v>2156</v>
      </c>
      <c r="I752" s="7">
        <f t="shared" si="37"/>
        <v>2142</v>
      </c>
      <c r="J752" s="5">
        <v>55168</v>
      </c>
      <c r="K752" s="18">
        <f t="shared" si="36"/>
        <v>25.588126159554729</v>
      </c>
    </row>
    <row r="753" spans="1:11" x14ac:dyDescent="0.3">
      <c r="A753" s="14">
        <v>2022</v>
      </c>
      <c r="B753" s="14">
        <f t="shared" si="35"/>
        <v>15</v>
      </c>
      <c r="C753" s="9">
        <v>44662</v>
      </c>
      <c r="D753" s="9">
        <v>44666</v>
      </c>
      <c r="E753" s="14">
        <f>VLOOKUP(F753,CarrierID!A:B,2,0)</f>
        <v>7</v>
      </c>
      <c r="F753" s="15" t="s">
        <v>4</v>
      </c>
      <c r="G753" t="str">
        <f>VLOOKUP(F753,Carrier_Category!A:B,2,0)</f>
        <v>Commuter</v>
      </c>
      <c r="H753" s="5">
        <v>30</v>
      </c>
      <c r="I753" s="7">
        <f t="shared" si="37"/>
        <v>28</v>
      </c>
      <c r="J753" s="5">
        <v>953</v>
      </c>
      <c r="K753" s="18">
        <f t="shared" si="36"/>
        <v>31.766666666666666</v>
      </c>
    </row>
    <row r="754" spans="1:11" x14ac:dyDescent="0.3">
      <c r="A754" s="14">
        <v>2022</v>
      </c>
      <c r="B754" s="14">
        <f t="shared" si="35"/>
        <v>15</v>
      </c>
      <c r="C754" s="9">
        <v>44662</v>
      </c>
      <c r="D754" s="9">
        <v>44666</v>
      </c>
      <c r="E754" s="14">
        <f>VLOOKUP(F754,CarrierID!A:B,2,0)</f>
        <v>11</v>
      </c>
      <c r="F754" s="15" t="s">
        <v>5</v>
      </c>
      <c r="G754" t="str">
        <f>VLOOKUP(F754,Carrier_Category!A:B,2,0)</f>
        <v>Intercity</v>
      </c>
      <c r="H754" s="5">
        <v>19</v>
      </c>
      <c r="I754" s="7">
        <f t="shared" si="37"/>
        <v>19</v>
      </c>
      <c r="J754" s="5">
        <v>520</v>
      </c>
      <c r="K754" s="18">
        <f t="shared" si="36"/>
        <v>27.368421052631579</v>
      </c>
    </row>
    <row r="755" spans="1:11" x14ac:dyDescent="0.3">
      <c r="A755" s="14">
        <v>2022</v>
      </c>
      <c r="B755" s="14">
        <f t="shared" si="35"/>
        <v>15</v>
      </c>
      <c r="C755" s="9">
        <v>44662</v>
      </c>
      <c r="D755" s="9">
        <v>44666</v>
      </c>
      <c r="E755" s="14">
        <f>VLOOKUP(F755,CarrierID!A:B,2,0)</f>
        <v>3</v>
      </c>
      <c r="F755" s="15" t="s">
        <v>6</v>
      </c>
      <c r="G755" t="str">
        <f>VLOOKUP(F755,Carrier_Category!A:B,2,0)</f>
        <v>Commuter</v>
      </c>
      <c r="H755" s="5">
        <v>133</v>
      </c>
      <c r="I755" s="7">
        <f t="shared" si="37"/>
        <v>133</v>
      </c>
      <c r="J755" s="5">
        <v>4214</v>
      </c>
      <c r="K755" s="18">
        <f t="shared" si="36"/>
        <v>31.684210526315791</v>
      </c>
    </row>
    <row r="756" spans="1:11" x14ac:dyDescent="0.3">
      <c r="A756" s="14">
        <v>2022</v>
      </c>
      <c r="B756" s="14">
        <f t="shared" si="35"/>
        <v>15</v>
      </c>
      <c r="C756" s="9">
        <v>44662</v>
      </c>
      <c r="D756" s="9">
        <v>44666</v>
      </c>
      <c r="E756" s="14">
        <f>VLOOKUP(F756,CarrierID!A:B,2,0)</f>
        <v>12</v>
      </c>
      <c r="F756" s="15" t="s">
        <v>25</v>
      </c>
      <c r="G756" t="str">
        <f>VLOOKUP(F756,Carrier_Category!A:B,2,0)</f>
        <v>Commuter</v>
      </c>
      <c r="H756" s="5">
        <v>19</v>
      </c>
      <c r="I756" s="7">
        <f t="shared" si="37"/>
        <v>19</v>
      </c>
      <c r="J756" s="5">
        <v>632</v>
      </c>
      <c r="K756" s="18">
        <f t="shared" si="36"/>
        <v>33.263157894736842</v>
      </c>
    </row>
    <row r="757" spans="1:11" x14ac:dyDescent="0.3">
      <c r="A757" s="14">
        <v>2022</v>
      </c>
      <c r="B757" s="14">
        <f t="shared" si="35"/>
        <v>15</v>
      </c>
      <c r="C757" s="9">
        <v>44662</v>
      </c>
      <c r="D757" s="9">
        <v>44666</v>
      </c>
      <c r="E757" s="14">
        <f>VLOOKUP(F757,CarrierID!A:B,2,0)</f>
        <v>10</v>
      </c>
      <c r="F757" s="15" t="s">
        <v>8</v>
      </c>
      <c r="G757" t="str">
        <f>VLOOKUP(F757,Carrier_Category!A:B,2,0)</f>
        <v>Intercity</v>
      </c>
      <c r="H757" s="5">
        <v>26</v>
      </c>
      <c r="I757" s="7">
        <f t="shared" si="37"/>
        <v>23</v>
      </c>
      <c r="J757" s="5">
        <v>914</v>
      </c>
      <c r="K757" s="18">
        <f t="shared" si="36"/>
        <v>35.153846153846153</v>
      </c>
    </row>
    <row r="758" spans="1:11" x14ac:dyDescent="0.3">
      <c r="A758" s="14">
        <v>2022</v>
      </c>
      <c r="B758" s="14">
        <f t="shared" si="35"/>
        <v>15</v>
      </c>
      <c r="C758" s="9">
        <v>44662</v>
      </c>
      <c r="D758" s="9">
        <v>44666</v>
      </c>
      <c r="E758" s="14">
        <f>VLOOKUP(F758,CarrierID!A:B,2,0)</f>
        <v>4</v>
      </c>
      <c r="F758" s="15" t="s">
        <v>24</v>
      </c>
      <c r="G758" t="str">
        <f>VLOOKUP(F758,Carrier_Category!A:B,2,0)</f>
        <v>Commuter</v>
      </c>
      <c r="H758" s="5">
        <v>40</v>
      </c>
      <c r="I758" s="7">
        <f t="shared" si="37"/>
        <v>39</v>
      </c>
      <c r="J758" s="5">
        <v>523</v>
      </c>
      <c r="K758" s="18">
        <f t="shared" si="36"/>
        <v>13.074999999999999</v>
      </c>
    </row>
    <row r="759" spans="1:11" x14ac:dyDescent="0.3">
      <c r="A759" s="14">
        <v>2022</v>
      </c>
      <c r="B759" s="14">
        <f t="shared" si="35"/>
        <v>15</v>
      </c>
      <c r="C759" s="9">
        <v>44662</v>
      </c>
      <c r="D759" s="9">
        <v>44666</v>
      </c>
      <c r="E759" s="14">
        <f>VLOOKUP(F759,CarrierID!A:B,2,0)</f>
        <v>6</v>
      </c>
      <c r="F759" s="15" t="s">
        <v>9</v>
      </c>
      <c r="G759" t="str">
        <f>VLOOKUP(F759,Carrier_Category!A:B,2,0)</f>
        <v>Commuter</v>
      </c>
      <c r="H759" s="5">
        <v>87</v>
      </c>
      <c r="I759" s="7">
        <f t="shared" si="37"/>
        <v>86</v>
      </c>
      <c r="J759" s="5">
        <v>1468</v>
      </c>
      <c r="K759" s="18">
        <f t="shared" si="36"/>
        <v>16.873563218390803</v>
      </c>
    </row>
    <row r="760" spans="1:11" x14ac:dyDescent="0.3">
      <c r="A760" s="14">
        <v>2022</v>
      </c>
      <c r="B760" s="14">
        <f t="shared" si="35"/>
        <v>16</v>
      </c>
      <c r="C760" s="9">
        <v>44669</v>
      </c>
      <c r="D760" s="9">
        <v>44673</v>
      </c>
      <c r="E760" s="14">
        <f>VLOOKUP(F760,CarrierID!A:B,2,0)</f>
        <v>1</v>
      </c>
      <c r="F760" s="15" t="s">
        <v>0</v>
      </c>
      <c r="G760" t="str">
        <f>VLOOKUP(F760,Carrier_Category!A:B,2,0)</f>
        <v>Commuter</v>
      </c>
      <c r="H760" s="5">
        <v>33</v>
      </c>
      <c r="I760" s="7">
        <f t="shared" si="37"/>
        <v>35</v>
      </c>
      <c r="J760" s="5">
        <v>966</v>
      </c>
      <c r="K760" s="18">
        <f t="shared" si="36"/>
        <v>29.272727272727273</v>
      </c>
    </row>
    <row r="761" spans="1:11" x14ac:dyDescent="0.3">
      <c r="A761" s="14">
        <v>2022</v>
      </c>
      <c r="B761" s="14">
        <f t="shared" si="35"/>
        <v>16</v>
      </c>
      <c r="C761" s="9">
        <v>44669</v>
      </c>
      <c r="D761" s="9">
        <v>44673</v>
      </c>
      <c r="E761" s="14">
        <f>VLOOKUP(F761,CarrierID!A:B,2,0)</f>
        <v>5</v>
      </c>
      <c r="F761" s="15" t="s">
        <v>1</v>
      </c>
      <c r="G761" t="str">
        <f>VLOOKUP(F761,Carrier_Category!A:B,2,0)</f>
        <v>Intercity</v>
      </c>
      <c r="H761" s="5">
        <v>48</v>
      </c>
      <c r="I761" s="7">
        <f t="shared" si="37"/>
        <v>47</v>
      </c>
      <c r="J761" s="5">
        <v>1641</v>
      </c>
      <c r="K761" s="18">
        <f t="shared" si="36"/>
        <v>34.1875</v>
      </c>
    </row>
    <row r="762" spans="1:11" x14ac:dyDescent="0.3">
      <c r="A762" s="14">
        <v>2022</v>
      </c>
      <c r="B762" s="14">
        <f t="shared" si="35"/>
        <v>16</v>
      </c>
      <c r="C762" s="9">
        <v>44669</v>
      </c>
      <c r="D762" s="9">
        <v>44673</v>
      </c>
      <c r="E762" s="14">
        <f>VLOOKUP(F762,CarrierID!A:B,2,0)</f>
        <v>8</v>
      </c>
      <c r="F762" s="15" t="s">
        <v>2</v>
      </c>
      <c r="G762" t="str">
        <f>VLOOKUP(F762,Carrier_Category!A:B,2,0)</f>
        <v>Commuter</v>
      </c>
      <c r="H762" s="5">
        <v>18</v>
      </c>
      <c r="I762" s="7">
        <f t="shared" si="37"/>
        <v>18</v>
      </c>
      <c r="J762" s="5">
        <v>733</v>
      </c>
      <c r="K762" s="18">
        <f t="shared" si="36"/>
        <v>40.722222222222221</v>
      </c>
    </row>
    <row r="763" spans="1:11" x14ac:dyDescent="0.3">
      <c r="A763" s="14">
        <v>2022</v>
      </c>
      <c r="B763" s="14">
        <f t="shared" si="35"/>
        <v>16</v>
      </c>
      <c r="C763" s="9">
        <v>44669</v>
      </c>
      <c r="D763" s="9">
        <v>44673</v>
      </c>
      <c r="E763" s="14">
        <f>VLOOKUP(F763,CarrierID!A:B,2,0)</f>
        <v>9</v>
      </c>
      <c r="F763" s="15" t="s">
        <v>3</v>
      </c>
      <c r="G763" t="str">
        <f>VLOOKUP(F763,Carrier_Category!A:B,2,0)</f>
        <v>NJT</v>
      </c>
      <c r="H763" s="5">
        <v>2165</v>
      </c>
      <c r="I763" s="7">
        <f t="shared" si="37"/>
        <v>2156</v>
      </c>
      <c r="J763" s="5">
        <v>55503</v>
      </c>
      <c r="K763" s="18">
        <f t="shared" si="36"/>
        <v>25.636489607390299</v>
      </c>
    </row>
    <row r="764" spans="1:11" x14ac:dyDescent="0.3">
      <c r="A764" s="14">
        <v>2022</v>
      </c>
      <c r="B764" s="14">
        <f t="shared" si="35"/>
        <v>16</v>
      </c>
      <c r="C764" s="9">
        <v>44669</v>
      </c>
      <c r="D764" s="9">
        <v>44673</v>
      </c>
      <c r="E764" s="14">
        <f>VLOOKUP(F764,CarrierID!A:B,2,0)</f>
        <v>7</v>
      </c>
      <c r="F764" s="15" t="s">
        <v>4</v>
      </c>
      <c r="G764" t="str">
        <f>VLOOKUP(F764,Carrier_Category!A:B,2,0)</f>
        <v>Commuter</v>
      </c>
      <c r="H764" s="5">
        <v>30</v>
      </c>
      <c r="I764" s="7">
        <f t="shared" si="37"/>
        <v>30</v>
      </c>
      <c r="J764" s="5">
        <v>868</v>
      </c>
      <c r="K764" s="18">
        <f t="shared" si="36"/>
        <v>28.933333333333334</v>
      </c>
    </row>
    <row r="765" spans="1:11" x14ac:dyDescent="0.3">
      <c r="A765" s="14">
        <v>2022</v>
      </c>
      <c r="B765" s="14">
        <f t="shared" si="35"/>
        <v>16</v>
      </c>
      <c r="C765" s="9">
        <v>44669</v>
      </c>
      <c r="D765" s="9">
        <v>44673</v>
      </c>
      <c r="E765" s="14">
        <f>VLOOKUP(F765,CarrierID!A:B,2,0)</f>
        <v>11</v>
      </c>
      <c r="F765" s="15" t="s">
        <v>5</v>
      </c>
      <c r="G765" t="str">
        <f>VLOOKUP(F765,Carrier_Category!A:B,2,0)</f>
        <v>Intercity</v>
      </c>
      <c r="H765" s="5">
        <v>22</v>
      </c>
      <c r="I765" s="7">
        <f t="shared" si="37"/>
        <v>19</v>
      </c>
      <c r="J765" s="5">
        <v>696</v>
      </c>
      <c r="K765" s="18">
        <f t="shared" si="36"/>
        <v>31.636363636363637</v>
      </c>
    </row>
    <row r="766" spans="1:11" x14ac:dyDescent="0.3">
      <c r="A766" s="14">
        <v>2022</v>
      </c>
      <c r="B766" s="14">
        <f t="shared" si="35"/>
        <v>16</v>
      </c>
      <c r="C766" s="9">
        <v>44669</v>
      </c>
      <c r="D766" s="9">
        <v>44673</v>
      </c>
      <c r="E766" s="14">
        <f>VLOOKUP(F766,CarrierID!A:B,2,0)</f>
        <v>3</v>
      </c>
      <c r="F766" s="15" t="s">
        <v>6</v>
      </c>
      <c r="G766" t="str">
        <f>VLOOKUP(F766,Carrier_Category!A:B,2,0)</f>
        <v>Commuter</v>
      </c>
      <c r="H766" s="5">
        <v>129</v>
      </c>
      <c r="I766" s="7">
        <f t="shared" si="37"/>
        <v>133</v>
      </c>
      <c r="J766" s="5">
        <v>3953</v>
      </c>
      <c r="K766" s="18">
        <f t="shared" si="36"/>
        <v>30.643410852713178</v>
      </c>
    </row>
    <row r="767" spans="1:11" x14ac:dyDescent="0.3">
      <c r="A767" s="14">
        <v>2022</v>
      </c>
      <c r="B767" s="14">
        <f t="shared" si="35"/>
        <v>16</v>
      </c>
      <c r="C767" s="9">
        <v>44669</v>
      </c>
      <c r="D767" s="9">
        <v>44673</v>
      </c>
      <c r="E767" s="14">
        <f>VLOOKUP(F767,CarrierID!A:B,2,0)</f>
        <v>12</v>
      </c>
      <c r="F767" s="15" t="s">
        <v>25</v>
      </c>
      <c r="G767" t="str">
        <f>VLOOKUP(F767,Carrier_Category!A:B,2,0)</f>
        <v>Commuter</v>
      </c>
      <c r="H767" s="5">
        <v>19</v>
      </c>
      <c r="I767" s="7">
        <f t="shared" si="37"/>
        <v>19</v>
      </c>
      <c r="J767" s="5">
        <v>624</v>
      </c>
      <c r="K767" s="18">
        <f t="shared" si="36"/>
        <v>32.842105263157897</v>
      </c>
    </row>
    <row r="768" spans="1:11" x14ac:dyDescent="0.3">
      <c r="A768" s="14">
        <v>2022</v>
      </c>
      <c r="B768" s="14">
        <f t="shared" si="35"/>
        <v>16</v>
      </c>
      <c r="C768" s="9">
        <v>44669</v>
      </c>
      <c r="D768" s="9">
        <v>44673</v>
      </c>
      <c r="E768" s="14">
        <f>VLOOKUP(F768,CarrierID!A:B,2,0)</f>
        <v>10</v>
      </c>
      <c r="F768" s="15" t="s">
        <v>8</v>
      </c>
      <c r="G768" t="str">
        <f>VLOOKUP(F768,Carrier_Category!A:B,2,0)</f>
        <v>Intercity</v>
      </c>
      <c r="H768" s="5">
        <v>29</v>
      </c>
      <c r="I768" s="7">
        <f t="shared" si="37"/>
        <v>26</v>
      </c>
      <c r="J768" s="5">
        <v>1191</v>
      </c>
      <c r="K768" s="18">
        <f t="shared" si="36"/>
        <v>41.068965517241381</v>
      </c>
    </row>
    <row r="769" spans="1:11" x14ac:dyDescent="0.3">
      <c r="A769" s="14">
        <v>2022</v>
      </c>
      <c r="B769" s="14">
        <f t="shared" si="35"/>
        <v>16</v>
      </c>
      <c r="C769" s="9">
        <v>44669</v>
      </c>
      <c r="D769" s="9">
        <v>44673</v>
      </c>
      <c r="E769" s="14">
        <f>VLOOKUP(F769,CarrierID!A:B,2,0)</f>
        <v>4</v>
      </c>
      <c r="F769" s="15" t="s">
        <v>24</v>
      </c>
      <c r="G769" t="str">
        <f>VLOOKUP(F769,Carrier_Category!A:B,2,0)</f>
        <v>Commuter</v>
      </c>
      <c r="H769" s="5">
        <v>40</v>
      </c>
      <c r="I769" s="7">
        <f t="shared" si="37"/>
        <v>40</v>
      </c>
      <c r="J769" s="5">
        <v>496</v>
      </c>
      <c r="K769" s="18">
        <f t="shared" si="36"/>
        <v>12.4</v>
      </c>
    </row>
    <row r="770" spans="1:11" x14ac:dyDescent="0.3">
      <c r="A770" s="14">
        <v>2022</v>
      </c>
      <c r="B770" s="14">
        <f t="shared" si="35"/>
        <v>16</v>
      </c>
      <c r="C770" s="9">
        <v>44669</v>
      </c>
      <c r="D770" s="9">
        <v>44673</v>
      </c>
      <c r="E770" s="14">
        <f>VLOOKUP(F770,CarrierID!A:B,2,0)</f>
        <v>6</v>
      </c>
      <c r="F770" s="15" t="s">
        <v>9</v>
      </c>
      <c r="G770" t="str">
        <f>VLOOKUP(F770,Carrier_Category!A:B,2,0)</f>
        <v>Commuter</v>
      </c>
      <c r="H770" s="5">
        <v>84</v>
      </c>
      <c r="I770" s="7">
        <f t="shared" si="37"/>
        <v>87</v>
      </c>
      <c r="J770" s="5">
        <v>1402</v>
      </c>
      <c r="K770" s="18">
        <f t="shared" si="36"/>
        <v>16.69047619047619</v>
      </c>
    </row>
    <row r="771" spans="1:11" x14ac:dyDescent="0.3">
      <c r="A771" s="14">
        <v>2022</v>
      </c>
      <c r="B771" s="14">
        <f t="shared" si="35"/>
        <v>17</v>
      </c>
      <c r="C771" s="9">
        <v>44676</v>
      </c>
      <c r="D771" s="9">
        <v>44680</v>
      </c>
      <c r="E771" s="14">
        <f>VLOOKUP(F771,CarrierID!A:B,2,0)</f>
        <v>1</v>
      </c>
      <c r="F771" s="15" t="s">
        <v>0</v>
      </c>
      <c r="G771" t="str">
        <f>VLOOKUP(F771,Carrier_Category!A:B,2,0)</f>
        <v>Commuter</v>
      </c>
      <c r="H771" s="5">
        <v>34</v>
      </c>
      <c r="I771" s="7">
        <f t="shared" si="37"/>
        <v>33</v>
      </c>
      <c r="J771" s="5">
        <v>1127</v>
      </c>
      <c r="K771" s="18">
        <f t="shared" si="36"/>
        <v>33.147058823529413</v>
      </c>
    </row>
    <row r="772" spans="1:11" x14ac:dyDescent="0.3">
      <c r="A772" s="14">
        <v>2022</v>
      </c>
      <c r="B772" s="14">
        <f t="shared" si="35"/>
        <v>17</v>
      </c>
      <c r="C772" s="9">
        <v>44676</v>
      </c>
      <c r="D772" s="9">
        <v>44680</v>
      </c>
      <c r="E772" s="14">
        <f>VLOOKUP(F772,CarrierID!A:B,2,0)</f>
        <v>5</v>
      </c>
      <c r="F772" s="15" t="s">
        <v>1</v>
      </c>
      <c r="G772" t="str">
        <f>VLOOKUP(F772,Carrier_Category!A:B,2,0)</f>
        <v>Intercity</v>
      </c>
      <c r="H772" s="5">
        <v>47</v>
      </c>
      <c r="I772" s="7">
        <f t="shared" si="37"/>
        <v>48</v>
      </c>
      <c r="J772" s="5">
        <v>1307</v>
      </c>
      <c r="K772" s="18">
        <f t="shared" si="36"/>
        <v>27.808510638297872</v>
      </c>
    </row>
    <row r="773" spans="1:11" x14ac:dyDescent="0.3">
      <c r="A773" s="14">
        <v>2022</v>
      </c>
      <c r="B773" s="14">
        <f t="shared" ref="B773:B836" si="38">_xlfn.ISOWEEKNUM(C773)</f>
        <v>17</v>
      </c>
      <c r="C773" s="9">
        <v>44676</v>
      </c>
      <c r="D773" s="9">
        <v>44680</v>
      </c>
      <c r="E773" s="14">
        <f>VLOOKUP(F773,CarrierID!A:B,2,0)</f>
        <v>8</v>
      </c>
      <c r="F773" s="15" t="s">
        <v>2</v>
      </c>
      <c r="G773" t="str">
        <f>VLOOKUP(F773,Carrier_Category!A:B,2,0)</f>
        <v>Commuter</v>
      </c>
      <c r="H773" s="5">
        <v>18</v>
      </c>
      <c r="I773" s="7">
        <f t="shared" si="37"/>
        <v>18</v>
      </c>
      <c r="J773" s="5">
        <v>753</v>
      </c>
      <c r="K773" s="18">
        <f t="shared" ref="K773:K836" si="39">J773/H773</f>
        <v>41.833333333333336</v>
      </c>
    </row>
    <row r="774" spans="1:11" x14ac:dyDescent="0.3">
      <c r="A774" s="14">
        <v>2022</v>
      </c>
      <c r="B774" s="14">
        <f t="shared" si="38"/>
        <v>17</v>
      </c>
      <c r="C774" s="9">
        <v>44676</v>
      </c>
      <c r="D774" s="9">
        <v>44680</v>
      </c>
      <c r="E774" s="14">
        <f>VLOOKUP(F774,CarrierID!A:B,2,0)</f>
        <v>9</v>
      </c>
      <c r="F774" s="15" t="s">
        <v>3</v>
      </c>
      <c r="G774" t="str">
        <f>VLOOKUP(F774,Carrier_Category!A:B,2,0)</f>
        <v>NJT</v>
      </c>
      <c r="H774" s="5">
        <v>2148</v>
      </c>
      <c r="I774" s="7">
        <f t="shared" si="37"/>
        <v>2165</v>
      </c>
      <c r="J774" s="5">
        <v>55714</v>
      </c>
      <c r="K774" s="18">
        <f t="shared" si="39"/>
        <v>25.937616387337059</v>
      </c>
    </row>
    <row r="775" spans="1:11" x14ac:dyDescent="0.3">
      <c r="A775" s="14">
        <v>2022</v>
      </c>
      <c r="B775" s="14">
        <f t="shared" si="38"/>
        <v>17</v>
      </c>
      <c r="C775" s="9">
        <v>44676</v>
      </c>
      <c r="D775" s="9">
        <v>44680</v>
      </c>
      <c r="E775" s="14">
        <f>VLOOKUP(F775,CarrierID!A:B,2,0)</f>
        <v>7</v>
      </c>
      <c r="F775" s="15" t="s">
        <v>4</v>
      </c>
      <c r="G775" t="str">
        <f>VLOOKUP(F775,Carrier_Category!A:B,2,0)</f>
        <v>Commuter</v>
      </c>
      <c r="H775" s="5">
        <v>30</v>
      </c>
      <c r="I775" s="7">
        <f t="shared" si="37"/>
        <v>30</v>
      </c>
      <c r="J775" s="5">
        <v>1026</v>
      </c>
      <c r="K775" s="18">
        <f t="shared" si="39"/>
        <v>34.200000000000003</v>
      </c>
    </row>
    <row r="776" spans="1:11" x14ac:dyDescent="0.3">
      <c r="A776" s="14">
        <v>2022</v>
      </c>
      <c r="B776" s="14">
        <f t="shared" si="38"/>
        <v>17</v>
      </c>
      <c r="C776" s="9">
        <v>44676</v>
      </c>
      <c r="D776" s="9">
        <v>44680</v>
      </c>
      <c r="E776" s="14">
        <f>VLOOKUP(F776,CarrierID!A:B,2,0)</f>
        <v>11</v>
      </c>
      <c r="F776" s="15" t="s">
        <v>5</v>
      </c>
      <c r="G776" t="str">
        <f>VLOOKUP(F776,Carrier_Category!A:B,2,0)</f>
        <v>Intercity</v>
      </c>
      <c r="H776" s="5">
        <v>20</v>
      </c>
      <c r="I776" s="7">
        <f t="shared" si="37"/>
        <v>22</v>
      </c>
      <c r="J776" s="5">
        <v>496</v>
      </c>
      <c r="K776" s="18">
        <f t="shared" si="39"/>
        <v>24.8</v>
      </c>
    </row>
    <row r="777" spans="1:11" x14ac:dyDescent="0.3">
      <c r="A777" s="14">
        <v>2022</v>
      </c>
      <c r="B777" s="14">
        <f t="shared" si="38"/>
        <v>17</v>
      </c>
      <c r="C777" s="9">
        <v>44676</v>
      </c>
      <c r="D777" s="9">
        <v>44680</v>
      </c>
      <c r="E777" s="14">
        <f>VLOOKUP(F777,CarrierID!A:B,2,0)</f>
        <v>3</v>
      </c>
      <c r="F777" s="15" t="s">
        <v>6</v>
      </c>
      <c r="G777" t="str">
        <f>VLOOKUP(F777,Carrier_Category!A:B,2,0)</f>
        <v>Commuter</v>
      </c>
      <c r="H777" s="5">
        <v>133</v>
      </c>
      <c r="I777" s="7">
        <f t="shared" si="37"/>
        <v>129</v>
      </c>
      <c r="J777" s="5">
        <v>4443</v>
      </c>
      <c r="K777" s="18">
        <f t="shared" si="39"/>
        <v>33.406015037593988</v>
      </c>
    </row>
    <row r="778" spans="1:11" x14ac:dyDescent="0.3">
      <c r="A778" s="14">
        <v>2022</v>
      </c>
      <c r="B778" s="14">
        <f t="shared" si="38"/>
        <v>17</v>
      </c>
      <c r="C778" s="9">
        <v>44676</v>
      </c>
      <c r="D778" s="9">
        <v>44680</v>
      </c>
      <c r="E778" s="14">
        <f>VLOOKUP(F778,CarrierID!A:B,2,0)</f>
        <v>12</v>
      </c>
      <c r="F778" s="15" t="s">
        <v>25</v>
      </c>
      <c r="G778" t="str">
        <f>VLOOKUP(F778,Carrier_Category!A:B,2,0)</f>
        <v>Commuter</v>
      </c>
      <c r="H778" s="5">
        <v>19</v>
      </c>
      <c r="I778" s="7">
        <f t="shared" si="37"/>
        <v>19</v>
      </c>
      <c r="J778" s="5">
        <v>605</v>
      </c>
      <c r="K778" s="18">
        <f t="shared" si="39"/>
        <v>31.842105263157894</v>
      </c>
    </row>
    <row r="779" spans="1:11" x14ac:dyDescent="0.3">
      <c r="A779" s="14">
        <v>2022</v>
      </c>
      <c r="B779" s="14">
        <f t="shared" si="38"/>
        <v>17</v>
      </c>
      <c r="C779" s="9">
        <v>44676</v>
      </c>
      <c r="D779" s="9">
        <v>44680</v>
      </c>
      <c r="E779" s="14">
        <f>VLOOKUP(F779,CarrierID!A:B,2,0)</f>
        <v>10</v>
      </c>
      <c r="F779" s="15" t="s">
        <v>8</v>
      </c>
      <c r="G779" t="str">
        <f>VLOOKUP(F779,Carrier_Category!A:B,2,0)</f>
        <v>Intercity</v>
      </c>
      <c r="H779" s="5">
        <v>25</v>
      </c>
      <c r="I779" s="7">
        <f t="shared" si="37"/>
        <v>29</v>
      </c>
      <c r="J779" s="5">
        <v>661</v>
      </c>
      <c r="K779" s="18">
        <f t="shared" si="39"/>
        <v>26.44</v>
      </c>
    </row>
    <row r="780" spans="1:11" x14ac:dyDescent="0.3">
      <c r="A780" s="14">
        <v>2022</v>
      </c>
      <c r="B780" s="14">
        <f t="shared" si="38"/>
        <v>17</v>
      </c>
      <c r="C780" s="9">
        <v>44676</v>
      </c>
      <c r="D780" s="9">
        <v>44680</v>
      </c>
      <c r="E780" s="14">
        <f>VLOOKUP(F780,CarrierID!A:B,2,0)</f>
        <v>4</v>
      </c>
      <c r="F780" s="15" t="s">
        <v>24</v>
      </c>
      <c r="G780" t="str">
        <f>VLOOKUP(F780,Carrier_Category!A:B,2,0)</f>
        <v>Commuter</v>
      </c>
      <c r="H780" s="5">
        <v>40</v>
      </c>
      <c r="I780" s="7">
        <f t="shared" si="37"/>
        <v>40</v>
      </c>
      <c r="J780" s="5">
        <v>563</v>
      </c>
      <c r="K780" s="18">
        <f t="shared" si="39"/>
        <v>14.074999999999999</v>
      </c>
    </row>
    <row r="781" spans="1:11" x14ac:dyDescent="0.3">
      <c r="A781" s="14">
        <v>2022</v>
      </c>
      <c r="B781" s="14">
        <f t="shared" si="38"/>
        <v>17</v>
      </c>
      <c r="C781" s="9">
        <v>44676</v>
      </c>
      <c r="D781" s="9">
        <v>44680</v>
      </c>
      <c r="E781" s="14">
        <f>VLOOKUP(F781,CarrierID!A:B,2,0)</f>
        <v>6</v>
      </c>
      <c r="F781" s="15" t="s">
        <v>9</v>
      </c>
      <c r="G781" t="str">
        <f>VLOOKUP(F781,Carrier_Category!A:B,2,0)</f>
        <v>Commuter</v>
      </c>
      <c r="H781" s="5">
        <v>84</v>
      </c>
      <c r="I781" s="7">
        <f t="shared" ref="I781:I844" si="40">H770</f>
        <v>84</v>
      </c>
      <c r="J781" s="5">
        <v>1402</v>
      </c>
      <c r="K781" s="18">
        <f t="shared" si="39"/>
        <v>16.69047619047619</v>
      </c>
    </row>
    <row r="782" spans="1:11" x14ac:dyDescent="0.3">
      <c r="A782" s="14">
        <v>2022</v>
      </c>
      <c r="B782" s="14">
        <f t="shared" si="38"/>
        <v>18</v>
      </c>
      <c r="C782" s="9">
        <v>44683</v>
      </c>
      <c r="D782" s="9">
        <v>44687</v>
      </c>
      <c r="E782" s="14">
        <f>VLOOKUP(F782,CarrierID!A:B,2,0)</f>
        <v>1</v>
      </c>
      <c r="F782" s="15" t="s">
        <v>0</v>
      </c>
      <c r="G782" t="str">
        <f>VLOOKUP(F782,Carrier_Category!A:B,2,0)</f>
        <v>Commuter</v>
      </c>
      <c r="H782" s="5">
        <v>35</v>
      </c>
      <c r="I782" s="7">
        <f t="shared" si="40"/>
        <v>34</v>
      </c>
      <c r="J782" s="5">
        <v>1152</v>
      </c>
      <c r="K782" s="18">
        <f t="shared" si="39"/>
        <v>32.914285714285711</v>
      </c>
    </row>
    <row r="783" spans="1:11" x14ac:dyDescent="0.3">
      <c r="A783" s="14">
        <v>2022</v>
      </c>
      <c r="B783" s="14">
        <f t="shared" si="38"/>
        <v>18</v>
      </c>
      <c r="C783" s="9">
        <v>44683</v>
      </c>
      <c r="D783" s="9">
        <v>44687</v>
      </c>
      <c r="E783" s="14">
        <f>VLOOKUP(F783,CarrierID!A:B,2,0)</f>
        <v>5</v>
      </c>
      <c r="F783" s="15" t="s">
        <v>1</v>
      </c>
      <c r="G783" t="str">
        <f>VLOOKUP(F783,Carrier_Category!A:B,2,0)</f>
        <v>Intercity</v>
      </c>
      <c r="H783" s="5">
        <v>46</v>
      </c>
      <c r="I783" s="7">
        <f t="shared" si="40"/>
        <v>47</v>
      </c>
      <c r="J783" s="5">
        <v>1336</v>
      </c>
      <c r="K783" s="18">
        <f t="shared" si="39"/>
        <v>29.043478260869566</v>
      </c>
    </row>
    <row r="784" spans="1:11" x14ac:dyDescent="0.3">
      <c r="A784" s="14">
        <v>2022</v>
      </c>
      <c r="B784" s="14">
        <f t="shared" si="38"/>
        <v>18</v>
      </c>
      <c r="C784" s="9">
        <v>44683</v>
      </c>
      <c r="D784" s="9">
        <v>44687</v>
      </c>
      <c r="E784" s="14">
        <f>VLOOKUP(F784,CarrierID!A:B,2,0)</f>
        <v>8</v>
      </c>
      <c r="F784" s="15" t="s">
        <v>2</v>
      </c>
      <c r="G784" t="str">
        <f>VLOOKUP(F784,Carrier_Category!A:B,2,0)</f>
        <v>Commuter</v>
      </c>
      <c r="H784" s="5">
        <v>17</v>
      </c>
      <c r="I784" s="7">
        <f t="shared" si="40"/>
        <v>18</v>
      </c>
      <c r="J784" s="5">
        <v>740</v>
      </c>
      <c r="K784" s="18">
        <f t="shared" si="39"/>
        <v>43.529411764705884</v>
      </c>
    </row>
    <row r="785" spans="1:11" x14ac:dyDescent="0.3">
      <c r="A785" s="14">
        <v>2022</v>
      </c>
      <c r="B785" s="14">
        <f t="shared" si="38"/>
        <v>18</v>
      </c>
      <c r="C785" s="9">
        <v>44683</v>
      </c>
      <c r="D785" s="9">
        <v>44687</v>
      </c>
      <c r="E785" s="14">
        <f>VLOOKUP(F785,CarrierID!A:B,2,0)</f>
        <v>9</v>
      </c>
      <c r="F785" s="15" t="s">
        <v>3</v>
      </c>
      <c r="G785" t="str">
        <f>VLOOKUP(F785,Carrier_Category!A:B,2,0)</f>
        <v>NJT</v>
      </c>
      <c r="H785" s="5">
        <v>2146</v>
      </c>
      <c r="I785" s="7">
        <f t="shared" si="40"/>
        <v>2148</v>
      </c>
      <c r="J785" s="5">
        <v>55820</v>
      </c>
      <c r="K785" s="18">
        <f t="shared" si="39"/>
        <v>26.011183597390495</v>
      </c>
    </row>
    <row r="786" spans="1:11" x14ac:dyDescent="0.3">
      <c r="A786" s="14">
        <v>2022</v>
      </c>
      <c r="B786" s="14">
        <f t="shared" si="38"/>
        <v>18</v>
      </c>
      <c r="C786" s="9">
        <v>44683</v>
      </c>
      <c r="D786" s="9">
        <v>44687</v>
      </c>
      <c r="E786" s="14">
        <f>VLOOKUP(F786,CarrierID!A:B,2,0)</f>
        <v>7</v>
      </c>
      <c r="F786" s="15" t="s">
        <v>4</v>
      </c>
      <c r="G786" t="str">
        <f>VLOOKUP(F786,Carrier_Category!A:B,2,0)</f>
        <v>Commuter</v>
      </c>
      <c r="H786" s="5">
        <v>30</v>
      </c>
      <c r="I786" s="7">
        <f t="shared" si="40"/>
        <v>30</v>
      </c>
      <c r="J786" s="5">
        <v>997</v>
      </c>
      <c r="K786" s="18">
        <f t="shared" si="39"/>
        <v>33.233333333333334</v>
      </c>
    </row>
    <row r="787" spans="1:11" x14ac:dyDescent="0.3">
      <c r="A787" s="14">
        <v>2022</v>
      </c>
      <c r="B787" s="14">
        <f t="shared" si="38"/>
        <v>18</v>
      </c>
      <c r="C787" s="9">
        <v>44683</v>
      </c>
      <c r="D787" s="9">
        <v>44687</v>
      </c>
      <c r="E787" s="14">
        <f>VLOOKUP(F787,CarrierID!A:B,2,0)</f>
        <v>11</v>
      </c>
      <c r="F787" s="15" t="s">
        <v>5</v>
      </c>
      <c r="G787" t="str">
        <f>VLOOKUP(F787,Carrier_Category!A:B,2,0)</f>
        <v>Intercity</v>
      </c>
      <c r="H787" s="5">
        <v>20</v>
      </c>
      <c r="I787" s="7">
        <f t="shared" si="40"/>
        <v>20</v>
      </c>
      <c r="J787" s="5">
        <v>533</v>
      </c>
      <c r="K787" s="18">
        <f t="shared" si="39"/>
        <v>26.65</v>
      </c>
    </row>
    <row r="788" spans="1:11" x14ac:dyDescent="0.3">
      <c r="A788" s="14">
        <v>2022</v>
      </c>
      <c r="B788" s="14">
        <f t="shared" si="38"/>
        <v>18</v>
      </c>
      <c r="C788" s="9">
        <v>44683</v>
      </c>
      <c r="D788" s="9">
        <v>44687</v>
      </c>
      <c r="E788" s="14">
        <f>VLOOKUP(F788,CarrierID!A:B,2,0)</f>
        <v>3</v>
      </c>
      <c r="F788" s="15" t="s">
        <v>6</v>
      </c>
      <c r="G788" t="str">
        <f>VLOOKUP(F788,Carrier_Category!A:B,2,0)</f>
        <v>Commuter</v>
      </c>
      <c r="H788" s="5">
        <v>135</v>
      </c>
      <c r="I788" s="7">
        <f t="shared" si="40"/>
        <v>133</v>
      </c>
      <c r="J788" s="5">
        <v>4175</v>
      </c>
      <c r="K788" s="18">
        <f t="shared" si="39"/>
        <v>30.925925925925927</v>
      </c>
    </row>
    <row r="789" spans="1:11" x14ac:dyDescent="0.3">
      <c r="A789" s="14">
        <v>2022</v>
      </c>
      <c r="B789" s="14">
        <f t="shared" si="38"/>
        <v>18</v>
      </c>
      <c r="C789" s="9">
        <v>44683</v>
      </c>
      <c r="D789" s="9">
        <v>44687</v>
      </c>
      <c r="E789" s="14">
        <f>VLOOKUP(F789,CarrierID!A:B,2,0)</f>
        <v>12</v>
      </c>
      <c r="F789" s="15" t="s">
        <v>25</v>
      </c>
      <c r="G789" t="str">
        <f>VLOOKUP(F789,Carrier_Category!A:B,2,0)</f>
        <v>Commuter</v>
      </c>
      <c r="H789" s="5">
        <v>19</v>
      </c>
      <c r="I789" s="7">
        <f t="shared" si="40"/>
        <v>19</v>
      </c>
      <c r="J789" s="5">
        <v>619</v>
      </c>
      <c r="K789" s="18">
        <f t="shared" si="39"/>
        <v>32.578947368421055</v>
      </c>
    </row>
    <row r="790" spans="1:11" x14ac:dyDescent="0.3">
      <c r="A790" s="14">
        <v>2022</v>
      </c>
      <c r="B790" s="14">
        <f t="shared" si="38"/>
        <v>18</v>
      </c>
      <c r="C790" s="9">
        <v>44683</v>
      </c>
      <c r="D790" s="9">
        <v>44687</v>
      </c>
      <c r="E790" s="14">
        <f>VLOOKUP(F790,CarrierID!A:B,2,0)</f>
        <v>10</v>
      </c>
      <c r="F790" s="15" t="s">
        <v>8</v>
      </c>
      <c r="G790" t="str">
        <f>VLOOKUP(F790,Carrier_Category!A:B,2,0)</f>
        <v>Intercity</v>
      </c>
      <c r="H790" s="5">
        <v>24</v>
      </c>
      <c r="I790" s="7">
        <f t="shared" si="40"/>
        <v>25</v>
      </c>
      <c r="J790" s="5">
        <v>688</v>
      </c>
      <c r="K790" s="18">
        <f t="shared" si="39"/>
        <v>28.666666666666668</v>
      </c>
    </row>
    <row r="791" spans="1:11" x14ac:dyDescent="0.3">
      <c r="A791" s="14">
        <v>2022</v>
      </c>
      <c r="B791" s="14">
        <f t="shared" si="38"/>
        <v>18</v>
      </c>
      <c r="C791" s="9">
        <v>44683</v>
      </c>
      <c r="D791" s="9">
        <v>44687</v>
      </c>
      <c r="E791" s="14">
        <f>VLOOKUP(F791,CarrierID!A:B,2,0)</f>
        <v>4</v>
      </c>
      <c r="F791" s="15" t="s">
        <v>24</v>
      </c>
      <c r="G791" t="str">
        <f>VLOOKUP(F791,Carrier_Category!A:B,2,0)</f>
        <v>Commuter</v>
      </c>
      <c r="H791" s="5">
        <v>40</v>
      </c>
      <c r="I791" s="7">
        <f t="shared" si="40"/>
        <v>40</v>
      </c>
      <c r="J791" s="5">
        <v>550</v>
      </c>
      <c r="K791" s="18">
        <f t="shared" si="39"/>
        <v>13.75</v>
      </c>
    </row>
    <row r="792" spans="1:11" x14ac:dyDescent="0.3">
      <c r="A792" s="14">
        <v>2022</v>
      </c>
      <c r="B792" s="14">
        <f t="shared" si="38"/>
        <v>18</v>
      </c>
      <c r="C792" s="9">
        <v>44683</v>
      </c>
      <c r="D792" s="9">
        <v>44687</v>
      </c>
      <c r="E792" s="14">
        <f>VLOOKUP(F792,CarrierID!A:B,2,0)</f>
        <v>6</v>
      </c>
      <c r="F792" s="15" t="s">
        <v>9</v>
      </c>
      <c r="G792" t="str">
        <f>VLOOKUP(F792,Carrier_Category!A:B,2,0)</f>
        <v>Commuter</v>
      </c>
      <c r="H792" s="5">
        <v>79</v>
      </c>
      <c r="I792" s="7">
        <f t="shared" si="40"/>
        <v>84</v>
      </c>
      <c r="J792" s="5">
        <v>1077</v>
      </c>
      <c r="K792" s="18">
        <f t="shared" si="39"/>
        <v>13.632911392405063</v>
      </c>
    </row>
    <row r="793" spans="1:11" x14ac:dyDescent="0.3">
      <c r="A793" s="14">
        <v>2022</v>
      </c>
      <c r="B793" s="14">
        <f t="shared" si="38"/>
        <v>19</v>
      </c>
      <c r="C793" s="9">
        <v>44690</v>
      </c>
      <c r="D793" s="9">
        <v>44694</v>
      </c>
      <c r="E793" s="14">
        <f>VLOOKUP(F793,CarrierID!A:B,2,0)</f>
        <v>1</v>
      </c>
      <c r="F793" s="15" t="s">
        <v>0</v>
      </c>
      <c r="G793" t="str">
        <f>VLOOKUP(F793,Carrier_Category!A:B,2,0)</f>
        <v>Commuter</v>
      </c>
      <c r="H793" s="5">
        <v>35</v>
      </c>
      <c r="I793" s="7">
        <f t="shared" si="40"/>
        <v>35</v>
      </c>
      <c r="J793" s="5">
        <v>1140.2</v>
      </c>
      <c r="K793" s="18">
        <f t="shared" si="39"/>
        <v>32.57714285714286</v>
      </c>
    </row>
    <row r="794" spans="1:11" x14ac:dyDescent="0.3">
      <c r="A794" s="14">
        <v>2022</v>
      </c>
      <c r="B794" s="14">
        <f t="shared" si="38"/>
        <v>19</v>
      </c>
      <c r="C794" s="9">
        <v>44690</v>
      </c>
      <c r="D794" s="9">
        <v>44694</v>
      </c>
      <c r="E794" s="14">
        <f>VLOOKUP(F794,CarrierID!A:B,2,0)</f>
        <v>5</v>
      </c>
      <c r="F794" s="15" t="s">
        <v>1</v>
      </c>
      <c r="G794" t="str">
        <f>VLOOKUP(F794,Carrier_Category!A:B,2,0)</f>
        <v>Intercity</v>
      </c>
      <c r="H794" s="5">
        <v>46</v>
      </c>
      <c r="I794" s="7">
        <f t="shared" si="40"/>
        <v>46</v>
      </c>
      <c r="J794" s="5">
        <v>1435</v>
      </c>
      <c r="K794" s="18">
        <f t="shared" si="39"/>
        <v>31.195652173913043</v>
      </c>
    </row>
    <row r="795" spans="1:11" x14ac:dyDescent="0.3">
      <c r="A795" s="14">
        <v>2022</v>
      </c>
      <c r="B795" s="14">
        <f t="shared" si="38"/>
        <v>19</v>
      </c>
      <c r="C795" s="9">
        <v>44690</v>
      </c>
      <c r="D795" s="9">
        <v>44694</v>
      </c>
      <c r="E795" s="14">
        <f>VLOOKUP(F795,CarrierID!A:B,2,0)</f>
        <v>8</v>
      </c>
      <c r="F795" s="15" t="s">
        <v>2</v>
      </c>
      <c r="G795" t="str">
        <f>VLOOKUP(F795,Carrier_Category!A:B,2,0)</f>
        <v>Commuter</v>
      </c>
      <c r="H795" s="5">
        <v>18</v>
      </c>
      <c r="I795" s="7">
        <f t="shared" si="40"/>
        <v>17</v>
      </c>
      <c r="J795" s="5">
        <v>764</v>
      </c>
      <c r="K795" s="18">
        <f t="shared" si="39"/>
        <v>42.444444444444443</v>
      </c>
    </row>
    <row r="796" spans="1:11" x14ac:dyDescent="0.3">
      <c r="A796" s="14">
        <v>2022</v>
      </c>
      <c r="B796" s="14">
        <f t="shared" si="38"/>
        <v>19</v>
      </c>
      <c r="C796" s="9">
        <v>44690</v>
      </c>
      <c r="D796" s="9">
        <v>44694</v>
      </c>
      <c r="E796" s="14">
        <f>VLOOKUP(F796,CarrierID!A:B,2,0)</f>
        <v>9</v>
      </c>
      <c r="F796" s="15" t="s">
        <v>3</v>
      </c>
      <c r="G796" t="str">
        <f>VLOOKUP(F796,Carrier_Category!A:B,2,0)</f>
        <v>NJT</v>
      </c>
      <c r="H796" s="5">
        <v>2148</v>
      </c>
      <c r="I796" s="7">
        <f t="shared" si="40"/>
        <v>2146</v>
      </c>
      <c r="J796" s="5">
        <v>56979</v>
      </c>
      <c r="K796" s="18">
        <f t="shared" si="39"/>
        <v>26.526536312849164</v>
      </c>
    </row>
    <row r="797" spans="1:11" x14ac:dyDescent="0.3">
      <c r="A797" s="14">
        <v>2022</v>
      </c>
      <c r="B797" s="14">
        <f t="shared" si="38"/>
        <v>19</v>
      </c>
      <c r="C797" s="9">
        <v>44690</v>
      </c>
      <c r="D797" s="9">
        <v>44694</v>
      </c>
      <c r="E797" s="14">
        <f>VLOOKUP(F797,CarrierID!A:B,2,0)</f>
        <v>7</v>
      </c>
      <c r="F797" s="15" t="s">
        <v>4</v>
      </c>
      <c r="G797" t="str">
        <f>VLOOKUP(F797,Carrier_Category!A:B,2,0)</f>
        <v>Commuter</v>
      </c>
      <c r="H797" s="5">
        <v>30</v>
      </c>
      <c r="I797" s="7">
        <f t="shared" si="40"/>
        <v>30</v>
      </c>
      <c r="J797" s="5">
        <v>1028</v>
      </c>
      <c r="K797" s="18">
        <f t="shared" si="39"/>
        <v>34.266666666666666</v>
      </c>
    </row>
    <row r="798" spans="1:11" x14ac:dyDescent="0.3">
      <c r="A798" s="14">
        <v>2022</v>
      </c>
      <c r="B798" s="14">
        <f t="shared" si="38"/>
        <v>19</v>
      </c>
      <c r="C798" s="9">
        <v>44690</v>
      </c>
      <c r="D798" s="9">
        <v>44694</v>
      </c>
      <c r="E798" s="14">
        <f>VLOOKUP(F798,CarrierID!A:B,2,0)</f>
        <v>11</v>
      </c>
      <c r="F798" s="15" t="s">
        <v>5</v>
      </c>
      <c r="G798" t="str">
        <f>VLOOKUP(F798,Carrier_Category!A:B,2,0)</f>
        <v>Intercity</v>
      </c>
      <c r="H798" s="5">
        <v>21</v>
      </c>
      <c r="I798" s="7">
        <f t="shared" si="40"/>
        <v>20</v>
      </c>
      <c r="J798" s="5">
        <v>552</v>
      </c>
      <c r="K798" s="18">
        <f t="shared" si="39"/>
        <v>26.285714285714285</v>
      </c>
    </row>
    <row r="799" spans="1:11" x14ac:dyDescent="0.3">
      <c r="A799" s="14">
        <v>2022</v>
      </c>
      <c r="B799" s="14">
        <f t="shared" si="38"/>
        <v>19</v>
      </c>
      <c r="C799" s="9">
        <v>44690</v>
      </c>
      <c r="D799" s="9">
        <v>44694</v>
      </c>
      <c r="E799" s="14">
        <f>VLOOKUP(F799,CarrierID!A:B,2,0)</f>
        <v>3</v>
      </c>
      <c r="F799" s="15" t="s">
        <v>6</v>
      </c>
      <c r="G799" t="str">
        <f>VLOOKUP(F799,Carrier_Category!A:B,2,0)</f>
        <v>Commuter</v>
      </c>
      <c r="H799" s="5">
        <v>132</v>
      </c>
      <c r="I799" s="7">
        <f t="shared" si="40"/>
        <v>135</v>
      </c>
      <c r="J799" s="5">
        <v>4504</v>
      </c>
      <c r="K799" s="18">
        <f t="shared" si="39"/>
        <v>34.121212121212125</v>
      </c>
    </row>
    <row r="800" spans="1:11" x14ac:dyDescent="0.3">
      <c r="A800" s="14">
        <v>2022</v>
      </c>
      <c r="B800" s="14">
        <f t="shared" si="38"/>
        <v>19</v>
      </c>
      <c r="C800" s="9">
        <v>44690</v>
      </c>
      <c r="D800" s="9">
        <v>44694</v>
      </c>
      <c r="E800" s="14">
        <f>VLOOKUP(F800,CarrierID!A:B,2,0)</f>
        <v>12</v>
      </c>
      <c r="F800" s="15" t="s">
        <v>25</v>
      </c>
      <c r="G800" t="str">
        <f>VLOOKUP(F800,Carrier_Category!A:B,2,0)</f>
        <v>Commuter</v>
      </c>
      <c r="H800" s="5">
        <v>19</v>
      </c>
      <c r="I800" s="7">
        <f t="shared" si="40"/>
        <v>19</v>
      </c>
      <c r="J800" s="5">
        <v>622</v>
      </c>
      <c r="K800" s="18">
        <f t="shared" si="39"/>
        <v>32.736842105263158</v>
      </c>
    </row>
    <row r="801" spans="1:11" x14ac:dyDescent="0.3">
      <c r="A801" s="14">
        <v>2022</v>
      </c>
      <c r="B801" s="14">
        <f t="shared" si="38"/>
        <v>19</v>
      </c>
      <c r="C801" s="9">
        <v>44690</v>
      </c>
      <c r="D801" s="9">
        <v>44694</v>
      </c>
      <c r="E801" s="14">
        <f>VLOOKUP(F801,CarrierID!A:B,2,0)</f>
        <v>10</v>
      </c>
      <c r="F801" s="15" t="s">
        <v>8</v>
      </c>
      <c r="G801" t="str">
        <f>VLOOKUP(F801,Carrier_Category!A:B,2,0)</f>
        <v>Intercity</v>
      </c>
      <c r="H801" s="5">
        <v>25</v>
      </c>
      <c r="I801" s="7">
        <f t="shared" si="40"/>
        <v>24</v>
      </c>
      <c r="J801" s="5">
        <v>713</v>
      </c>
      <c r="K801" s="18">
        <f t="shared" si="39"/>
        <v>28.52</v>
      </c>
    </row>
    <row r="802" spans="1:11" x14ac:dyDescent="0.3">
      <c r="A802" s="14">
        <v>2022</v>
      </c>
      <c r="B802" s="14">
        <f t="shared" si="38"/>
        <v>19</v>
      </c>
      <c r="C802" s="9">
        <v>44690</v>
      </c>
      <c r="D802" s="9">
        <v>44694</v>
      </c>
      <c r="E802" s="14">
        <f>VLOOKUP(F802,CarrierID!A:B,2,0)</f>
        <v>4</v>
      </c>
      <c r="F802" s="15" t="s">
        <v>24</v>
      </c>
      <c r="G802" t="str">
        <f>VLOOKUP(F802,Carrier_Category!A:B,2,0)</f>
        <v>Commuter</v>
      </c>
      <c r="H802" s="5">
        <v>40</v>
      </c>
      <c r="I802" s="7">
        <f t="shared" si="40"/>
        <v>40</v>
      </c>
      <c r="J802" s="5">
        <v>560</v>
      </c>
      <c r="K802" s="18">
        <f t="shared" si="39"/>
        <v>14</v>
      </c>
    </row>
    <row r="803" spans="1:11" x14ac:dyDescent="0.3">
      <c r="A803" s="14">
        <v>2022</v>
      </c>
      <c r="B803" s="14">
        <f t="shared" si="38"/>
        <v>19</v>
      </c>
      <c r="C803" s="9">
        <v>44690</v>
      </c>
      <c r="D803" s="9">
        <v>44694</v>
      </c>
      <c r="E803" s="14">
        <f>VLOOKUP(F803,CarrierID!A:B,2,0)</f>
        <v>6</v>
      </c>
      <c r="F803" s="15" t="s">
        <v>9</v>
      </c>
      <c r="G803" t="str">
        <f>VLOOKUP(F803,Carrier_Category!A:B,2,0)</f>
        <v>Commuter</v>
      </c>
      <c r="H803" s="5">
        <v>87</v>
      </c>
      <c r="I803" s="7">
        <f t="shared" si="40"/>
        <v>79</v>
      </c>
      <c r="J803" s="5">
        <v>1399</v>
      </c>
      <c r="K803" s="18">
        <f t="shared" si="39"/>
        <v>16.080459770114942</v>
      </c>
    </row>
    <row r="804" spans="1:11" x14ac:dyDescent="0.3">
      <c r="A804" s="14">
        <v>2022</v>
      </c>
      <c r="B804" s="14">
        <f t="shared" si="38"/>
        <v>20</v>
      </c>
      <c r="C804" s="9">
        <v>44697</v>
      </c>
      <c r="D804" s="9">
        <v>44701</v>
      </c>
      <c r="E804" s="14">
        <f>VLOOKUP(F804,CarrierID!A:B,2,0)</f>
        <v>1</v>
      </c>
      <c r="F804" s="15" t="s">
        <v>0</v>
      </c>
      <c r="G804" t="str">
        <f>VLOOKUP(F804,Carrier_Category!A:B,2,0)</f>
        <v>Commuter</v>
      </c>
      <c r="H804" s="5">
        <v>35</v>
      </c>
      <c r="I804" s="7">
        <f t="shared" si="40"/>
        <v>35</v>
      </c>
      <c r="J804" s="5">
        <v>1140</v>
      </c>
      <c r="K804" s="18">
        <f t="shared" si="39"/>
        <v>32.571428571428569</v>
      </c>
    </row>
    <row r="805" spans="1:11" x14ac:dyDescent="0.3">
      <c r="A805" s="14">
        <v>2022</v>
      </c>
      <c r="B805" s="14">
        <f t="shared" si="38"/>
        <v>20</v>
      </c>
      <c r="C805" s="9">
        <v>44697</v>
      </c>
      <c r="D805" s="9">
        <v>44701</v>
      </c>
      <c r="E805" s="14">
        <f>VLOOKUP(F805,CarrierID!A:B,2,0)</f>
        <v>5</v>
      </c>
      <c r="F805" s="15" t="s">
        <v>1</v>
      </c>
      <c r="G805" t="str">
        <f>VLOOKUP(F805,Carrier_Category!A:B,2,0)</f>
        <v>Intercity</v>
      </c>
      <c r="H805" s="5">
        <v>46</v>
      </c>
      <c r="I805" s="7">
        <f t="shared" si="40"/>
        <v>46</v>
      </c>
      <c r="J805" s="5">
        <v>1466</v>
      </c>
      <c r="K805" s="18">
        <f t="shared" si="39"/>
        <v>31.869565217391305</v>
      </c>
    </row>
    <row r="806" spans="1:11" x14ac:dyDescent="0.3">
      <c r="A806" s="14">
        <v>2022</v>
      </c>
      <c r="B806" s="14">
        <f t="shared" si="38"/>
        <v>20</v>
      </c>
      <c r="C806" s="9">
        <v>44697</v>
      </c>
      <c r="D806" s="9">
        <v>44701</v>
      </c>
      <c r="E806" s="14">
        <f>VLOOKUP(F806,CarrierID!A:B,2,0)</f>
        <v>8</v>
      </c>
      <c r="F806" s="15" t="s">
        <v>2</v>
      </c>
      <c r="G806" t="str">
        <f>VLOOKUP(F806,Carrier_Category!A:B,2,0)</f>
        <v>Commuter</v>
      </c>
      <c r="H806" s="5">
        <v>18</v>
      </c>
      <c r="I806" s="7">
        <f t="shared" si="40"/>
        <v>18</v>
      </c>
      <c r="J806" s="5">
        <v>772</v>
      </c>
      <c r="K806" s="18">
        <f t="shared" si="39"/>
        <v>42.888888888888886</v>
      </c>
    </row>
    <row r="807" spans="1:11" x14ac:dyDescent="0.3">
      <c r="A807" s="14">
        <v>2022</v>
      </c>
      <c r="B807" s="14">
        <f t="shared" si="38"/>
        <v>20</v>
      </c>
      <c r="C807" s="9">
        <v>44697</v>
      </c>
      <c r="D807" s="9">
        <v>44701</v>
      </c>
      <c r="E807" s="14">
        <f>VLOOKUP(F807,CarrierID!A:B,2,0)</f>
        <v>9</v>
      </c>
      <c r="F807" s="15" t="s">
        <v>3</v>
      </c>
      <c r="G807" t="str">
        <f>VLOOKUP(F807,Carrier_Category!A:B,2,0)</f>
        <v>NJT</v>
      </c>
      <c r="H807" s="5">
        <v>2136</v>
      </c>
      <c r="I807" s="7">
        <f t="shared" si="40"/>
        <v>2148</v>
      </c>
      <c r="J807" s="5">
        <v>58236</v>
      </c>
      <c r="K807" s="18">
        <f t="shared" si="39"/>
        <v>27.264044943820224</v>
      </c>
    </row>
    <row r="808" spans="1:11" x14ac:dyDescent="0.3">
      <c r="A808" s="14">
        <v>2022</v>
      </c>
      <c r="B808" s="14">
        <f t="shared" si="38"/>
        <v>20</v>
      </c>
      <c r="C808" s="9">
        <v>44697</v>
      </c>
      <c r="D808" s="9">
        <v>44701</v>
      </c>
      <c r="E808" s="14">
        <f>VLOOKUP(F808,CarrierID!A:B,2,0)</f>
        <v>7</v>
      </c>
      <c r="F808" s="15" t="s">
        <v>4</v>
      </c>
      <c r="G808" t="str">
        <f>VLOOKUP(F808,Carrier_Category!A:B,2,0)</f>
        <v>Commuter</v>
      </c>
      <c r="H808" s="5">
        <v>30</v>
      </c>
      <c r="I808" s="7">
        <f t="shared" si="40"/>
        <v>30</v>
      </c>
      <c r="J808" s="5">
        <v>1019</v>
      </c>
      <c r="K808" s="18">
        <f t="shared" si="39"/>
        <v>33.966666666666669</v>
      </c>
    </row>
    <row r="809" spans="1:11" x14ac:dyDescent="0.3">
      <c r="A809" s="14">
        <v>2022</v>
      </c>
      <c r="B809" s="14">
        <f t="shared" si="38"/>
        <v>20</v>
      </c>
      <c r="C809" s="9">
        <v>44697</v>
      </c>
      <c r="D809" s="9">
        <v>44701</v>
      </c>
      <c r="E809" s="14">
        <f>VLOOKUP(F809,CarrierID!A:B,2,0)</f>
        <v>11</v>
      </c>
      <c r="F809" s="15" t="s">
        <v>5</v>
      </c>
      <c r="G809" t="str">
        <f>VLOOKUP(F809,Carrier_Category!A:B,2,0)</f>
        <v>Intercity</v>
      </c>
      <c r="H809" s="5">
        <v>20</v>
      </c>
      <c r="I809" s="7">
        <f t="shared" si="40"/>
        <v>21</v>
      </c>
      <c r="J809" s="5">
        <v>594</v>
      </c>
      <c r="K809" s="18">
        <f t="shared" si="39"/>
        <v>29.7</v>
      </c>
    </row>
    <row r="810" spans="1:11" x14ac:dyDescent="0.3">
      <c r="A810" s="14">
        <v>2022</v>
      </c>
      <c r="B810" s="14">
        <f t="shared" si="38"/>
        <v>20</v>
      </c>
      <c r="C810" s="9">
        <v>44697</v>
      </c>
      <c r="D810" s="9">
        <v>44701</v>
      </c>
      <c r="E810" s="14">
        <f>VLOOKUP(F810,CarrierID!A:B,2,0)</f>
        <v>3</v>
      </c>
      <c r="F810" s="15" t="s">
        <v>6</v>
      </c>
      <c r="G810" t="str">
        <f>VLOOKUP(F810,Carrier_Category!A:B,2,0)</f>
        <v>Commuter</v>
      </c>
      <c r="H810" s="5">
        <v>131</v>
      </c>
      <c r="I810" s="7">
        <f t="shared" si="40"/>
        <v>132</v>
      </c>
      <c r="J810" s="5">
        <v>4441</v>
      </c>
      <c r="K810" s="18">
        <f t="shared" si="39"/>
        <v>33.900763358778626</v>
      </c>
    </row>
    <row r="811" spans="1:11" x14ac:dyDescent="0.3">
      <c r="A811" s="14">
        <v>2022</v>
      </c>
      <c r="B811" s="14">
        <f t="shared" si="38"/>
        <v>20</v>
      </c>
      <c r="C811" s="9">
        <v>44697</v>
      </c>
      <c r="D811" s="9">
        <v>44701</v>
      </c>
      <c r="E811" s="14">
        <f>VLOOKUP(F811,CarrierID!A:B,2,0)</f>
        <v>12</v>
      </c>
      <c r="F811" s="15" t="s">
        <v>25</v>
      </c>
      <c r="G811" t="str">
        <f>VLOOKUP(F811,Carrier_Category!A:B,2,0)</f>
        <v>Commuter</v>
      </c>
      <c r="H811" s="5">
        <v>19</v>
      </c>
      <c r="I811" s="7">
        <f t="shared" si="40"/>
        <v>19</v>
      </c>
      <c r="J811" s="5">
        <v>633</v>
      </c>
      <c r="K811" s="18">
        <f t="shared" si="39"/>
        <v>33.315789473684212</v>
      </c>
    </row>
    <row r="812" spans="1:11" x14ac:dyDescent="0.3">
      <c r="A812" s="14">
        <v>2022</v>
      </c>
      <c r="B812" s="14">
        <f t="shared" si="38"/>
        <v>20</v>
      </c>
      <c r="C812" s="9">
        <v>44697</v>
      </c>
      <c r="D812" s="9">
        <v>44701</v>
      </c>
      <c r="E812" s="14">
        <f>VLOOKUP(F812,CarrierID!A:B,2,0)</f>
        <v>10</v>
      </c>
      <c r="F812" s="15" t="s">
        <v>8</v>
      </c>
      <c r="G812" t="str">
        <f>VLOOKUP(F812,Carrier_Category!A:B,2,0)</f>
        <v>Intercity</v>
      </c>
      <c r="H812" s="5">
        <v>25</v>
      </c>
      <c r="I812" s="7">
        <f t="shared" si="40"/>
        <v>25</v>
      </c>
      <c r="J812" s="5">
        <v>814</v>
      </c>
      <c r="K812" s="18">
        <f t="shared" si="39"/>
        <v>32.56</v>
      </c>
    </row>
    <row r="813" spans="1:11" x14ac:dyDescent="0.3">
      <c r="A813" s="14">
        <v>2022</v>
      </c>
      <c r="B813" s="14">
        <f t="shared" si="38"/>
        <v>20</v>
      </c>
      <c r="C813" s="9">
        <v>44697</v>
      </c>
      <c r="D813" s="9">
        <v>44701</v>
      </c>
      <c r="E813" s="14">
        <f>VLOOKUP(F813,CarrierID!A:B,2,0)</f>
        <v>4</v>
      </c>
      <c r="F813" s="15" t="s">
        <v>24</v>
      </c>
      <c r="G813" t="str">
        <f>VLOOKUP(F813,Carrier_Category!A:B,2,0)</f>
        <v>Commuter</v>
      </c>
      <c r="H813" s="5">
        <v>40</v>
      </c>
      <c r="I813" s="7">
        <f t="shared" si="40"/>
        <v>40</v>
      </c>
      <c r="J813" s="5">
        <v>568</v>
      </c>
      <c r="K813" s="18">
        <f t="shared" si="39"/>
        <v>14.2</v>
      </c>
    </row>
    <row r="814" spans="1:11" x14ac:dyDescent="0.3">
      <c r="A814" s="14">
        <v>2022</v>
      </c>
      <c r="B814" s="14">
        <f t="shared" si="38"/>
        <v>20</v>
      </c>
      <c r="C814" s="9">
        <v>44697</v>
      </c>
      <c r="D814" s="9">
        <v>44701</v>
      </c>
      <c r="E814" s="14">
        <f>VLOOKUP(F814,CarrierID!A:B,2,0)</f>
        <v>6</v>
      </c>
      <c r="F814" s="15" t="s">
        <v>9</v>
      </c>
      <c r="G814" t="str">
        <f>VLOOKUP(F814,Carrier_Category!A:B,2,0)</f>
        <v>Commuter</v>
      </c>
      <c r="H814" s="5">
        <v>86</v>
      </c>
      <c r="I814" s="7">
        <f t="shared" si="40"/>
        <v>87</v>
      </c>
      <c r="J814" s="5">
        <v>1541</v>
      </c>
      <c r="K814" s="18">
        <f t="shared" si="39"/>
        <v>17.918604651162791</v>
      </c>
    </row>
    <row r="815" spans="1:11" x14ac:dyDescent="0.3">
      <c r="A815" s="14">
        <v>2022</v>
      </c>
      <c r="B815" s="14">
        <f t="shared" si="38"/>
        <v>21</v>
      </c>
      <c r="C815" s="9">
        <v>44704</v>
      </c>
      <c r="D815" s="9">
        <v>44708</v>
      </c>
      <c r="E815" s="14">
        <f>VLOOKUP(F815,CarrierID!A:B,2,0)</f>
        <v>1</v>
      </c>
      <c r="F815" s="15" t="s">
        <v>0</v>
      </c>
      <c r="G815" t="str">
        <f>VLOOKUP(F815,Carrier_Category!A:B,2,0)</f>
        <v>Commuter</v>
      </c>
      <c r="H815" s="5">
        <v>35</v>
      </c>
      <c r="I815" s="7">
        <f t="shared" si="40"/>
        <v>35</v>
      </c>
      <c r="J815" s="5">
        <v>1112</v>
      </c>
      <c r="K815" s="18">
        <f t="shared" si="39"/>
        <v>31.771428571428572</v>
      </c>
    </row>
    <row r="816" spans="1:11" x14ac:dyDescent="0.3">
      <c r="A816" s="14">
        <v>2022</v>
      </c>
      <c r="B816" s="14">
        <f t="shared" si="38"/>
        <v>21</v>
      </c>
      <c r="C816" s="9">
        <v>44704</v>
      </c>
      <c r="D816" s="9">
        <v>44708</v>
      </c>
      <c r="E816" s="14">
        <f>VLOOKUP(F816,CarrierID!A:B,2,0)</f>
        <v>5</v>
      </c>
      <c r="F816" s="15" t="s">
        <v>1</v>
      </c>
      <c r="G816" t="str">
        <f>VLOOKUP(F816,Carrier_Category!A:B,2,0)</f>
        <v>Intercity</v>
      </c>
      <c r="H816" s="5">
        <v>47</v>
      </c>
      <c r="I816" s="7">
        <f t="shared" si="40"/>
        <v>46</v>
      </c>
      <c r="J816" s="5">
        <v>1526</v>
      </c>
      <c r="K816" s="18">
        <f t="shared" si="39"/>
        <v>32.468085106382979</v>
      </c>
    </row>
    <row r="817" spans="1:11" x14ac:dyDescent="0.3">
      <c r="A817" s="14">
        <v>2022</v>
      </c>
      <c r="B817" s="14">
        <f t="shared" si="38"/>
        <v>21</v>
      </c>
      <c r="C817" s="9">
        <v>44704</v>
      </c>
      <c r="D817" s="9">
        <v>44708</v>
      </c>
      <c r="E817" s="14">
        <f>VLOOKUP(F817,CarrierID!A:B,2,0)</f>
        <v>8</v>
      </c>
      <c r="F817" s="15" t="s">
        <v>2</v>
      </c>
      <c r="G817" t="str">
        <f>VLOOKUP(F817,Carrier_Category!A:B,2,0)</f>
        <v>Commuter</v>
      </c>
      <c r="H817" s="5">
        <v>18</v>
      </c>
      <c r="I817" s="7">
        <f t="shared" si="40"/>
        <v>18</v>
      </c>
      <c r="J817" s="5">
        <v>776</v>
      </c>
      <c r="K817" s="18">
        <f t="shared" si="39"/>
        <v>43.111111111111114</v>
      </c>
    </row>
    <row r="818" spans="1:11" x14ac:dyDescent="0.3">
      <c r="A818" s="14">
        <v>2022</v>
      </c>
      <c r="B818" s="14">
        <f t="shared" si="38"/>
        <v>21</v>
      </c>
      <c r="C818" s="9">
        <v>44704</v>
      </c>
      <c r="D818" s="9">
        <v>44708</v>
      </c>
      <c r="E818" s="14">
        <f>VLOOKUP(F818,CarrierID!A:B,2,0)</f>
        <v>9</v>
      </c>
      <c r="F818" s="15" t="s">
        <v>3</v>
      </c>
      <c r="G818" t="str">
        <f>VLOOKUP(F818,Carrier_Category!A:B,2,0)</f>
        <v>NJT</v>
      </c>
      <c r="H818" s="5">
        <v>2156</v>
      </c>
      <c r="I818" s="7">
        <f t="shared" si="40"/>
        <v>2136</v>
      </c>
      <c r="J818" s="5">
        <v>56937</v>
      </c>
      <c r="K818" s="18">
        <f t="shared" si="39"/>
        <v>26.408627087198514</v>
      </c>
    </row>
    <row r="819" spans="1:11" x14ac:dyDescent="0.3">
      <c r="A819" s="14">
        <v>2022</v>
      </c>
      <c r="B819" s="14">
        <f t="shared" si="38"/>
        <v>21</v>
      </c>
      <c r="C819" s="9">
        <v>44704</v>
      </c>
      <c r="D819" s="9">
        <v>44708</v>
      </c>
      <c r="E819" s="14">
        <f>VLOOKUP(F819,CarrierID!A:B,2,0)</f>
        <v>7</v>
      </c>
      <c r="F819" s="15" t="s">
        <v>4</v>
      </c>
      <c r="G819" t="str">
        <f>VLOOKUP(F819,Carrier_Category!A:B,2,0)</f>
        <v>Commuter</v>
      </c>
      <c r="H819" s="5">
        <v>29</v>
      </c>
      <c r="I819" s="7">
        <f t="shared" si="40"/>
        <v>30</v>
      </c>
      <c r="J819" s="5">
        <v>1036</v>
      </c>
      <c r="K819" s="18">
        <f t="shared" si="39"/>
        <v>35.724137931034484</v>
      </c>
    </row>
    <row r="820" spans="1:11" x14ac:dyDescent="0.3">
      <c r="A820" s="14">
        <v>2022</v>
      </c>
      <c r="B820" s="14">
        <f t="shared" si="38"/>
        <v>21</v>
      </c>
      <c r="C820" s="9">
        <v>44704</v>
      </c>
      <c r="D820" s="9">
        <v>44708</v>
      </c>
      <c r="E820" s="14">
        <f>VLOOKUP(F820,CarrierID!A:B,2,0)</f>
        <v>11</v>
      </c>
      <c r="F820" s="15" t="s">
        <v>5</v>
      </c>
      <c r="G820" t="str">
        <f>VLOOKUP(F820,Carrier_Category!A:B,2,0)</f>
        <v>Intercity</v>
      </c>
      <c r="H820" s="5">
        <v>22</v>
      </c>
      <c r="I820" s="7">
        <f t="shared" si="40"/>
        <v>20</v>
      </c>
      <c r="J820" s="5">
        <v>667</v>
      </c>
      <c r="K820" s="18">
        <f t="shared" si="39"/>
        <v>30.318181818181817</v>
      </c>
    </row>
    <row r="821" spans="1:11" x14ac:dyDescent="0.3">
      <c r="A821" s="14">
        <v>2022</v>
      </c>
      <c r="B821" s="14">
        <f t="shared" si="38"/>
        <v>21</v>
      </c>
      <c r="C821" s="9">
        <v>44704</v>
      </c>
      <c r="D821" s="9">
        <v>44708</v>
      </c>
      <c r="E821" s="14">
        <f>VLOOKUP(F821,CarrierID!A:B,2,0)</f>
        <v>3</v>
      </c>
      <c r="F821" s="15" t="s">
        <v>6</v>
      </c>
      <c r="G821" t="str">
        <f>VLOOKUP(F821,Carrier_Category!A:B,2,0)</f>
        <v>Commuter</v>
      </c>
      <c r="H821" s="5">
        <v>132</v>
      </c>
      <c r="I821" s="7">
        <f t="shared" si="40"/>
        <v>131</v>
      </c>
      <c r="J821" s="5">
        <v>4444</v>
      </c>
      <c r="K821" s="18">
        <f t="shared" si="39"/>
        <v>33.666666666666664</v>
      </c>
    </row>
    <row r="822" spans="1:11" x14ac:dyDescent="0.3">
      <c r="A822" s="14">
        <v>2022</v>
      </c>
      <c r="B822" s="14">
        <f t="shared" si="38"/>
        <v>21</v>
      </c>
      <c r="C822" s="9">
        <v>44704</v>
      </c>
      <c r="D822" s="9">
        <v>44708</v>
      </c>
      <c r="E822" s="14">
        <f>VLOOKUP(F822,CarrierID!A:B,2,0)</f>
        <v>12</v>
      </c>
      <c r="F822" s="15" t="s">
        <v>25</v>
      </c>
      <c r="G822" t="str">
        <f>VLOOKUP(F822,Carrier_Category!A:B,2,0)</f>
        <v>Commuter</v>
      </c>
      <c r="H822" s="5">
        <v>19</v>
      </c>
      <c r="I822" s="7">
        <f t="shared" si="40"/>
        <v>19</v>
      </c>
      <c r="J822" s="5">
        <v>634</v>
      </c>
      <c r="K822" s="18">
        <f t="shared" si="39"/>
        <v>33.368421052631582</v>
      </c>
    </row>
    <row r="823" spans="1:11" x14ac:dyDescent="0.3">
      <c r="A823" s="14">
        <v>2022</v>
      </c>
      <c r="B823" s="14">
        <f t="shared" si="38"/>
        <v>21</v>
      </c>
      <c r="C823" s="9">
        <v>44704</v>
      </c>
      <c r="D823" s="9">
        <v>44708</v>
      </c>
      <c r="E823" s="14">
        <f>VLOOKUP(F823,CarrierID!A:B,2,0)</f>
        <v>10</v>
      </c>
      <c r="F823" s="15" t="s">
        <v>8</v>
      </c>
      <c r="G823" t="str">
        <f>VLOOKUP(F823,Carrier_Category!A:B,2,0)</f>
        <v>Intercity</v>
      </c>
      <c r="H823" s="5">
        <v>25</v>
      </c>
      <c r="I823" s="7">
        <f t="shared" si="40"/>
        <v>25</v>
      </c>
      <c r="J823" s="5">
        <v>895</v>
      </c>
      <c r="K823" s="18">
        <f t="shared" si="39"/>
        <v>35.799999999999997</v>
      </c>
    </row>
    <row r="824" spans="1:11" x14ac:dyDescent="0.3">
      <c r="A824" s="14">
        <v>2022</v>
      </c>
      <c r="B824" s="14">
        <f t="shared" si="38"/>
        <v>21</v>
      </c>
      <c r="C824" s="9">
        <v>44704</v>
      </c>
      <c r="D824" s="9">
        <v>44708</v>
      </c>
      <c r="E824" s="14">
        <f>VLOOKUP(F824,CarrierID!A:B,2,0)</f>
        <v>4</v>
      </c>
      <c r="F824" s="15" t="s">
        <v>24</v>
      </c>
      <c r="G824" t="str">
        <f>VLOOKUP(F824,Carrier_Category!A:B,2,0)</f>
        <v>Commuter</v>
      </c>
      <c r="H824" s="5">
        <v>40</v>
      </c>
      <c r="I824" s="7">
        <f t="shared" si="40"/>
        <v>40</v>
      </c>
      <c r="J824" s="5">
        <v>554</v>
      </c>
      <c r="K824" s="18">
        <f t="shared" si="39"/>
        <v>13.85</v>
      </c>
    </row>
    <row r="825" spans="1:11" x14ac:dyDescent="0.3">
      <c r="A825" s="14">
        <v>2022</v>
      </c>
      <c r="B825" s="14">
        <f t="shared" si="38"/>
        <v>21</v>
      </c>
      <c r="C825" s="9">
        <v>44704</v>
      </c>
      <c r="D825" s="9">
        <v>44708</v>
      </c>
      <c r="E825" s="14">
        <f>VLOOKUP(F825,CarrierID!A:B,2,0)</f>
        <v>6</v>
      </c>
      <c r="F825" s="15" t="s">
        <v>9</v>
      </c>
      <c r="G825" t="str">
        <f>VLOOKUP(F825,Carrier_Category!A:B,2,0)</f>
        <v>Commuter</v>
      </c>
      <c r="H825" s="5">
        <v>78</v>
      </c>
      <c r="I825" s="7">
        <f t="shared" si="40"/>
        <v>86</v>
      </c>
      <c r="J825" s="5">
        <v>1421</v>
      </c>
      <c r="K825" s="18">
        <f t="shared" si="39"/>
        <v>18.217948717948719</v>
      </c>
    </row>
    <row r="826" spans="1:11" x14ac:dyDescent="0.3">
      <c r="A826" s="14">
        <v>2022</v>
      </c>
      <c r="B826" s="14">
        <f t="shared" si="38"/>
        <v>22</v>
      </c>
      <c r="C826" s="9">
        <v>44711</v>
      </c>
      <c r="D826" s="9">
        <v>44715</v>
      </c>
      <c r="E826" s="14">
        <f>VLOOKUP(F826,CarrierID!A:B,2,0)</f>
        <v>1</v>
      </c>
      <c r="F826" s="15" t="s">
        <v>0</v>
      </c>
      <c r="G826" t="str">
        <f>VLOOKUP(F826,Carrier_Category!A:B,2,0)</f>
        <v>Commuter</v>
      </c>
      <c r="H826" s="5">
        <v>34</v>
      </c>
      <c r="I826" s="7">
        <f t="shared" si="40"/>
        <v>35</v>
      </c>
      <c r="J826" s="5">
        <v>1094</v>
      </c>
      <c r="K826" s="18">
        <f t="shared" si="39"/>
        <v>32.176470588235297</v>
      </c>
    </row>
    <row r="827" spans="1:11" x14ac:dyDescent="0.3">
      <c r="A827" s="14">
        <v>2022</v>
      </c>
      <c r="B827" s="14">
        <f t="shared" si="38"/>
        <v>22</v>
      </c>
      <c r="C827" s="9">
        <v>44711</v>
      </c>
      <c r="D827" s="9">
        <v>44715</v>
      </c>
      <c r="E827" s="14">
        <f>VLOOKUP(F827,CarrierID!A:B,2,0)</f>
        <v>5</v>
      </c>
      <c r="F827" s="15" t="s">
        <v>1</v>
      </c>
      <c r="G827" t="str">
        <f>VLOOKUP(F827,Carrier_Category!A:B,2,0)</f>
        <v>Intercity</v>
      </c>
      <c r="H827" s="5">
        <v>49</v>
      </c>
      <c r="I827" s="7">
        <f t="shared" si="40"/>
        <v>47</v>
      </c>
      <c r="J827" s="5">
        <v>1521</v>
      </c>
      <c r="K827" s="18">
        <f t="shared" si="39"/>
        <v>31.040816326530614</v>
      </c>
    </row>
    <row r="828" spans="1:11" x14ac:dyDescent="0.3">
      <c r="A828" s="14">
        <v>2022</v>
      </c>
      <c r="B828" s="14">
        <f t="shared" si="38"/>
        <v>22</v>
      </c>
      <c r="C828" s="9">
        <v>44711</v>
      </c>
      <c r="D828" s="9">
        <v>44715</v>
      </c>
      <c r="E828" s="14">
        <f>VLOOKUP(F828,CarrierID!A:B,2,0)</f>
        <v>8</v>
      </c>
      <c r="F828" s="15" t="s">
        <v>2</v>
      </c>
      <c r="G828" t="str">
        <f>VLOOKUP(F828,Carrier_Category!A:B,2,0)</f>
        <v>Commuter</v>
      </c>
      <c r="H828" s="5">
        <v>20</v>
      </c>
      <c r="I828" s="7">
        <f t="shared" si="40"/>
        <v>18</v>
      </c>
      <c r="J828" s="5">
        <v>798</v>
      </c>
      <c r="K828" s="18">
        <f t="shared" si="39"/>
        <v>39.9</v>
      </c>
    </row>
    <row r="829" spans="1:11" x14ac:dyDescent="0.3">
      <c r="A829" s="14">
        <v>2022</v>
      </c>
      <c r="B829" s="14">
        <f t="shared" si="38"/>
        <v>22</v>
      </c>
      <c r="C829" s="9">
        <v>44711</v>
      </c>
      <c r="D829" s="9">
        <v>44715</v>
      </c>
      <c r="E829" s="14">
        <f>VLOOKUP(F829,CarrierID!A:B,2,0)</f>
        <v>9</v>
      </c>
      <c r="F829" s="15" t="s">
        <v>3</v>
      </c>
      <c r="G829" t="str">
        <f>VLOOKUP(F829,Carrier_Category!A:B,2,0)</f>
        <v>NJT</v>
      </c>
      <c r="H829" s="5">
        <v>2155</v>
      </c>
      <c r="I829" s="7">
        <f t="shared" si="40"/>
        <v>2156</v>
      </c>
      <c r="J829" s="5">
        <v>58023</v>
      </c>
      <c r="K829" s="18">
        <f t="shared" si="39"/>
        <v>26.924825986078886</v>
      </c>
    </row>
    <row r="830" spans="1:11" x14ac:dyDescent="0.3">
      <c r="A830" s="14">
        <v>2022</v>
      </c>
      <c r="B830" s="14">
        <f t="shared" si="38"/>
        <v>22</v>
      </c>
      <c r="C830" s="9">
        <v>44711</v>
      </c>
      <c r="D830" s="9">
        <v>44715</v>
      </c>
      <c r="E830" s="14">
        <f>VLOOKUP(F830,CarrierID!A:B,2,0)</f>
        <v>7</v>
      </c>
      <c r="F830" s="15" t="s">
        <v>4</v>
      </c>
      <c r="G830" t="str">
        <f>VLOOKUP(F830,Carrier_Category!A:B,2,0)</f>
        <v>Commuter</v>
      </c>
      <c r="H830" s="5">
        <v>29</v>
      </c>
      <c r="I830" s="7">
        <f t="shared" si="40"/>
        <v>29</v>
      </c>
      <c r="J830" s="5">
        <v>979</v>
      </c>
      <c r="K830" s="18">
        <f t="shared" si="39"/>
        <v>33.758620689655174</v>
      </c>
    </row>
    <row r="831" spans="1:11" x14ac:dyDescent="0.3">
      <c r="A831" s="14">
        <v>2022</v>
      </c>
      <c r="B831" s="14">
        <f t="shared" si="38"/>
        <v>22</v>
      </c>
      <c r="C831" s="9">
        <v>44711</v>
      </c>
      <c r="D831" s="9">
        <v>44715</v>
      </c>
      <c r="E831" s="14">
        <f>VLOOKUP(F831,CarrierID!A:B,2,0)</f>
        <v>11</v>
      </c>
      <c r="F831" s="15" t="s">
        <v>5</v>
      </c>
      <c r="G831" t="str">
        <f>VLOOKUP(F831,Carrier_Category!A:B,2,0)</f>
        <v>Intercity</v>
      </c>
      <c r="H831" s="5">
        <v>26</v>
      </c>
      <c r="I831" s="7">
        <f t="shared" si="40"/>
        <v>22</v>
      </c>
      <c r="J831" s="5">
        <v>645</v>
      </c>
      <c r="K831" s="18">
        <f t="shared" si="39"/>
        <v>24.807692307692307</v>
      </c>
    </row>
    <row r="832" spans="1:11" x14ac:dyDescent="0.3">
      <c r="A832" s="14">
        <v>2022</v>
      </c>
      <c r="B832" s="14">
        <f t="shared" si="38"/>
        <v>22</v>
      </c>
      <c r="C832" s="9">
        <v>44711</v>
      </c>
      <c r="D832" s="9">
        <v>44715</v>
      </c>
      <c r="E832" s="14">
        <f>VLOOKUP(F832,CarrierID!A:B,2,0)</f>
        <v>3</v>
      </c>
      <c r="F832" s="15" t="s">
        <v>6</v>
      </c>
      <c r="G832" t="str">
        <f>VLOOKUP(F832,Carrier_Category!A:B,2,0)</f>
        <v>Commuter</v>
      </c>
      <c r="H832" s="5">
        <v>134</v>
      </c>
      <c r="I832" s="7">
        <f t="shared" si="40"/>
        <v>132</v>
      </c>
      <c r="J832" s="5">
        <v>4397</v>
      </c>
      <c r="K832" s="18">
        <f t="shared" si="39"/>
        <v>32.813432835820898</v>
      </c>
    </row>
    <row r="833" spans="1:11" x14ac:dyDescent="0.3">
      <c r="A833" s="14">
        <v>2022</v>
      </c>
      <c r="B833" s="14">
        <f t="shared" si="38"/>
        <v>22</v>
      </c>
      <c r="C833" s="9">
        <v>44711</v>
      </c>
      <c r="D833" s="9">
        <v>44715</v>
      </c>
      <c r="E833" s="14">
        <f>VLOOKUP(F833,CarrierID!A:B,2,0)</f>
        <v>12</v>
      </c>
      <c r="F833" s="15" t="s">
        <v>25</v>
      </c>
      <c r="G833" t="str">
        <f>VLOOKUP(F833,Carrier_Category!A:B,2,0)</f>
        <v>Commuter</v>
      </c>
      <c r="H833" s="5">
        <v>19</v>
      </c>
      <c r="I833" s="7">
        <f t="shared" si="40"/>
        <v>19</v>
      </c>
      <c r="J833" s="5">
        <v>626</v>
      </c>
      <c r="K833" s="18">
        <f t="shared" si="39"/>
        <v>32.94736842105263</v>
      </c>
    </row>
    <row r="834" spans="1:11" x14ac:dyDescent="0.3">
      <c r="A834" s="14">
        <v>2022</v>
      </c>
      <c r="B834" s="14">
        <f t="shared" si="38"/>
        <v>22</v>
      </c>
      <c r="C834" s="9">
        <v>44711</v>
      </c>
      <c r="D834" s="9">
        <v>44715</v>
      </c>
      <c r="E834" s="14">
        <f>VLOOKUP(F834,CarrierID!A:B,2,0)</f>
        <v>10</v>
      </c>
      <c r="F834" s="15" t="s">
        <v>8</v>
      </c>
      <c r="G834" t="str">
        <f>VLOOKUP(F834,Carrier_Category!A:B,2,0)</f>
        <v>Intercity</v>
      </c>
      <c r="H834" s="5">
        <v>29</v>
      </c>
      <c r="I834" s="7">
        <f t="shared" si="40"/>
        <v>25</v>
      </c>
      <c r="J834" s="5">
        <v>1076</v>
      </c>
      <c r="K834" s="18">
        <f t="shared" si="39"/>
        <v>37.103448275862071</v>
      </c>
    </row>
    <row r="835" spans="1:11" x14ac:dyDescent="0.3">
      <c r="A835" s="14">
        <v>2022</v>
      </c>
      <c r="B835" s="14">
        <f t="shared" si="38"/>
        <v>22</v>
      </c>
      <c r="C835" s="9">
        <v>44711</v>
      </c>
      <c r="D835" s="9">
        <v>44715</v>
      </c>
      <c r="E835" s="14">
        <f>VLOOKUP(F835,CarrierID!A:B,2,0)</f>
        <v>4</v>
      </c>
      <c r="F835" s="15" t="s">
        <v>24</v>
      </c>
      <c r="G835" t="str">
        <f>VLOOKUP(F835,Carrier_Category!A:B,2,0)</f>
        <v>Commuter</v>
      </c>
      <c r="H835" s="5">
        <v>40</v>
      </c>
      <c r="I835" s="7">
        <f t="shared" si="40"/>
        <v>40</v>
      </c>
      <c r="J835" s="5">
        <v>552</v>
      </c>
      <c r="K835" s="18">
        <f t="shared" si="39"/>
        <v>13.8</v>
      </c>
    </row>
    <row r="836" spans="1:11" x14ac:dyDescent="0.3">
      <c r="A836" s="14">
        <v>2022</v>
      </c>
      <c r="B836" s="14">
        <f t="shared" si="38"/>
        <v>22</v>
      </c>
      <c r="C836" s="9">
        <v>44711</v>
      </c>
      <c r="D836" s="9">
        <v>44715</v>
      </c>
      <c r="E836" s="14">
        <f>VLOOKUP(F836,CarrierID!A:B,2,0)</f>
        <v>6</v>
      </c>
      <c r="F836" s="15" t="s">
        <v>9</v>
      </c>
      <c r="G836" t="str">
        <f>VLOOKUP(F836,Carrier_Category!A:B,2,0)</f>
        <v>Commuter</v>
      </c>
      <c r="H836" s="5">
        <v>87</v>
      </c>
      <c r="I836" s="7">
        <f t="shared" si="40"/>
        <v>78</v>
      </c>
      <c r="J836" s="5">
        <v>1529</v>
      </c>
      <c r="K836" s="18">
        <f t="shared" si="39"/>
        <v>17.574712643678161</v>
      </c>
    </row>
    <row r="837" spans="1:11" x14ac:dyDescent="0.3">
      <c r="A837" s="14">
        <v>2022</v>
      </c>
      <c r="B837" s="14">
        <f t="shared" ref="B837:B900" si="41">_xlfn.ISOWEEKNUM(C837)</f>
        <v>23</v>
      </c>
      <c r="C837" s="9">
        <v>44718</v>
      </c>
      <c r="D837" s="9">
        <v>44722</v>
      </c>
      <c r="E837" s="14">
        <f>VLOOKUP(F837,CarrierID!A:B,2,0)</f>
        <v>1</v>
      </c>
      <c r="F837" s="15" t="s">
        <v>0</v>
      </c>
      <c r="G837" t="str">
        <f>VLOOKUP(F837,Carrier_Category!A:B,2,0)</f>
        <v>Commuter</v>
      </c>
      <c r="H837" s="5">
        <v>35</v>
      </c>
      <c r="I837" s="7">
        <f t="shared" si="40"/>
        <v>34</v>
      </c>
      <c r="J837" s="5">
        <v>1189</v>
      </c>
      <c r="K837" s="18">
        <f t="shared" ref="K837:K900" si="42">J837/H837</f>
        <v>33.971428571428568</v>
      </c>
    </row>
    <row r="838" spans="1:11" x14ac:dyDescent="0.3">
      <c r="A838" s="14">
        <v>2022</v>
      </c>
      <c r="B838" s="14">
        <f t="shared" si="41"/>
        <v>23</v>
      </c>
      <c r="C838" s="9">
        <v>44718</v>
      </c>
      <c r="D838" s="9">
        <v>44722</v>
      </c>
      <c r="E838" s="14">
        <f>VLOOKUP(F838,CarrierID!A:B,2,0)</f>
        <v>5</v>
      </c>
      <c r="F838" s="15" t="s">
        <v>1</v>
      </c>
      <c r="G838" t="str">
        <f>VLOOKUP(F838,Carrier_Category!A:B,2,0)</f>
        <v>Intercity</v>
      </c>
      <c r="H838" s="5">
        <v>50</v>
      </c>
      <c r="I838" s="7">
        <f t="shared" si="40"/>
        <v>49</v>
      </c>
      <c r="J838" s="5">
        <v>1485</v>
      </c>
      <c r="K838" s="18">
        <f t="shared" si="42"/>
        <v>29.7</v>
      </c>
    </row>
    <row r="839" spans="1:11" x14ac:dyDescent="0.3">
      <c r="A839" s="14">
        <v>2022</v>
      </c>
      <c r="B839" s="14">
        <f t="shared" si="41"/>
        <v>23</v>
      </c>
      <c r="C839" s="9">
        <v>44718</v>
      </c>
      <c r="D839" s="9">
        <v>44722</v>
      </c>
      <c r="E839" s="14">
        <f>VLOOKUP(F839,CarrierID!A:B,2,0)</f>
        <v>8</v>
      </c>
      <c r="F839" s="15" t="s">
        <v>2</v>
      </c>
      <c r="G839" t="str">
        <f>VLOOKUP(F839,Carrier_Category!A:B,2,0)</f>
        <v>Commuter</v>
      </c>
      <c r="H839" s="5">
        <v>19</v>
      </c>
      <c r="I839" s="7">
        <f t="shared" si="40"/>
        <v>20</v>
      </c>
      <c r="J839" s="5">
        <v>761</v>
      </c>
      <c r="K839" s="18">
        <f t="shared" si="42"/>
        <v>40.05263157894737</v>
      </c>
    </row>
    <row r="840" spans="1:11" x14ac:dyDescent="0.3">
      <c r="A840" s="14">
        <v>2022</v>
      </c>
      <c r="B840" s="14">
        <f t="shared" si="41"/>
        <v>23</v>
      </c>
      <c r="C840" s="9">
        <v>44718</v>
      </c>
      <c r="D840" s="9">
        <v>44722</v>
      </c>
      <c r="E840" s="14">
        <f>VLOOKUP(F840,CarrierID!A:B,2,0)</f>
        <v>9</v>
      </c>
      <c r="F840" s="15" t="s">
        <v>3</v>
      </c>
      <c r="G840" t="str">
        <f>VLOOKUP(F840,Carrier_Category!A:B,2,0)</f>
        <v>NJT</v>
      </c>
      <c r="H840" s="5">
        <v>2150</v>
      </c>
      <c r="I840" s="7">
        <f t="shared" si="40"/>
        <v>2155</v>
      </c>
      <c r="J840" s="5">
        <v>59534</v>
      </c>
      <c r="K840" s="18">
        <f t="shared" si="42"/>
        <v>27.690232558139535</v>
      </c>
    </row>
    <row r="841" spans="1:11" x14ac:dyDescent="0.3">
      <c r="A841" s="14">
        <v>2022</v>
      </c>
      <c r="B841" s="14">
        <f t="shared" si="41"/>
        <v>23</v>
      </c>
      <c r="C841" s="9">
        <v>44718</v>
      </c>
      <c r="D841" s="9">
        <v>44722</v>
      </c>
      <c r="E841" s="14">
        <f>VLOOKUP(F841,CarrierID!A:B,2,0)</f>
        <v>7</v>
      </c>
      <c r="F841" s="15" t="s">
        <v>4</v>
      </c>
      <c r="G841" t="str">
        <f>VLOOKUP(F841,Carrier_Category!A:B,2,0)</f>
        <v>Commuter</v>
      </c>
      <c r="H841" s="5">
        <v>29</v>
      </c>
      <c r="I841" s="7">
        <f t="shared" si="40"/>
        <v>29</v>
      </c>
      <c r="J841" s="5">
        <v>1101</v>
      </c>
      <c r="K841" s="18">
        <f t="shared" si="42"/>
        <v>37.96551724137931</v>
      </c>
    </row>
    <row r="842" spans="1:11" x14ac:dyDescent="0.3">
      <c r="A842" s="14">
        <v>2022</v>
      </c>
      <c r="B842" s="14">
        <f t="shared" si="41"/>
        <v>23</v>
      </c>
      <c r="C842" s="9">
        <v>44718</v>
      </c>
      <c r="D842" s="9">
        <v>44722</v>
      </c>
      <c r="E842" s="14">
        <f>VLOOKUP(F842,CarrierID!A:B,2,0)</f>
        <v>11</v>
      </c>
      <c r="F842" s="15" t="s">
        <v>5</v>
      </c>
      <c r="G842" t="str">
        <f>VLOOKUP(F842,Carrier_Category!A:B,2,0)</f>
        <v>Intercity</v>
      </c>
      <c r="H842" s="5">
        <v>27</v>
      </c>
      <c r="I842" s="7">
        <f t="shared" si="40"/>
        <v>26</v>
      </c>
      <c r="J842" s="5">
        <v>434</v>
      </c>
      <c r="K842" s="18">
        <f t="shared" si="42"/>
        <v>16.074074074074073</v>
      </c>
    </row>
    <row r="843" spans="1:11" x14ac:dyDescent="0.3">
      <c r="A843" s="14">
        <v>2022</v>
      </c>
      <c r="B843" s="14">
        <f t="shared" si="41"/>
        <v>23</v>
      </c>
      <c r="C843" s="9">
        <v>44718</v>
      </c>
      <c r="D843" s="9">
        <v>44722</v>
      </c>
      <c r="E843" s="14">
        <f>VLOOKUP(F843,CarrierID!A:B,2,0)</f>
        <v>3</v>
      </c>
      <c r="F843" s="15" t="s">
        <v>6</v>
      </c>
      <c r="G843" t="str">
        <f>VLOOKUP(F843,Carrier_Category!A:B,2,0)</f>
        <v>Commuter</v>
      </c>
      <c r="H843" s="5">
        <v>132</v>
      </c>
      <c r="I843" s="7">
        <f t="shared" si="40"/>
        <v>134</v>
      </c>
      <c r="J843" s="5">
        <v>4754</v>
      </c>
      <c r="K843" s="18">
        <f t="shared" si="42"/>
        <v>36.015151515151516</v>
      </c>
    </row>
    <row r="844" spans="1:11" x14ac:dyDescent="0.3">
      <c r="A844" s="14">
        <v>2022</v>
      </c>
      <c r="B844" s="14">
        <f t="shared" si="41"/>
        <v>23</v>
      </c>
      <c r="C844" s="9">
        <v>44718</v>
      </c>
      <c r="D844" s="9">
        <v>44722</v>
      </c>
      <c r="E844" s="14">
        <f>VLOOKUP(F844,CarrierID!A:B,2,0)</f>
        <v>12</v>
      </c>
      <c r="F844" s="15" t="s">
        <v>25</v>
      </c>
      <c r="G844" t="str">
        <f>VLOOKUP(F844,Carrier_Category!A:B,2,0)</f>
        <v>Commuter</v>
      </c>
      <c r="H844" s="5">
        <v>18</v>
      </c>
      <c r="I844" s="7">
        <f t="shared" si="40"/>
        <v>19</v>
      </c>
      <c r="J844" s="5">
        <v>635</v>
      </c>
      <c r="K844" s="18">
        <f t="shared" si="42"/>
        <v>35.277777777777779</v>
      </c>
    </row>
    <row r="845" spans="1:11" x14ac:dyDescent="0.3">
      <c r="A845" s="14">
        <v>2022</v>
      </c>
      <c r="B845" s="14">
        <f t="shared" si="41"/>
        <v>23</v>
      </c>
      <c r="C845" s="9">
        <v>44718</v>
      </c>
      <c r="D845" s="9">
        <v>44722</v>
      </c>
      <c r="E845" s="14">
        <f>VLOOKUP(F845,CarrierID!A:B,2,0)</f>
        <v>10</v>
      </c>
      <c r="F845" s="15" t="s">
        <v>8</v>
      </c>
      <c r="G845" t="str">
        <f>VLOOKUP(F845,Carrier_Category!A:B,2,0)</f>
        <v>Intercity</v>
      </c>
      <c r="H845" s="5">
        <v>25</v>
      </c>
      <c r="I845" s="7">
        <f t="shared" ref="I845:I908" si="43">H834</f>
        <v>29</v>
      </c>
      <c r="J845" s="5">
        <v>803</v>
      </c>
      <c r="K845" s="18">
        <f t="shared" si="42"/>
        <v>32.119999999999997</v>
      </c>
    </row>
    <row r="846" spans="1:11" x14ac:dyDescent="0.3">
      <c r="A846" s="14">
        <v>2022</v>
      </c>
      <c r="B846" s="14">
        <f t="shared" si="41"/>
        <v>23</v>
      </c>
      <c r="C846" s="9">
        <v>44718</v>
      </c>
      <c r="D846" s="9">
        <v>44722</v>
      </c>
      <c r="E846" s="14">
        <f>VLOOKUP(F846,CarrierID!A:B,2,0)</f>
        <v>4</v>
      </c>
      <c r="F846" s="15" t="s">
        <v>24</v>
      </c>
      <c r="G846" t="str">
        <f>VLOOKUP(F846,Carrier_Category!A:B,2,0)</f>
        <v>Commuter</v>
      </c>
      <c r="H846" s="5">
        <v>39</v>
      </c>
      <c r="I846" s="7">
        <f t="shared" si="43"/>
        <v>40</v>
      </c>
      <c r="J846" s="5">
        <v>582</v>
      </c>
      <c r="K846" s="18">
        <f t="shared" si="42"/>
        <v>14.923076923076923</v>
      </c>
    </row>
    <row r="847" spans="1:11" x14ac:dyDescent="0.3">
      <c r="A847" s="14">
        <v>2022</v>
      </c>
      <c r="B847" s="14">
        <f t="shared" si="41"/>
        <v>23</v>
      </c>
      <c r="C847" s="9">
        <v>44718</v>
      </c>
      <c r="D847" s="9">
        <v>44722</v>
      </c>
      <c r="E847" s="14">
        <f>VLOOKUP(F847,CarrierID!A:B,2,0)</f>
        <v>6</v>
      </c>
      <c r="F847" s="15" t="s">
        <v>9</v>
      </c>
      <c r="G847" t="str">
        <f>VLOOKUP(F847,Carrier_Category!A:B,2,0)</f>
        <v>Commuter</v>
      </c>
      <c r="H847" s="5">
        <v>86</v>
      </c>
      <c r="I847" s="7">
        <f t="shared" si="43"/>
        <v>87</v>
      </c>
      <c r="J847" s="5">
        <v>1428</v>
      </c>
      <c r="K847" s="18">
        <f t="shared" si="42"/>
        <v>16.604651162790699</v>
      </c>
    </row>
    <row r="848" spans="1:11" x14ac:dyDescent="0.3">
      <c r="A848" s="14">
        <v>2022</v>
      </c>
      <c r="B848" s="14">
        <f t="shared" si="41"/>
        <v>24</v>
      </c>
      <c r="C848" s="9">
        <v>44725</v>
      </c>
      <c r="D848" s="9">
        <v>44729</v>
      </c>
      <c r="E848" s="14">
        <f>VLOOKUP(F848,CarrierID!A:B,2,0)</f>
        <v>1</v>
      </c>
      <c r="F848" s="15" t="s">
        <v>0</v>
      </c>
      <c r="G848" t="str">
        <f>VLOOKUP(F848,Carrier_Category!A:B,2,0)</f>
        <v>Commuter</v>
      </c>
      <c r="H848" s="5">
        <v>35</v>
      </c>
      <c r="I848" s="7">
        <f t="shared" si="43"/>
        <v>35</v>
      </c>
      <c r="J848" s="5">
        <v>1179</v>
      </c>
      <c r="K848" s="18">
        <f t="shared" si="42"/>
        <v>33.685714285714283</v>
      </c>
    </row>
    <row r="849" spans="1:11" x14ac:dyDescent="0.3">
      <c r="A849" s="14">
        <v>2022</v>
      </c>
      <c r="B849" s="14">
        <f t="shared" si="41"/>
        <v>24</v>
      </c>
      <c r="C849" s="9">
        <v>44725</v>
      </c>
      <c r="D849" s="9">
        <v>44729</v>
      </c>
      <c r="E849" s="14">
        <f>VLOOKUP(F849,CarrierID!A:B,2,0)</f>
        <v>5</v>
      </c>
      <c r="F849" s="15" t="s">
        <v>1</v>
      </c>
      <c r="G849" t="str">
        <f>VLOOKUP(F849,Carrier_Category!A:B,2,0)</f>
        <v>Intercity</v>
      </c>
      <c r="H849" s="5">
        <v>49</v>
      </c>
      <c r="I849" s="7">
        <f t="shared" si="43"/>
        <v>50</v>
      </c>
      <c r="J849" s="5">
        <v>1519</v>
      </c>
      <c r="K849" s="18">
        <f t="shared" si="42"/>
        <v>31</v>
      </c>
    </row>
    <row r="850" spans="1:11" x14ac:dyDescent="0.3">
      <c r="A850" s="14">
        <v>2022</v>
      </c>
      <c r="B850" s="14">
        <f t="shared" si="41"/>
        <v>24</v>
      </c>
      <c r="C850" s="9">
        <v>44725</v>
      </c>
      <c r="D850" s="9">
        <v>44729</v>
      </c>
      <c r="E850" s="14">
        <f>VLOOKUP(F850,CarrierID!A:B,2,0)</f>
        <v>8</v>
      </c>
      <c r="F850" s="15" t="s">
        <v>2</v>
      </c>
      <c r="G850" t="str">
        <f>VLOOKUP(F850,Carrier_Category!A:B,2,0)</f>
        <v>Commuter</v>
      </c>
      <c r="H850" s="5">
        <v>19</v>
      </c>
      <c r="I850" s="7">
        <f t="shared" si="43"/>
        <v>19</v>
      </c>
      <c r="J850" s="5">
        <v>799</v>
      </c>
      <c r="K850" s="18">
        <f t="shared" si="42"/>
        <v>42.05263157894737</v>
      </c>
    </row>
    <row r="851" spans="1:11" x14ac:dyDescent="0.3">
      <c r="A851" s="14">
        <v>2022</v>
      </c>
      <c r="B851" s="14">
        <f t="shared" si="41"/>
        <v>24</v>
      </c>
      <c r="C851" s="9">
        <v>44725</v>
      </c>
      <c r="D851" s="9">
        <v>44729</v>
      </c>
      <c r="E851" s="14">
        <f>VLOOKUP(F851,CarrierID!A:B,2,0)</f>
        <v>9</v>
      </c>
      <c r="F851" s="15" t="s">
        <v>3</v>
      </c>
      <c r="G851" t="str">
        <f>VLOOKUP(F851,Carrier_Category!A:B,2,0)</f>
        <v>NJT</v>
      </c>
      <c r="H851" s="5">
        <v>2144</v>
      </c>
      <c r="I851" s="7">
        <f t="shared" si="43"/>
        <v>2150</v>
      </c>
      <c r="J851" s="5">
        <v>60188</v>
      </c>
      <c r="K851" s="18">
        <f t="shared" si="42"/>
        <v>28.072761194029852</v>
      </c>
    </row>
    <row r="852" spans="1:11" x14ac:dyDescent="0.3">
      <c r="A852" s="14">
        <v>2022</v>
      </c>
      <c r="B852" s="14">
        <f t="shared" si="41"/>
        <v>24</v>
      </c>
      <c r="C852" s="9">
        <v>44725</v>
      </c>
      <c r="D852" s="9">
        <v>44729</v>
      </c>
      <c r="E852" s="14">
        <f>VLOOKUP(F852,CarrierID!A:B,2,0)</f>
        <v>7</v>
      </c>
      <c r="F852" s="15" t="s">
        <v>4</v>
      </c>
      <c r="G852" t="str">
        <f>VLOOKUP(F852,Carrier_Category!A:B,2,0)</f>
        <v>Commuter</v>
      </c>
      <c r="H852" s="5">
        <v>29</v>
      </c>
      <c r="I852" s="7">
        <f t="shared" si="43"/>
        <v>29</v>
      </c>
      <c r="J852" s="5">
        <v>1132</v>
      </c>
      <c r="K852" s="18">
        <f t="shared" si="42"/>
        <v>39.03448275862069</v>
      </c>
    </row>
    <row r="853" spans="1:11" x14ac:dyDescent="0.3">
      <c r="A853" s="14">
        <v>2022</v>
      </c>
      <c r="B853" s="14">
        <f t="shared" si="41"/>
        <v>24</v>
      </c>
      <c r="C853" s="9">
        <v>44725</v>
      </c>
      <c r="D853" s="9">
        <v>44729</v>
      </c>
      <c r="E853" s="14">
        <f>VLOOKUP(F853,CarrierID!A:B,2,0)</f>
        <v>11</v>
      </c>
      <c r="F853" s="15" t="s">
        <v>5</v>
      </c>
      <c r="G853" t="str">
        <f>VLOOKUP(F853,Carrier_Category!A:B,2,0)</f>
        <v>Intercity</v>
      </c>
      <c r="H853" s="5">
        <v>27</v>
      </c>
      <c r="I853" s="7">
        <f t="shared" si="43"/>
        <v>27</v>
      </c>
      <c r="J853" s="5">
        <v>477</v>
      </c>
      <c r="K853" s="18">
        <f t="shared" si="42"/>
        <v>17.666666666666668</v>
      </c>
    </row>
    <row r="854" spans="1:11" x14ac:dyDescent="0.3">
      <c r="A854" s="14">
        <v>2022</v>
      </c>
      <c r="B854" s="14">
        <f t="shared" si="41"/>
        <v>24</v>
      </c>
      <c r="C854" s="9">
        <v>44725</v>
      </c>
      <c r="D854" s="9">
        <v>44729</v>
      </c>
      <c r="E854" s="14">
        <f>VLOOKUP(F854,CarrierID!A:B,2,0)</f>
        <v>3</v>
      </c>
      <c r="F854" s="15" t="s">
        <v>6</v>
      </c>
      <c r="G854" t="str">
        <f>VLOOKUP(F854,Carrier_Category!A:B,2,0)</f>
        <v>Commuter</v>
      </c>
      <c r="H854" s="5">
        <v>135</v>
      </c>
      <c r="I854" s="7">
        <f t="shared" si="43"/>
        <v>132</v>
      </c>
      <c r="J854" s="5">
        <v>4854</v>
      </c>
      <c r="K854" s="18">
        <f t="shared" si="42"/>
        <v>35.955555555555556</v>
      </c>
    </row>
    <row r="855" spans="1:11" x14ac:dyDescent="0.3">
      <c r="A855" s="14">
        <v>2022</v>
      </c>
      <c r="B855" s="14">
        <f t="shared" si="41"/>
        <v>24</v>
      </c>
      <c r="C855" s="9">
        <v>44725</v>
      </c>
      <c r="D855" s="9">
        <v>44729</v>
      </c>
      <c r="E855" s="14">
        <f>VLOOKUP(F855,CarrierID!A:B,2,0)</f>
        <v>12</v>
      </c>
      <c r="F855" s="15" t="s">
        <v>25</v>
      </c>
      <c r="G855" t="str">
        <f>VLOOKUP(F855,Carrier_Category!A:B,2,0)</f>
        <v>Commuter</v>
      </c>
      <c r="H855" s="5">
        <v>19</v>
      </c>
      <c r="I855" s="7">
        <f t="shared" si="43"/>
        <v>18</v>
      </c>
      <c r="J855" s="5">
        <v>651</v>
      </c>
      <c r="K855" s="18">
        <f t="shared" si="42"/>
        <v>34.263157894736842</v>
      </c>
    </row>
    <row r="856" spans="1:11" x14ac:dyDescent="0.3">
      <c r="A856" s="14">
        <v>2022</v>
      </c>
      <c r="B856" s="14">
        <f t="shared" si="41"/>
        <v>24</v>
      </c>
      <c r="C856" s="9">
        <v>44725</v>
      </c>
      <c r="D856" s="9">
        <v>44729</v>
      </c>
      <c r="E856" s="14">
        <f>VLOOKUP(F856,CarrierID!A:B,2,0)</f>
        <v>10</v>
      </c>
      <c r="F856" s="15" t="s">
        <v>8</v>
      </c>
      <c r="G856" t="str">
        <f>VLOOKUP(F856,Carrier_Category!A:B,2,0)</f>
        <v>Intercity</v>
      </c>
      <c r="H856" s="5">
        <v>27</v>
      </c>
      <c r="I856" s="7">
        <f t="shared" si="43"/>
        <v>25</v>
      </c>
      <c r="J856" s="5">
        <v>891</v>
      </c>
      <c r="K856" s="18">
        <f t="shared" si="42"/>
        <v>33</v>
      </c>
    </row>
    <row r="857" spans="1:11" x14ac:dyDescent="0.3">
      <c r="A857" s="14">
        <v>2022</v>
      </c>
      <c r="B857" s="14">
        <f t="shared" si="41"/>
        <v>24</v>
      </c>
      <c r="C857" s="9">
        <v>44725</v>
      </c>
      <c r="D857" s="9">
        <v>44729</v>
      </c>
      <c r="E857" s="14">
        <f>VLOOKUP(F857,CarrierID!A:B,2,0)</f>
        <v>4</v>
      </c>
      <c r="F857" s="15" t="s">
        <v>24</v>
      </c>
      <c r="G857" t="str">
        <f>VLOOKUP(F857,Carrier_Category!A:B,2,0)</f>
        <v>Commuter</v>
      </c>
      <c r="H857" s="5">
        <v>40</v>
      </c>
      <c r="I857" s="7">
        <f t="shared" si="43"/>
        <v>39</v>
      </c>
      <c r="J857" s="5">
        <v>581</v>
      </c>
      <c r="K857" s="18">
        <f t="shared" si="42"/>
        <v>14.525</v>
      </c>
    </row>
    <row r="858" spans="1:11" x14ac:dyDescent="0.3">
      <c r="A858" s="14">
        <v>2022</v>
      </c>
      <c r="B858" s="14">
        <f t="shared" si="41"/>
        <v>24</v>
      </c>
      <c r="C858" s="9">
        <v>44725</v>
      </c>
      <c r="D858" s="9">
        <v>44729</v>
      </c>
      <c r="E858" s="14">
        <f>VLOOKUP(F858,CarrierID!A:B,2,0)</f>
        <v>6</v>
      </c>
      <c r="F858" s="15" t="s">
        <v>9</v>
      </c>
      <c r="G858" t="str">
        <f>VLOOKUP(F858,Carrier_Category!A:B,2,0)</f>
        <v>Commuter</v>
      </c>
      <c r="H858" s="5">
        <v>81</v>
      </c>
      <c r="I858" s="7">
        <f t="shared" si="43"/>
        <v>86</v>
      </c>
      <c r="J858" s="5">
        <v>1436</v>
      </c>
      <c r="K858" s="18">
        <f t="shared" si="42"/>
        <v>17.728395061728396</v>
      </c>
    </row>
    <row r="859" spans="1:11" x14ac:dyDescent="0.3">
      <c r="A859" s="14">
        <v>2022</v>
      </c>
      <c r="B859" s="14">
        <f t="shared" si="41"/>
        <v>25</v>
      </c>
      <c r="C859" s="9">
        <v>44732</v>
      </c>
      <c r="D859" s="9">
        <v>44736</v>
      </c>
      <c r="E859" s="14">
        <f>VLOOKUP(F859,CarrierID!A:B,2,0)</f>
        <v>1</v>
      </c>
      <c r="F859" s="15" t="s">
        <v>0</v>
      </c>
      <c r="G859" t="str">
        <f>VLOOKUP(F859,Carrier_Category!A:B,2,0)</f>
        <v>Commuter</v>
      </c>
      <c r="H859" s="5">
        <v>34</v>
      </c>
      <c r="I859" s="7">
        <f t="shared" si="43"/>
        <v>35</v>
      </c>
      <c r="J859" s="5">
        <v>1187</v>
      </c>
      <c r="K859" s="18">
        <f t="shared" si="42"/>
        <v>34.911764705882355</v>
      </c>
    </row>
    <row r="860" spans="1:11" x14ac:dyDescent="0.3">
      <c r="A860" s="14">
        <v>2022</v>
      </c>
      <c r="B860" s="14">
        <f t="shared" si="41"/>
        <v>25</v>
      </c>
      <c r="C860" s="9">
        <v>44732</v>
      </c>
      <c r="D860" s="9">
        <v>44736</v>
      </c>
      <c r="E860" s="14">
        <f>VLOOKUP(F860,CarrierID!A:B,2,0)</f>
        <v>5</v>
      </c>
      <c r="F860" s="15" t="s">
        <v>1</v>
      </c>
      <c r="G860" t="str">
        <f>VLOOKUP(F860,Carrier_Category!A:B,2,0)</f>
        <v>Intercity</v>
      </c>
      <c r="H860" s="5">
        <v>51</v>
      </c>
      <c r="I860" s="7">
        <f t="shared" si="43"/>
        <v>49</v>
      </c>
      <c r="J860" s="5">
        <v>1576</v>
      </c>
      <c r="K860" s="18">
        <f t="shared" si="42"/>
        <v>30.901960784313726</v>
      </c>
    </row>
    <row r="861" spans="1:11" x14ac:dyDescent="0.3">
      <c r="A861" s="14">
        <v>2022</v>
      </c>
      <c r="B861" s="14">
        <f t="shared" si="41"/>
        <v>25</v>
      </c>
      <c r="C861" s="9">
        <v>44732</v>
      </c>
      <c r="D861" s="9">
        <v>44736</v>
      </c>
      <c r="E861" s="14">
        <f>VLOOKUP(F861,CarrierID!A:B,2,0)</f>
        <v>8</v>
      </c>
      <c r="F861" s="15" t="s">
        <v>2</v>
      </c>
      <c r="G861" t="str">
        <f>VLOOKUP(F861,Carrier_Category!A:B,2,0)</f>
        <v>Commuter</v>
      </c>
      <c r="H861" s="5">
        <v>19</v>
      </c>
      <c r="I861" s="7">
        <f t="shared" si="43"/>
        <v>19</v>
      </c>
      <c r="J861" s="5">
        <v>804</v>
      </c>
      <c r="K861" s="18">
        <f t="shared" si="42"/>
        <v>42.315789473684212</v>
      </c>
    </row>
    <row r="862" spans="1:11" x14ac:dyDescent="0.3">
      <c r="A862" s="14">
        <v>2022</v>
      </c>
      <c r="B862" s="14">
        <f t="shared" si="41"/>
        <v>25</v>
      </c>
      <c r="C862" s="9">
        <v>44732</v>
      </c>
      <c r="D862" s="9">
        <v>44736</v>
      </c>
      <c r="E862" s="14">
        <f>VLOOKUP(F862,CarrierID!A:B,2,0)</f>
        <v>9</v>
      </c>
      <c r="F862" s="15" t="s">
        <v>3</v>
      </c>
      <c r="G862" t="str">
        <f>VLOOKUP(F862,Carrier_Category!A:B,2,0)</f>
        <v>NJT</v>
      </c>
      <c r="H862" s="5">
        <v>2150</v>
      </c>
      <c r="I862" s="7">
        <f t="shared" si="43"/>
        <v>2144</v>
      </c>
      <c r="J862" s="5">
        <v>59197</v>
      </c>
      <c r="K862" s="18">
        <f t="shared" si="42"/>
        <v>27.533488372093025</v>
      </c>
    </row>
    <row r="863" spans="1:11" x14ac:dyDescent="0.3">
      <c r="A863" s="14">
        <v>2022</v>
      </c>
      <c r="B863" s="14">
        <f t="shared" si="41"/>
        <v>25</v>
      </c>
      <c r="C863" s="9">
        <v>44732</v>
      </c>
      <c r="D863" s="9">
        <v>44736</v>
      </c>
      <c r="E863" s="14">
        <f>VLOOKUP(F863,CarrierID!A:B,2,0)</f>
        <v>7</v>
      </c>
      <c r="F863" s="15" t="s">
        <v>4</v>
      </c>
      <c r="G863" t="str">
        <f>VLOOKUP(F863,Carrier_Category!A:B,2,0)</f>
        <v>Commuter</v>
      </c>
      <c r="H863" s="5">
        <v>29</v>
      </c>
      <c r="I863" s="7">
        <f t="shared" si="43"/>
        <v>29</v>
      </c>
      <c r="J863" s="5">
        <v>1128</v>
      </c>
      <c r="K863" s="18">
        <f t="shared" si="42"/>
        <v>38.896551724137929</v>
      </c>
    </row>
    <row r="864" spans="1:11" x14ac:dyDescent="0.3">
      <c r="A864" s="14">
        <v>2022</v>
      </c>
      <c r="B864" s="14">
        <f t="shared" si="41"/>
        <v>25</v>
      </c>
      <c r="C864" s="9">
        <v>44732</v>
      </c>
      <c r="D864" s="9">
        <v>44736</v>
      </c>
      <c r="E864" s="14">
        <f>VLOOKUP(F864,CarrierID!A:B,2,0)</f>
        <v>11</v>
      </c>
      <c r="F864" s="15" t="s">
        <v>5</v>
      </c>
      <c r="G864" t="str">
        <f>VLOOKUP(F864,Carrier_Category!A:B,2,0)</f>
        <v>Intercity</v>
      </c>
      <c r="H864" s="5">
        <v>27</v>
      </c>
      <c r="I864" s="7">
        <f t="shared" si="43"/>
        <v>27</v>
      </c>
      <c r="J864" s="5">
        <v>543</v>
      </c>
      <c r="K864" s="18">
        <f t="shared" si="42"/>
        <v>20.111111111111111</v>
      </c>
    </row>
    <row r="865" spans="1:11" x14ac:dyDescent="0.3">
      <c r="A865" s="14">
        <v>2022</v>
      </c>
      <c r="B865" s="14">
        <f t="shared" si="41"/>
        <v>25</v>
      </c>
      <c r="C865" s="9">
        <v>44732</v>
      </c>
      <c r="D865" s="9">
        <v>44736</v>
      </c>
      <c r="E865" s="14">
        <f>VLOOKUP(F865,CarrierID!A:B,2,0)</f>
        <v>3</v>
      </c>
      <c r="F865" s="15" t="s">
        <v>6</v>
      </c>
      <c r="G865" t="str">
        <f>VLOOKUP(F865,Carrier_Category!A:B,2,0)</f>
        <v>Commuter</v>
      </c>
      <c r="H865" s="5">
        <v>133</v>
      </c>
      <c r="I865" s="7">
        <f t="shared" si="43"/>
        <v>135</v>
      </c>
      <c r="J865" s="5">
        <v>4848</v>
      </c>
      <c r="K865" s="18">
        <f t="shared" si="42"/>
        <v>36.451127819548873</v>
      </c>
    </row>
    <row r="866" spans="1:11" x14ac:dyDescent="0.3">
      <c r="A866" s="14">
        <v>2022</v>
      </c>
      <c r="B866" s="14">
        <f t="shared" si="41"/>
        <v>25</v>
      </c>
      <c r="C866" s="9">
        <v>44732</v>
      </c>
      <c r="D866" s="9">
        <v>44736</v>
      </c>
      <c r="E866" s="14">
        <f>VLOOKUP(F866,CarrierID!A:B,2,0)</f>
        <v>12</v>
      </c>
      <c r="F866" s="15" t="s">
        <v>25</v>
      </c>
      <c r="G866" t="str">
        <f>VLOOKUP(F866,Carrier_Category!A:B,2,0)</f>
        <v>Commuter</v>
      </c>
      <c r="H866" s="5">
        <v>19</v>
      </c>
      <c r="I866" s="7">
        <f t="shared" si="43"/>
        <v>19</v>
      </c>
      <c r="J866" s="5">
        <v>654</v>
      </c>
      <c r="K866" s="18">
        <f t="shared" si="42"/>
        <v>34.421052631578945</v>
      </c>
    </row>
    <row r="867" spans="1:11" x14ac:dyDescent="0.3">
      <c r="A867" s="14">
        <v>2022</v>
      </c>
      <c r="B867" s="14">
        <f t="shared" si="41"/>
        <v>25</v>
      </c>
      <c r="C867" s="9">
        <v>44732</v>
      </c>
      <c r="D867" s="9">
        <v>44736</v>
      </c>
      <c r="E867" s="14">
        <f>VLOOKUP(F867,CarrierID!A:B,2,0)</f>
        <v>10</v>
      </c>
      <c r="F867" s="15" t="s">
        <v>8</v>
      </c>
      <c r="G867" t="str">
        <f>VLOOKUP(F867,Carrier_Category!A:B,2,0)</f>
        <v>Intercity</v>
      </c>
      <c r="H867" s="5">
        <v>30</v>
      </c>
      <c r="I867" s="7">
        <f t="shared" si="43"/>
        <v>27</v>
      </c>
      <c r="J867" s="5">
        <v>990</v>
      </c>
      <c r="K867" s="18">
        <f t="shared" si="42"/>
        <v>33</v>
      </c>
    </row>
    <row r="868" spans="1:11" x14ac:dyDescent="0.3">
      <c r="A868" s="14">
        <v>2022</v>
      </c>
      <c r="B868" s="14">
        <f t="shared" si="41"/>
        <v>25</v>
      </c>
      <c r="C868" s="9">
        <v>44732</v>
      </c>
      <c r="D868" s="9">
        <v>44736</v>
      </c>
      <c r="E868" s="14">
        <f>VLOOKUP(F868,CarrierID!A:B,2,0)</f>
        <v>4</v>
      </c>
      <c r="F868" s="15" t="s">
        <v>24</v>
      </c>
      <c r="G868" t="str">
        <f>VLOOKUP(F868,Carrier_Category!A:B,2,0)</f>
        <v>Commuter</v>
      </c>
      <c r="H868" s="5">
        <v>40</v>
      </c>
      <c r="I868" s="7">
        <f t="shared" si="43"/>
        <v>40</v>
      </c>
      <c r="J868" s="5">
        <v>574</v>
      </c>
      <c r="K868" s="18">
        <f t="shared" si="42"/>
        <v>14.35</v>
      </c>
    </row>
    <row r="869" spans="1:11" x14ac:dyDescent="0.3">
      <c r="A869" s="14">
        <v>2022</v>
      </c>
      <c r="B869" s="14">
        <f t="shared" si="41"/>
        <v>25</v>
      </c>
      <c r="C869" s="9">
        <v>44732</v>
      </c>
      <c r="D869" s="9">
        <v>44736</v>
      </c>
      <c r="E869" s="14">
        <f>VLOOKUP(F869,CarrierID!A:B,2,0)</f>
        <v>6</v>
      </c>
      <c r="F869" s="15" t="s">
        <v>9</v>
      </c>
      <c r="G869" t="str">
        <f>VLOOKUP(F869,Carrier_Category!A:B,2,0)</f>
        <v>Commuter</v>
      </c>
      <c r="H869" s="5">
        <v>84</v>
      </c>
      <c r="I869" s="7">
        <f t="shared" si="43"/>
        <v>81</v>
      </c>
      <c r="J869" s="5">
        <v>1508</v>
      </c>
      <c r="K869" s="18">
        <f t="shared" si="42"/>
        <v>17.952380952380953</v>
      </c>
    </row>
    <row r="870" spans="1:11" x14ac:dyDescent="0.3">
      <c r="A870" s="14">
        <v>2022</v>
      </c>
      <c r="B870" s="14">
        <f t="shared" si="41"/>
        <v>26</v>
      </c>
      <c r="C870" s="9">
        <v>44739</v>
      </c>
      <c r="D870" s="9">
        <v>44743</v>
      </c>
      <c r="E870" s="14">
        <f>VLOOKUP(F870,CarrierID!A:B,2,0)</f>
        <v>1</v>
      </c>
      <c r="F870" s="15" t="s">
        <v>0</v>
      </c>
      <c r="G870" t="str">
        <f>VLOOKUP(F870,Carrier_Category!A:B,2,0)</f>
        <v>Commuter</v>
      </c>
      <c r="H870" s="5">
        <v>34</v>
      </c>
      <c r="I870" s="7">
        <f t="shared" si="43"/>
        <v>34</v>
      </c>
      <c r="J870" s="5">
        <v>1113</v>
      </c>
      <c r="K870" s="18">
        <f t="shared" si="42"/>
        <v>32.735294117647058</v>
      </c>
    </row>
    <row r="871" spans="1:11" x14ac:dyDescent="0.3">
      <c r="A871" s="14">
        <v>2022</v>
      </c>
      <c r="B871" s="14">
        <f t="shared" si="41"/>
        <v>26</v>
      </c>
      <c r="C871" s="9">
        <v>44739</v>
      </c>
      <c r="D871" s="9">
        <v>44743</v>
      </c>
      <c r="E871" s="14">
        <f>VLOOKUP(F871,CarrierID!A:B,2,0)</f>
        <v>5</v>
      </c>
      <c r="F871" s="15" t="s">
        <v>1</v>
      </c>
      <c r="G871" t="str">
        <f>VLOOKUP(F871,Carrier_Category!A:B,2,0)</f>
        <v>Intercity</v>
      </c>
      <c r="H871" s="5">
        <v>53</v>
      </c>
      <c r="I871" s="7">
        <f t="shared" si="43"/>
        <v>51</v>
      </c>
      <c r="J871" s="5">
        <v>1744</v>
      </c>
      <c r="K871" s="18">
        <f t="shared" si="42"/>
        <v>32.905660377358494</v>
      </c>
    </row>
    <row r="872" spans="1:11" x14ac:dyDescent="0.3">
      <c r="A872" s="14">
        <v>2022</v>
      </c>
      <c r="B872" s="14">
        <f t="shared" si="41"/>
        <v>26</v>
      </c>
      <c r="C872" s="9">
        <v>44739</v>
      </c>
      <c r="D872" s="9">
        <v>44743</v>
      </c>
      <c r="E872" s="14">
        <f>VLOOKUP(F872,CarrierID!A:B,2,0)</f>
        <v>8</v>
      </c>
      <c r="F872" s="15" t="s">
        <v>2</v>
      </c>
      <c r="G872" t="str">
        <f>VLOOKUP(F872,Carrier_Category!A:B,2,0)</f>
        <v>Commuter</v>
      </c>
      <c r="H872" s="5">
        <v>19</v>
      </c>
      <c r="I872" s="7">
        <f t="shared" si="43"/>
        <v>19</v>
      </c>
      <c r="J872" s="5">
        <v>821</v>
      </c>
      <c r="K872" s="18">
        <f t="shared" si="42"/>
        <v>43.210526315789473</v>
      </c>
    </row>
    <row r="873" spans="1:11" x14ac:dyDescent="0.3">
      <c r="A873" s="14">
        <v>2022</v>
      </c>
      <c r="B873" s="14">
        <f t="shared" si="41"/>
        <v>26</v>
      </c>
      <c r="C873" s="9">
        <v>44739</v>
      </c>
      <c r="D873" s="9">
        <v>44743</v>
      </c>
      <c r="E873" s="14">
        <f>VLOOKUP(F873,CarrierID!A:B,2,0)</f>
        <v>9</v>
      </c>
      <c r="F873" s="15" t="s">
        <v>3</v>
      </c>
      <c r="G873" t="str">
        <f>VLOOKUP(F873,Carrier_Category!A:B,2,0)</f>
        <v>NJT</v>
      </c>
      <c r="H873" s="5">
        <v>2154</v>
      </c>
      <c r="I873" s="7">
        <f t="shared" si="43"/>
        <v>2150</v>
      </c>
      <c r="J873" s="5">
        <v>59908</v>
      </c>
      <c r="K873" s="18">
        <f t="shared" si="42"/>
        <v>27.812441968430825</v>
      </c>
    </row>
    <row r="874" spans="1:11" x14ac:dyDescent="0.3">
      <c r="A874" s="14">
        <v>2022</v>
      </c>
      <c r="B874" s="14">
        <f t="shared" si="41"/>
        <v>26</v>
      </c>
      <c r="C874" s="9">
        <v>44739</v>
      </c>
      <c r="D874" s="9">
        <v>44743</v>
      </c>
      <c r="E874" s="14">
        <f>VLOOKUP(F874,CarrierID!A:B,2,0)</f>
        <v>7</v>
      </c>
      <c r="F874" s="15" t="s">
        <v>4</v>
      </c>
      <c r="G874" t="str">
        <f>VLOOKUP(F874,Carrier_Category!A:B,2,0)</f>
        <v>Commuter</v>
      </c>
      <c r="H874" s="5">
        <v>29</v>
      </c>
      <c r="I874" s="7">
        <f t="shared" si="43"/>
        <v>29</v>
      </c>
      <c r="J874" s="5">
        <v>1078</v>
      </c>
      <c r="K874" s="18">
        <f t="shared" si="42"/>
        <v>37.172413793103445</v>
      </c>
    </row>
    <row r="875" spans="1:11" x14ac:dyDescent="0.3">
      <c r="A875" s="14">
        <v>2022</v>
      </c>
      <c r="B875" s="14">
        <f t="shared" si="41"/>
        <v>26</v>
      </c>
      <c r="C875" s="9">
        <v>44739</v>
      </c>
      <c r="D875" s="9">
        <v>44743</v>
      </c>
      <c r="E875" s="14">
        <f>VLOOKUP(F875,CarrierID!A:B,2,0)</f>
        <v>11</v>
      </c>
      <c r="F875" s="15" t="s">
        <v>5</v>
      </c>
      <c r="G875" t="str">
        <f>VLOOKUP(F875,Carrier_Category!A:B,2,0)</f>
        <v>Intercity</v>
      </c>
      <c r="H875" s="5">
        <v>28</v>
      </c>
      <c r="I875" s="7">
        <f t="shared" si="43"/>
        <v>27</v>
      </c>
      <c r="J875" s="5">
        <v>624</v>
      </c>
      <c r="K875" s="18">
        <f t="shared" si="42"/>
        <v>22.285714285714285</v>
      </c>
    </row>
    <row r="876" spans="1:11" x14ac:dyDescent="0.3">
      <c r="A876" s="14">
        <v>2022</v>
      </c>
      <c r="B876" s="14">
        <f t="shared" si="41"/>
        <v>26</v>
      </c>
      <c r="C876" s="9">
        <v>44739</v>
      </c>
      <c r="D876" s="9">
        <v>44743</v>
      </c>
      <c r="E876" s="14">
        <f>VLOOKUP(F876,CarrierID!A:B,2,0)</f>
        <v>3</v>
      </c>
      <c r="F876" s="15" t="s">
        <v>6</v>
      </c>
      <c r="G876" t="str">
        <f>VLOOKUP(F876,Carrier_Category!A:B,2,0)</f>
        <v>Commuter</v>
      </c>
      <c r="H876" s="5">
        <v>138</v>
      </c>
      <c r="I876" s="7">
        <f t="shared" si="43"/>
        <v>133</v>
      </c>
      <c r="J876" s="5">
        <v>4626</v>
      </c>
      <c r="K876" s="18">
        <f t="shared" si="42"/>
        <v>33.521739130434781</v>
      </c>
    </row>
    <row r="877" spans="1:11" x14ac:dyDescent="0.3">
      <c r="A877" s="14">
        <v>2022</v>
      </c>
      <c r="B877" s="14">
        <f t="shared" si="41"/>
        <v>26</v>
      </c>
      <c r="C877" s="9">
        <v>44739</v>
      </c>
      <c r="D877" s="9">
        <v>44743</v>
      </c>
      <c r="E877" s="14">
        <f>VLOOKUP(F877,CarrierID!A:B,2,0)</f>
        <v>12</v>
      </c>
      <c r="F877" s="15" t="s">
        <v>25</v>
      </c>
      <c r="G877" t="str">
        <f>VLOOKUP(F877,Carrier_Category!A:B,2,0)</f>
        <v>Commuter</v>
      </c>
      <c r="H877" s="5">
        <v>19</v>
      </c>
      <c r="I877" s="7">
        <f t="shared" si="43"/>
        <v>19</v>
      </c>
      <c r="J877" s="5">
        <v>589</v>
      </c>
      <c r="K877" s="18">
        <f t="shared" si="42"/>
        <v>31</v>
      </c>
    </row>
    <row r="878" spans="1:11" x14ac:dyDescent="0.3">
      <c r="A878" s="14">
        <v>2022</v>
      </c>
      <c r="B878" s="14">
        <f t="shared" si="41"/>
        <v>26</v>
      </c>
      <c r="C878" s="9">
        <v>44739</v>
      </c>
      <c r="D878" s="9">
        <v>44743</v>
      </c>
      <c r="E878" s="14">
        <f>VLOOKUP(F878,CarrierID!A:B,2,0)</f>
        <v>10</v>
      </c>
      <c r="F878" s="15" t="s">
        <v>8</v>
      </c>
      <c r="G878" t="str">
        <f>VLOOKUP(F878,Carrier_Category!A:B,2,0)</f>
        <v>Intercity</v>
      </c>
      <c r="H878" s="5">
        <v>32</v>
      </c>
      <c r="I878" s="7">
        <f t="shared" si="43"/>
        <v>30</v>
      </c>
      <c r="J878" s="5">
        <v>1184</v>
      </c>
      <c r="K878" s="18">
        <f t="shared" si="42"/>
        <v>37</v>
      </c>
    </row>
    <row r="879" spans="1:11" x14ac:dyDescent="0.3">
      <c r="A879" s="14">
        <v>2022</v>
      </c>
      <c r="B879" s="14">
        <f t="shared" si="41"/>
        <v>26</v>
      </c>
      <c r="C879" s="9">
        <v>44739</v>
      </c>
      <c r="D879" s="9">
        <v>44743</v>
      </c>
      <c r="E879" s="14">
        <f>VLOOKUP(F879,CarrierID!A:B,2,0)</f>
        <v>4</v>
      </c>
      <c r="F879" s="15" t="s">
        <v>24</v>
      </c>
      <c r="G879" t="str">
        <f>VLOOKUP(F879,Carrier_Category!A:B,2,0)</f>
        <v>Commuter</v>
      </c>
      <c r="H879" s="5">
        <v>39</v>
      </c>
      <c r="I879" s="7">
        <f t="shared" si="43"/>
        <v>40</v>
      </c>
      <c r="J879" s="5">
        <v>578</v>
      </c>
      <c r="K879" s="18">
        <f t="shared" si="42"/>
        <v>14.820512820512821</v>
      </c>
    </row>
    <row r="880" spans="1:11" x14ac:dyDescent="0.3">
      <c r="A880" s="14">
        <v>2022</v>
      </c>
      <c r="B880" s="14">
        <f t="shared" si="41"/>
        <v>26</v>
      </c>
      <c r="C880" s="9">
        <v>44739</v>
      </c>
      <c r="D880" s="9">
        <v>44743</v>
      </c>
      <c r="E880" s="14">
        <f>VLOOKUP(F880,CarrierID!A:B,2,0)</f>
        <v>6</v>
      </c>
      <c r="F880" s="15" t="s">
        <v>9</v>
      </c>
      <c r="G880" t="str">
        <f>VLOOKUP(F880,Carrier_Category!A:B,2,0)</f>
        <v>Commuter</v>
      </c>
      <c r="H880" s="5">
        <v>85</v>
      </c>
      <c r="I880" s="7">
        <f t="shared" si="43"/>
        <v>84</v>
      </c>
      <c r="J880" s="5">
        <v>1536</v>
      </c>
      <c r="K880" s="18">
        <f t="shared" si="42"/>
        <v>18.070588235294117</v>
      </c>
    </row>
    <row r="881" spans="1:11" x14ac:dyDescent="0.3">
      <c r="A881" s="14">
        <v>2022</v>
      </c>
      <c r="B881" s="14">
        <f t="shared" si="41"/>
        <v>27</v>
      </c>
      <c r="C881" s="9">
        <v>44746</v>
      </c>
      <c r="D881" s="9">
        <v>44750</v>
      </c>
      <c r="E881" s="14">
        <f>VLOOKUP(F881,CarrierID!A:B,2,0)</f>
        <v>1</v>
      </c>
      <c r="F881" s="15" t="s">
        <v>0</v>
      </c>
      <c r="G881" t="str">
        <f>VLOOKUP(F881,Carrier_Category!A:B,2,0)</f>
        <v>Commuter</v>
      </c>
      <c r="H881" s="5">
        <v>33</v>
      </c>
      <c r="I881" s="7">
        <f t="shared" si="43"/>
        <v>34</v>
      </c>
      <c r="J881" s="5">
        <v>1025</v>
      </c>
      <c r="K881" s="18">
        <f t="shared" si="42"/>
        <v>31.060606060606062</v>
      </c>
    </row>
    <row r="882" spans="1:11" x14ac:dyDescent="0.3">
      <c r="A882" s="14">
        <v>2022</v>
      </c>
      <c r="B882" s="14">
        <f t="shared" si="41"/>
        <v>27</v>
      </c>
      <c r="C882" s="9">
        <v>44746</v>
      </c>
      <c r="D882" s="9">
        <v>44750</v>
      </c>
      <c r="E882" s="14">
        <f>VLOOKUP(F882,CarrierID!A:B,2,0)</f>
        <v>5</v>
      </c>
      <c r="F882" s="15" t="s">
        <v>1</v>
      </c>
      <c r="G882" t="str">
        <f>VLOOKUP(F882,Carrier_Category!A:B,2,0)</f>
        <v>Intercity</v>
      </c>
      <c r="H882" s="5">
        <v>52</v>
      </c>
      <c r="I882" s="7">
        <f t="shared" si="43"/>
        <v>53</v>
      </c>
      <c r="J882" s="5">
        <v>1722</v>
      </c>
      <c r="K882" s="18">
        <f t="shared" si="42"/>
        <v>33.115384615384613</v>
      </c>
    </row>
    <row r="883" spans="1:11" x14ac:dyDescent="0.3">
      <c r="A883" s="14">
        <v>2022</v>
      </c>
      <c r="B883" s="14">
        <f t="shared" si="41"/>
        <v>27</v>
      </c>
      <c r="C883" s="9">
        <v>44746</v>
      </c>
      <c r="D883" s="9">
        <v>44750</v>
      </c>
      <c r="E883" s="14">
        <f>VLOOKUP(F883,CarrierID!A:B,2,0)</f>
        <v>8</v>
      </c>
      <c r="F883" s="15" t="s">
        <v>2</v>
      </c>
      <c r="G883" t="str">
        <f>VLOOKUP(F883,Carrier_Category!A:B,2,0)</f>
        <v>Commuter</v>
      </c>
      <c r="H883" s="5">
        <v>20</v>
      </c>
      <c r="I883" s="7">
        <f t="shared" si="43"/>
        <v>19</v>
      </c>
      <c r="J883" s="5">
        <v>801</v>
      </c>
      <c r="K883" s="18">
        <f t="shared" si="42"/>
        <v>40.049999999999997</v>
      </c>
    </row>
    <row r="884" spans="1:11" x14ac:dyDescent="0.3">
      <c r="A884" s="14">
        <v>2022</v>
      </c>
      <c r="B884" s="14">
        <f t="shared" si="41"/>
        <v>27</v>
      </c>
      <c r="C884" s="9">
        <v>44746</v>
      </c>
      <c r="D884" s="9">
        <v>44750</v>
      </c>
      <c r="E884" s="14">
        <f>VLOOKUP(F884,CarrierID!A:B,2,0)</f>
        <v>9</v>
      </c>
      <c r="F884" s="15" t="s">
        <v>3</v>
      </c>
      <c r="G884" t="str">
        <f>VLOOKUP(F884,Carrier_Category!A:B,2,0)</f>
        <v>NJT</v>
      </c>
      <c r="H884" s="5">
        <v>2162</v>
      </c>
      <c r="I884" s="7">
        <f t="shared" si="43"/>
        <v>2154</v>
      </c>
      <c r="J884" s="5">
        <v>57393</v>
      </c>
      <c r="K884" s="18">
        <f t="shared" si="42"/>
        <v>26.546253469010175</v>
      </c>
    </row>
    <row r="885" spans="1:11" x14ac:dyDescent="0.3">
      <c r="A885" s="14">
        <v>2022</v>
      </c>
      <c r="B885" s="14">
        <f t="shared" si="41"/>
        <v>27</v>
      </c>
      <c r="C885" s="9">
        <v>44746</v>
      </c>
      <c r="D885" s="9">
        <v>44750</v>
      </c>
      <c r="E885" s="14">
        <f>VLOOKUP(F885,CarrierID!A:B,2,0)</f>
        <v>7</v>
      </c>
      <c r="F885" s="15" t="s">
        <v>4</v>
      </c>
      <c r="G885" t="str">
        <f>VLOOKUP(F885,Carrier_Category!A:B,2,0)</f>
        <v>Commuter</v>
      </c>
      <c r="H885" s="5">
        <v>29</v>
      </c>
      <c r="I885" s="7">
        <f t="shared" si="43"/>
        <v>29</v>
      </c>
      <c r="J885" s="5">
        <v>1008</v>
      </c>
      <c r="K885" s="18">
        <f t="shared" si="42"/>
        <v>34.758620689655174</v>
      </c>
    </row>
    <row r="886" spans="1:11" x14ac:dyDescent="0.3">
      <c r="A886" s="14">
        <v>2022</v>
      </c>
      <c r="B886" s="14">
        <f t="shared" si="41"/>
        <v>27</v>
      </c>
      <c r="C886" s="9">
        <v>44746</v>
      </c>
      <c r="D886" s="9">
        <v>44750</v>
      </c>
      <c r="E886" s="14">
        <f>VLOOKUP(F886,CarrierID!A:B,2,0)</f>
        <v>11</v>
      </c>
      <c r="F886" s="15" t="s">
        <v>5</v>
      </c>
      <c r="G886" t="str">
        <f>VLOOKUP(F886,Carrier_Category!A:B,2,0)</f>
        <v>Intercity</v>
      </c>
      <c r="H886" s="5">
        <v>28</v>
      </c>
      <c r="I886" s="7">
        <f t="shared" si="43"/>
        <v>28</v>
      </c>
      <c r="J886" s="5">
        <v>691</v>
      </c>
      <c r="K886" s="18">
        <f t="shared" si="42"/>
        <v>24.678571428571427</v>
      </c>
    </row>
    <row r="887" spans="1:11" x14ac:dyDescent="0.3">
      <c r="A887" s="14">
        <v>2022</v>
      </c>
      <c r="B887" s="14">
        <f t="shared" si="41"/>
        <v>27</v>
      </c>
      <c r="C887" s="9">
        <v>44746</v>
      </c>
      <c r="D887" s="9">
        <v>44750</v>
      </c>
      <c r="E887" s="14">
        <f>VLOOKUP(F887,CarrierID!A:B,2,0)</f>
        <v>3</v>
      </c>
      <c r="F887" s="15" t="s">
        <v>6</v>
      </c>
      <c r="G887" t="str">
        <f>VLOOKUP(F887,Carrier_Category!A:B,2,0)</f>
        <v>Commuter</v>
      </c>
      <c r="H887" s="5">
        <v>140</v>
      </c>
      <c r="I887" s="7">
        <f t="shared" si="43"/>
        <v>138</v>
      </c>
      <c r="J887" s="5">
        <v>4320</v>
      </c>
      <c r="K887" s="18">
        <f t="shared" si="42"/>
        <v>30.857142857142858</v>
      </c>
    </row>
    <row r="888" spans="1:11" x14ac:dyDescent="0.3">
      <c r="A888" s="14">
        <v>2022</v>
      </c>
      <c r="B888" s="14">
        <f t="shared" si="41"/>
        <v>27</v>
      </c>
      <c r="C888" s="9">
        <v>44746</v>
      </c>
      <c r="D888" s="9">
        <v>44750</v>
      </c>
      <c r="E888" s="14">
        <f>VLOOKUP(F888,CarrierID!A:B,2,0)</f>
        <v>12</v>
      </c>
      <c r="F888" s="15" t="s">
        <v>25</v>
      </c>
      <c r="G888" t="str">
        <f>VLOOKUP(F888,Carrier_Category!A:B,2,0)</f>
        <v>Commuter</v>
      </c>
      <c r="H888" s="5">
        <v>19</v>
      </c>
      <c r="I888" s="7">
        <f t="shared" si="43"/>
        <v>19</v>
      </c>
      <c r="J888" s="5">
        <v>595</v>
      </c>
      <c r="K888" s="18">
        <f t="shared" si="42"/>
        <v>31.315789473684209</v>
      </c>
    </row>
    <row r="889" spans="1:11" x14ac:dyDescent="0.3">
      <c r="A889" s="14">
        <v>2022</v>
      </c>
      <c r="B889" s="14">
        <f t="shared" si="41"/>
        <v>27</v>
      </c>
      <c r="C889" s="9">
        <v>44746</v>
      </c>
      <c r="D889" s="9">
        <v>44750</v>
      </c>
      <c r="E889" s="14">
        <f>VLOOKUP(F889,CarrierID!A:B,2,0)</f>
        <v>10</v>
      </c>
      <c r="F889" s="15" t="s">
        <v>8</v>
      </c>
      <c r="G889" t="str">
        <f>VLOOKUP(F889,Carrier_Category!A:B,2,0)</f>
        <v>Intercity</v>
      </c>
      <c r="H889" s="5">
        <v>36</v>
      </c>
      <c r="I889" s="7">
        <f t="shared" si="43"/>
        <v>32</v>
      </c>
      <c r="J889" s="5">
        <v>1331</v>
      </c>
      <c r="K889" s="18">
        <f t="shared" si="42"/>
        <v>36.972222222222221</v>
      </c>
    </row>
    <row r="890" spans="1:11" x14ac:dyDescent="0.3">
      <c r="A890" s="14">
        <v>2022</v>
      </c>
      <c r="B890" s="14">
        <f t="shared" si="41"/>
        <v>27</v>
      </c>
      <c r="C890" s="9">
        <v>44746</v>
      </c>
      <c r="D890" s="9">
        <v>44750</v>
      </c>
      <c r="E890" s="14">
        <f>VLOOKUP(F890,CarrierID!A:B,2,0)</f>
        <v>4</v>
      </c>
      <c r="F890" s="15" t="s">
        <v>24</v>
      </c>
      <c r="G890" t="str">
        <f>VLOOKUP(F890,Carrier_Category!A:B,2,0)</f>
        <v>Commuter</v>
      </c>
      <c r="H890" s="5">
        <v>37</v>
      </c>
      <c r="I890" s="7">
        <f t="shared" si="43"/>
        <v>39</v>
      </c>
      <c r="J890" s="5">
        <v>514</v>
      </c>
      <c r="K890" s="18">
        <f t="shared" si="42"/>
        <v>13.891891891891891</v>
      </c>
    </row>
    <row r="891" spans="1:11" x14ac:dyDescent="0.3">
      <c r="A891" s="14">
        <v>2022</v>
      </c>
      <c r="B891" s="14">
        <f t="shared" si="41"/>
        <v>27</v>
      </c>
      <c r="C891" s="9">
        <v>44746</v>
      </c>
      <c r="D891" s="9">
        <v>44750</v>
      </c>
      <c r="E891" s="14">
        <f>VLOOKUP(F891,CarrierID!A:B,2,0)</f>
        <v>6</v>
      </c>
      <c r="F891" s="15" t="s">
        <v>9</v>
      </c>
      <c r="G891" t="str">
        <f>VLOOKUP(F891,Carrier_Category!A:B,2,0)</f>
        <v>Commuter</v>
      </c>
      <c r="H891" s="5">
        <v>85</v>
      </c>
      <c r="I891" s="7">
        <f t="shared" si="43"/>
        <v>85</v>
      </c>
      <c r="J891" s="5">
        <v>1574</v>
      </c>
      <c r="K891" s="18">
        <f t="shared" si="42"/>
        <v>18.517647058823531</v>
      </c>
    </row>
    <row r="892" spans="1:11" x14ac:dyDescent="0.3">
      <c r="A892" s="14">
        <v>2022</v>
      </c>
      <c r="B892" s="14">
        <f t="shared" si="41"/>
        <v>28</v>
      </c>
      <c r="C892" s="9">
        <v>44753</v>
      </c>
      <c r="D892" s="9">
        <v>44757</v>
      </c>
      <c r="E892" s="14">
        <f>VLOOKUP(F892,CarrierID!A:B,2,0)</f>
        <v>1</v>
      </c>
      <c r="F892" s="15" t="s">
        <v>0</v>
      </c>
      <c r="G892" t="str">
        <f>VLOOKUP(F892,Carrier_Category!A:B,2,0)</f>
        <v>Commuter</v>
      </c>
      <c r="H892" s="5">
        <v>34</v>
      </c>
      <c r="I892" s="7">
        <f t="shared" si="43"/>
        <v>33</v>
      </c>
      <c r="J892" s="5">
        <v>1096</v>
      </c>
      <c r="K892" s="18">
        <f t="shared" si="42"/>
        <v>32.235294117647058</v>
      </c>
    </row>
    <row r="893" spans="1:11" x14ac:dyDescent="0.3">
      <c r="A893" s="14">
        <v>2022</v>
      </c>
      <c r="B893" s="14">
        <f t="shared" si="41"/>
        <v>28</v>
      </c>
      <c r="C893" s="9">
        <v>44753</v>
      </c>
      <c r="D893" s="9">
        <v>44757</v>
      </c>
      <c r="E893" s="14">
        <f>VLOOKUP(F893,CarrierID!A:B,2,0)</f>
        <v>5</v>
      </c>
      <c r="F893" s="15" t="s">
        <v>1</v>
      </c>
      <c r="G893" t="str">
        <f>VLOOKUP(F893,Carrier_Category!A:B,2,0)</f>
        <v>Intercity</v>
      </c>
      <c r="H893" s="5">
        <v>52</v>
      </c>
      <c r="I893" s="7">
        <f t="shared" si="43"/>
        <v>52</v>
      </c>
      <c r="J893" s="5">
        <v>1739</v>
      </c>
      <c r="K893" s="18">
        <f t="shared" si="42"/>
        <v>33.442307692307693</v>
      </c>
    </row>
    <row r="894" spans="1:11" x14ac:dyDescent="0.3">
      <c r="A894" s="14">
        <v>2022</v>
      </c>
      <c r="B894" s="14">
        <f t="shared" si="41"/>
        <v>28</v>
      </c>
      <c r="C894" s="9">
        <v>44753</v>
      </c>
      <c r="D894" s="9">
        <v>44757</v>
      </c>
      <c r="E894" s="14">
        <f>VLOOKUP(F894,CarrierID!A:B,2,0)</f>
        <v>8</v>
      </c>
      <c r="F894" s="15" t="s">
        <v>2</v>
      </c>
      <c r="G894" t="str">
        <f>VLOOKUP(F894,Carrier_Category!A:B,2,0)</f>
        <v>Commuter</v>
      </c>
      <c r="H894" s="5">
        <v>19</v>
      </c>
      <c r="I894" s="7">
        <f t="shared" si="43"/>
        <v>20</v>
      </c>
      <c r="J894" s="5">
        <v>789</v>
      </c>
      <c r="K894" s="18">
        <f t="shared" si="42"/>
        <v>41.526315789473685</v>
      </c>
    </row>
    <row r="895" spans="1:11" x14ac:dyDescent="0.3">
      <c r="A895" s="14">
        <v>2022</v>
      </c>
      <c r="B895" s="14">
        <f t="shared" si="41"/>
        <v>28</v>
      </c>
      <c r="C895" s="9">
        <v>44753</v>
      </c>
      <c r="D895" s="9">
        <v>44757</v>
      </c>
      <c r="E895" s="14">
        <f>VLOOKUP(F895,CarrierID!A:B,2,0)</f>
        <v>9</v>
      </c>
      <c r="F895" s="15" t="s">
        <v>3</v>
      </c>
      <c r="G895" t="str">
        <f>VLOOKUP(F895,Carrier_Category!A:B,2,0)</f>
        <v>NJT</v>
      </c>
      <c r="H895" s="5">
        <v>2169</v>
      </c>
      <c r="I895" s="7">
        <f t="shared" si="43"/>
        <v>2162</v>
      </c>
      <c r="J895" s="5">
        <v>59080</v>
      </c>
      <c r="K895" s="18">
        <f t="shared" si="42"/>
        <v>27.238358690640847</v>
      </c>
    </row>
    <row r="896" spans="1:11" x14ac:dyDescent="0.3">
      <c r="A896" s="14">
        <v>2022</v>
      </c>
      <c r="B896" s="14">
        <f t="shared" si="41"/>
        <v>28</v>
      </c>
      <c r="C896" s="9">
        <v>44753</v>
      </c>
      <c r="D896" s="9">
        <v>44757</v>
      </c>
      <c r="E896" s="14">
        <f>VLOOKUP(F896,CarrierID!A:B,2,0)</f>
        <v>7</v>
      </c>
      <c r="F896" s="15" t="s">
        <v>4</v>
      </c>
      <c r="G896" t="str">
        <f>VLOOKUP(F896,Carrier_Category!A:B,2,0)</f>
        <v>Commuter</v>
      </c>
      <c r="H896" s="5">
        <v>29</v>
      </c>
      <c r="I896" s="7">
        <f t="shared" si="43"/>
        <v>29</v>
      </c>
      <c r="J896" s="5">
        <v>1110</v>
      </c>
      <c r="K896" s="18">
        <f t="shared" si="42"/>
        <v>38.275862068965516</v>
      </c>
    </row>
    <row r="897" spans="1:11" x14ac:dyDescent="0.3">
      <c r="A897" s="14">
        <v>2022</v>
      </c>
      <c r="B897" s="14">
        <f t="shared" si="41"/>
        <v>28</v>
      </c>
      <c r="C897" s="9">
        <v>44753</v>
      </c>
      <c r="D897" s="9">
        <v>44757</v>
      </c>
      <c r="E897" s="14">
        <f>VLOOKUP(F897,CarrierID!A:B,2,0)</f>
        <v>11</v>
      </c>
      <c r="F897" s="15" t="s">
        <v>5</v>
      </c>
      <c r="G897" t="str">
        <f>VLOOKUP(F897,Carrier_Category!A:B,2,0)</f>
        <v>Intercity</v>
      </c>
      <c r="H897" s="5">
        <v>27</v>
      </c>
      <c r="I897" s="7">
        <f t="shared" si="43"/>
        <v>28</v>
      </c>
      <c r="J897" s="5">
        <v>592</v>
      </c>
      <c r="K897" s="18">
        <f t="shared" si="42"/>
        <v>21.925925925925927</v>
      </c>
    </row>
    <row r="898" spans="1:11" x14ac:dyDescent="0.3">
      <c r="A898" s="14">
        <v>2022</v>
      </c>
      <c r="B898" s="14">
        <f t="shared" si="41"/>
        <v>28</v>
      </c>
      <c r="C898" s="9">
        <v>44753</v>
      </c>
      <c r="D898" s="9">
        <v>44757</v>
      </c>
      <c r="E898" s="14">
        <f>VLOOKUP(F898,CarrierID!A:B,2,0)</f>
        <v>3</v>
      </c>
      <c r="F898" s="15" t="s">
        <v>6</v>
      </c>
      <c r="G898" t="str">
        <f>VLOOKUP(F898,Carrier_Category!A:B,2,0)</f>
        <v>Commuter</v>
      </c>
      <c r="H898" s="5">
        <v>140</v>
      </c>
      <c r="I898" s="7">
        <f t="shared" si="43"/>
        <v>140</v>
      </c>
      <c r="J898" s="5">
        <v>4643</v>
      </c>
      <c r="K898" s="18">
        <f t="shared" si="42"/>
        <v>33.164285714285711</v>
      </c>
    </row>
    <row r="899" spans="1:11" x14ac:dyDescent="0.3">
      <c r="A899" s="14">
        <v>2022</v>
      </c>
      <c r="B899" s="14">
        <f t="shared" si="41"/>
        <v>28</v>
      </c>
      <c r="C899" s="9">
        <v>44753</v>
      </c>
      <c r="D899" s="9">
        <v>44757</v>
      </c>
      <c r="E899" s="14">
        <f>VLOOKUP(F899,CarrierID!A:B,2,0)</f>
        <v>12</v>
      </c>
      <c r="F899" s="15" t="s">
        <v>25</v>
      </c>
      <c r="G899" t="str">
        <f>VLOOKUP(F899,Carrier_Category!A:B,2,0)</f>
        <v>Commuter</v>
      </c>
      <c r="H899" s="5">
        <v>19</v>
      </c>
      <c r="I899" s="7">
        <f t="shared" si="43"/>
        <v>19</v>
      </c>
      <c r="J899" s="5">
        <v>608</v>
      </c>
      <c r="K899" s="18">
        <f t="shared" si="42"/>
        <v>32</v>
      </c>
    </row>
    <row r="900" spans="1:11" x14ac:dyDescent="0.3">
      <c r="A900" s="14">
        <v>2022</v>
      </c>
      <c r="B900" s="14">
        <f t="shared" si="41"/>
        <v>28</v>
      </c>
      <c r="C900" s="9">
        <v>44753</v>
      </c>
      <c r="D900" s="9">
        <v>44757</v>
      </c>
      <c r="E900" s="14">
        <f>VLOOKUP(F900,CarrierID!A:B,2,0)</f>
        <v>10</v>
      </c>
      <c r="F900" s="15" t="s">
        <v>8</v>
      </c>
      <c r="G900" t="str">
        <f>VLOOKUP(F900,Carrier_Category!A:B,2,0)</f>
        <v>Intercity</v>
      </c>
      <c r="H900" s="5">
        <v>31</v>
      </c>
      <c r="I900" s="7">
        <f t="shared" si="43"/>
        <v>36</v>
      </c>
      <c r="J900" s="5">
        <v>908</v>
      </c>
      <c r="K900" s="18">
        <f t="shared" si="42"/>
        <v>29.29032258064516</v>
      </c>
    </row>
    <row r="901" spans="1:11" x14ac:dyDescent="0.3">
      <c r="A901" s="14">
        <v>2022</v>
      </c>
      <c r="B901" s="14">
        <f t="shared" ref="B901:B964" si="44">_xlfn.ISOWEEKNUM(C901)</f>
        <v>28</v>
      </c>
      <c r="C901" s="9">
        <v>44753</v>
      </c>
      <c r="D901" s="9">
        <v>44757</v>
      </c>
      <c r="E901" s="14">
        <f>VLOOKUP(F901,CarrierID!A:B,2,0)</f>
        <v>4</v>
      </c>
      <c r="F901" s="15" t="s">
        <v>24</v>
      </c>
      <c r="G901" t="str">
        <f>VLOOKUP(F901,Carrier_Category!A:B,2,0)</f>
        <v>Commuter</v>
      </c>
      <c r="H901" s="5">
        <v>36</v>
      </c>
      <c r="I901" s="7">
        <f t="shared" si="43"/>
        <v>37</v>
      </c>
      <c r="J901" s="5">
        <v>553</v>
      </c>
      <c r="K901" s="18">
        <f t="shared" ref="K901:K964" si="45">J901/H901</f>
        <v>15.361111111111111</v>
      </c>
    </row>
    <row r="902" spans="1:11" x14ac:dyDescent="0.3">
      <c r="A902" s="14">
        <v>2022</v>
      </c>
      <c r="B902" s="14">
        <f t="shared" si="44"/>
        <v>28</v>
      </c>
      <c r="C902" s="9">
        <v>44753</v>
      </c>
      <c r="D902" s="9">
        <v>44757</v>
      </c>
      <c r="E902" s="14">
        <f>VLOOKUP(F902,CarrierID!A:B,2,0)</f>
        <v>6</v>
      </c>
      <c r="F902" s="15" t="s">
        <v>9</v>
      </c>
      <c r="G902" t="str">
        <f>VLOOKUP(F902,Carrier_Category!A:B,2,0)</f>
        <v>Commuter</v>
      </c>
      <c r="H902" s="5">
        <v>84</v>
      </c>
      <c r="I902" s="7">
        <f t="shared" si="43"/>
        <v>85</v>
      </c>
      <c r="J902" s="5">
        <v>1639</v>
      </c>
      <c r="K902" s="18">
        <f t="shared" si="45"/>
        <v>19.511904761904763</v>
      </c>
    </row>
    <row r="903" spans="1:11" x14ac:dyDescent="0.3">
      <c r="A903" s="14">
        <v>2022</v>
      </c>
      <c r="B903" s="14">
        <f t="shared" si="44"/>
        <v>29</v>
      </c>
      <c r="C903" s="9">
        <v>44760</v>
      </c>
      <c r="D903" s="9">
        <v>44764</v>
      </c>
      <c r="E903" s="14">
        <f>VLOOKUP(F903,CarrierID!A:B,2,0)</f>
        <v>1</v>
      </c>
      <c r="F903" s="15" t="s">
        <v>0</v>
      </c>
      <c r="G903" t="str">
        <f>VLOOKUP(F903,Carrier_Category!A:B,2,0)</f>
        <v>Commuter</v>
      </c>
      <c r="H903" s="5">
        <v>35</v>
      </c>
      <c r="I903" s="7">
        <f t="shared" si="43"/>
        <v>34</v>
      </c>
      <c r="J903" s="5">
        <v>1120</v>
      </c>
      <c r="K903" s="18">
        <f t="shared" si="45"/>
        <v>32</v>
      </c>
    </row>
    <row r="904" spans="1:11" x14ac:dyDescent="0.3">
      <c r="A904" s="14">
        <v>2022</v>
      </c>
      <c r="B904" s="14">
        <f t="shared" si="44"/>
        <v>29</v>
      </c>
      <c r="C904" s="9">
        <v>44760</v>
      </c>
      <c r="D904" s="9">
        <v>44764</v>
      </c>
      <c r="E904" s="14">
        <f>VLOOKUP(F904,CarrierID!A:B,2,0)</f>
        <v>5</v>
      </c>
      <c r="F904" s="15" t="s">
        <v>1</v>
      </c>
      <c r="G904" t="str">
        <f>VLOOKUP(F904,Carrier_Category!A:B,2,0)</f>
        <v>Intercity</v>
      </c>
      <c r="H904" s="5">
        <v>52</v>
      </c>
      <c r="I904" s="7">
        <f t="shared" si="43"/>
        <v>52</v>
      </c>
      <c r="J904" s="5">
        <v>1763</v>
      </c>
      <c r="K904" s="18">
        <f t="shared" si="45"/>
        <v>33.903846153846153</v>
      </c>
    </row>
    <row r="905" spans="1:11" x14ac:dyDescent="0.3">
      <c r="A905" s="14">
        <v>2022</v>
      </c>
      <c r="B905" s="14">
        <f t="shared" si="44"/>
        <v>29</v>
      </c>
      <c r="C905" s="9">
        <v>44760</v>
      </c>
      <c r="D905" s="9">
        <v>44764</v>
      </c>
      <c r="E905" s="14">
        <f>VLOOKUP(F905,CarrierID!A:B,2,0)</f>
        <v>8</v>
      </c>
      <c r="F905" s="15" t="s">
        <v>2</v>
      </c>
      <c r="G905" t="str">
        <f>VLOOKUP(F905,Carrier_Category!A:B,2,0)</f>
        <v>Commuter</v>
      </c>
      <c r="H905" s="5">
        <v>19</v>
      </c>
      <c r="I905" s="7">
        <f t="shared" si="43"/>
        <v>19</v>
      </c>
      <c r="J905" s="5">
        <v>773</v>
      </c>
      <c r="K905" s="18">
        <f t="shared" si="45"/>
        <v>40.684210526315788</v>
      </c>
    </row>
    <row r="906" spans="1:11" x14ac:dyDescent="0.3">
      <c r="A906" s="14">
        <v>2022</v>
      </c>
      <c r="B906" s="14">
        <f t="shared" si="44"/>
        <v>29</v>
      </c>
      <c r="C906" s="9">
        <v>44760</v>
      </c>
      <c r="D906" s="9">
        <v>44764</v>
      </c>
      <c r="E906" s="14">
        <f>VLOOKUP(F906,CarrierID!A:B,2,0)</f>
        <v>9</v>
      </c>
      <c r="F906" s="15" t="s">
        <v>3</v>
      </c>
      <c r="G906" t="str">
        <f>VLOOKUP(F906,Carrier_Category!A:B,2,0)</f>
        <v>NJT</v>
      </c>
      <c r="H906" s="5">
        <v>2172</v>
      </c>
      <c r="I906" s="7">
        <f t="shared" si="43"/>
        <v>2169</v>
      </c>
      <c r="J906" s="5">
        <v>59980</v>
      </c>
      <c r="K906" s="18">
        <f t="shared" si="45"/>
        <v>27.61510128913444</v>
      </c>
    </row>
    <row r="907" spans="1:11" x14ac:dyDescent="0.3">
      <c r="A907" s="14">
        <v>2022</v>
      </c>
      <c r="B907" s="14">
        <f t="shared" si="44"/>
        <v>29</v>
      </c>
      <c r="C907" s="9">
        <v>44760</v>
      </c>
      <c r="D907" s="9">
        <v>44764</v>
      </c>
      <c r="E907" s="14">
        <f>VLOOKUP(F907,CarrierID!A:B,2,0)</f>
        <v>7</v>
      </c>
      <c r="F907" s="15" t="s">
        <v>4</v>
      </c>
      <c r="G907" t="str">
        <f>VLOOKUP(F907,Carrier_Category!A:B,2,0)</f>
        <v>Commuter</v>
      </c>
      <c r="H907" s="5">
        <v>29</v>
      </c>
      <c r="I907" s="7">
        <f t="shared" si="43"/>
        <v>29</v>
      </c>
      <c r="J907" s="5">
        <v>1047</v>
      </c>
      <c r="K907" s="18">
        <f t="shared" si="45"/>
        <v>36.103448275862071</v>
      </c>
    </row>
    <row r="908" spans="1:11" x14ac:dyDescent="0.3">
      <c r="A908" s="14">
        <v>2022</v>
      </c>
      <c r="B908" s="14">
        <f t="shared" si="44"/>
        <v>29</v>
      </c>
      <c r="C908" s="9">
        <v>44760</v>
      </c>
      <c r="D908" s="9">
        <v>44764</v>
      </c>
      <c r="E908" s="14">
        <f>VLOOKUP(F908,CarrierID!A:B,2,0)</f>
        <v>11</v>
      </c>
      <c r="F908" s="15" t="s">
        <v>5</v>
      </c>
      <c r="G908" t="str">
        <f>VLOOKUP(F908,Carrier_Category!A:B,2,0)</f>
        <v>Intercity</v>
      </c>
      <c r="H908" s="5">
        <v>26</v>
      </c>
      <c r="I908" s="7">
        <f t="shared" si="43"/>
        <v>27</v>
      </c>
      <c r="J908" s="5">
        <v>595</v>
      </c>
      <c r="K908" s="18">
        <f t="shared" si="45"/>
        <v>22.884615384615383</v>
      </c>
    </row>
    <row r="909" spans="1:11" x14ac:dyDescent="0.3">
      <c r="A909" s="14">
        <v>2022</v>
      </c>
      <c r="B909" s="14">
        <f t="shared" si="44"/>
        <v>29</v>
      </c>
      <c r="C909" s="9">
        <v>44760</v>
      </c>
      <c r="D909" s="9">
        <v>44764</v>
      </c>
      <c r="E909" s="14">
        <f>VLOOKUP(F909,CarrierID!A:B,2,0)</f>
        <v>3</v>
      </c>
      <c r="F909" s="15" t="s">
        <v>6</v>
      </c>
      <c r="G909" t="str">
        <f>VLOOKUP(F909,Carrier_Category!A:B,2,0)</f>
        <v>Commuter</v>
      </c>
      <c r="H909" s="5">
        <v>140</v>
      </c>
      <c r="I909" s="7">
        <f t="shared" ref="I909:I972" si="46">H898</f>
        <v>140</v>
      </c>
      <c r="J909" s="5">
        <v>4654</v>
      </c>
      <c r="K909" s="18">
        <f t="shared" si="45"/>
        <v>33.24285714285714</v>
      </c>
    </row>
    <row r="910" spans="1:11" x14ac:dyDescent="0.3">
      <c r="A910" s="14">
        <v>2022</v>
      </c>
      <c r="B910" s="14">
        <f t="shared" si="44"/>
        <v>29</v>
      </c>
      <c r="C910" s="9">
        <v>44760</v>
      </c>
      <c r="D910" s="9">
        <v>44764</v>
      </c>
      <c r="E910" s="14">
        <f>VLOOKUP(F910,CarrierID!A:B,2,0)</f>
        <v>12</v>
      </c>
      <c r="F910" s="15" t="s">
        <v>25</v>
      </c>
      <c r="G910" t="str">
        <f>VLOOKUP(F910,Carrier_Category!A:B,2,0)</f>
        <v>Commuter</v>
      </c>
      <c r="H910" s="5">
        <v>19</v>
      </c>
      <c r="I910" s="7">
        <f t="shared" si="46"/>
        <v>19</v>
      </c>
      <c r="J910" s="5">
        <v>590</v>
      </c>
      <c r="K910" s="18">
        <f t="shared" si="45"/>
        <v>31.05263157894737</v>
      </c>
    </row>
    <row r="911" spans="1:11" x14ac:dyDescent="0.3">
      <c r="A911" s="14">
        <v>2022</v>
      </c>
      <c r="B911" s="14">
        <f t="shared" si="44"/>
        <v>29</v>
      </c>
      <c r="C911" s="9">
        <v>44760</v>
      </c>
      <c r="D911" s="9">
        <v>44764</v>
      </c>
      <c r="E911" s="14">
        <f>VLOOKUP(F911,CarrierID!A:B,2,0)</f>
        <v>10</v>
      </c>
      <c r="F911" s="15" t="s">
        <v>8</v>
      </c>
      <c r="G911" t="str">
        <f>VLOOKUP(F911,Carrier_Category!A:B,2,0)</f>
        <v>Intercity</v>
      </c>
      <c r="H911" s="5">
        <v>31</v>
      </c>
      <c r="I911" s="7">
        <f t="shared" si="46"/>
        <v>31</v>
      </c>
      <c r="J911" s="5">
        <v>993</v>
      </c>
      <c r="K911" s="18">
        <f t="shared" si="45"/>
        <v>32.032258064516128</v>
      </c>
    </row>
    <row r="912" spans="1:11" x14ac:dyDescent="0.3">
      <c r="A912" s="14">
        <v>2022</v>
      </c>
      <c r="B912" s="14">
        <f t="shared" si="44"/>
        <v>29</v>
      </c>
      <c r="C912" s="9">
        <v>44760</v>
      </c>
      <c r="D912" s="9">
        <v>44764</v>
      </c>
      <c r="E912" s="14">
        <f>VLOOKUP(F912,CarrierID!A:B,2,0)</f>
        <v>4</v>
      </c>
      <c r="F912" s="15" t="s">
        <v>24</v>
      </c>
      <c r="G912" t="str">
        <f>VLOOKUP(F912,Carrier_Category!A:B,2,0)</f>
        <v>Commuter</v>
      </c>
      <c r="H912" s="5">
        <v>36</v>
      </c>
      <c r="I912" s="7">
        <f t="shared" si="46"/>
        <v>36</v>
      </c>
      <c r="J912" s="5">
        <v>539</v>
      </c>
      <c r="K912" s="18">
        <f t="shared" si="45"/>
        <v>14.972222222222221</v>
      </c>
    </row>
    <row r="913" spans="1:11" x14ac:dyDescent="0.3">
      <c r="A913" s="14">
        <v>2022</v>
      </c>
      <c r="B913" s="14">
        <f t="shared" si="44"/>
        <v>29</v>
      </c>
      <c r="C913" s="9">
        <v>44760</v>
      </c>
      <c r="D913" s="9">
        <v>44764</v>
      </c>
      <c r="E913" s="14">
        <f>VLOOKUP(F913,CarrierID!A:B,2,0)</f>
        <v>6</v>
      </c>
      <c r="F913" s="15" t="s">
        <v>9</v>
      </c>
      <c r="G913" t="str">
        <f>VLOOKUP(F913,Carrier_Category!A:B,2,0)</f>
        <v>Commuter</v>
      </c>
      <c r="H913" s="5">
        <v>84</v>
      </c>
      <c r="I913" s="7">
        <f t="shared" si="46"/>
        <v>84</v>
      </c>
      <c r="J913" s="5">
        <v>1489</v>
      </c>
      <c r="K913" s="18">
        <f t="shared" si="45"/>
        <v>17.726190476190474</v>
      </c>
    </row>
    <row r="914" spans="1:11" x14ac:dyDescent="0.3">
      <c r="A914" s="14">
        <v>2022</v>
      </c>
      <c r="B914" s="14">
        <f t="shared" si="44"/>
        <v>30</v>
      </c>
      <c r="C914" s="9">
        <v>44767</v>
      </c>
      <c r="D914" s="9">
        <v>44771</v>
      </c>
      <c r="E914" s="14">
        <f>VLOOKUP(F914,CarrierID!A:B,2,0)</f>
        <v>1</v>
      </c>
      <c r="F914" s="15" t="s">
        <v>0</v>
      </c>
      <c r="G914" t="str">
        <f>VLOOKUP(F914,Carrier_Category!A:B,2,0)</f>
        <v>Commuter</v>
      </c>
      <c r="H914" s="5">
        <v>34</v>
      </c>
      <c r="I914" s="7">
        <f t="shared" si="46"/>
        <v>35</v>
      </c>
      <c r="J914" s="5">
        <v>1115</v>
      </c>
      <c r="K914" s="18">
        <f t="shared" si="45"/>
        <v>32.794117647058826</v>
      </c>
    </row>
    <row r="915" spans="1:11" x14ac:dyDescent="0.3">
      <c r="A915" s="14">
        <v>2022</v>
      </c>
      <c r="B915" s="14">
        <f t="shared" si="44"/>
        <v>30</v>
      </c>
      <c r="C915" s="9">
        <v>44767</v>
      </c>
      <c r="D915" s="9">
        <v>44771</v>
      </c>
      <c r="E915" s="14">
        <f>VLOOKUP(F915,CarrierID!A:B,2,0)</f>
        <v>5</v>
      </c>
      <c r="F915" s="15" t="s">
        <v>1</v>
      </c>
      <c r="G915" t="str">
        <f>VLOOKUP(F915,Carrier_Category!A:B,2,0)</f>
        <v>Intercity</v>
      </c>
      <c r="H915" s="5">
        <v>53</v>
      </c>
      <c r="I915" s="7">
        <f t="shared" si="46"/>
        <v>52</v>
      </c>
      <c r="J915" s="5">
        <v>1796</v>
      </c>
      <c r="K915" s="18">
        <f t="shared" si="45"/>
        <v>33.886792452830186</v>
      </c>
    </row>
    <row r="916" spans="1:11" x14ac:dyDescent="0.3">
      <c r="A916" s="14">
        <v>2022</v>
      </c>
      <c r="B916" s="14">
        <f t="shared" si="44"/>
        <v>30</v>
      </c>
      <c r="C916" s="9">
        <v>44767</v>
      </c>
      <c r="D916" s="9">
        <v>44771</v>
      </c>
      <c r="E916" s="14">
        <f>VLOOKUP(F916,CarrierID!A:B,2,0)</f>
        <v>8</v>
      </c>
      <c r="F916" s="15" t="s">
        <v>2</v>
      </c>
      <c r="G916" t="str">
        <f>VLOOKUP(F916,Carrier_Category!A:B,2,0)</f>
        <v>Commuter</v>
      </c>
      <c r="H916" s="5">
        <v>19</v>
      </c>
      <c r="I916" s="7">
        <f t="shared" si="46"/>
        <v>19</v>
      </c>
      <c r="J916" s="5">
        <v>766</v>
      </c>
      <c r="K916" s="18">
        <f t="shared" si="45"/>
        <v>40.315789473684212</v>
      </c>
    </row>
    <row r="917" spans="1:11" x14ac:dyDescent="0.3">
      <c r="A917" s="14">
        <v>2022</v>
      </c>
      <c r="B917" s="14">
        <f t="shared" si="44"/>
        <v>30</v>
      </c>
      <c r="C917" s="9">
        <v>44767</v>
      </c>
      <c r="D917" s="9">
        <v>44771</v>
      </c>
      <c r="E917" s="14">
        <f>VLOOKUP(F917,CarrierID!A:B,2,0)</f>
        <v>9</v>
      </c>
      <c r="F917" s="15" t="s">
        <v>3</v>
      </c>
      <c r="G917" t="str">
        <f>VLOOKUP(F917,Carrier_Category!A:B,2,0)</f>
        <v>NJT</v>
      </c>
      <c r="H917" s="5">
        <v>2183</v>
      </c>
      <c r="I917" s="7">
        <f t="shared" si="46"/>
        <v>2172</v>
      </c>
      <c r="J917" s="5">
        <v>62063</v>
      </c>
      <c r="K917" s="18">
        <f t="shared" si="45"/>
        <v>28.430142006413192</v>
      </c>
    </row>
    <row r="918" spans="1:11" x14ac:dyDescent="0.3">
      <c r="A918" s="14">
        <v>2022</v>
      </c>
      <c r="B918" s="14">
        <f t="shared" si="44"/>
        <v>30</v>
      </c>
      <c r="C918" s="9">
        <v>44767</v>
      </c>
      <c r="D918" s="9">
        <v>44771</v>
      </c>
      <c r="E918" s="14">
        <f>VLOOKUP(F918,CarrierID!A:B,2,0)</f>
        <v>7</v>
      </c>
      <c r="F918" s="15" t="s">
        <v>4</v>
      </c>
      <c r="G918" t="str">
        <f>VLOOKUP(F918,Carrier_Category!A:B,2,0)</f>
        <v>Commuter</v>
      </c>
      <c r="H918" s="5">
        <v>29</v>
      </c>
      <c r="I918" s="7">
        <f t="shared" si="46"/>
        <v>29</v>
      </c>
      <c r="J918" s="5">
        <v>1102</v>
      </c>
      <c r="K918" s="18">
        <f t="shared" si="45"/>
        <v>38</v>
      </c>
    </row>
    <row r="919" spans="1:11" x14ac:dyDescent="0.3">
      <c r="A919" s="14">
        <v>2022</v>
      </c>
      <c r="B919" s="14">
        <f t="shared" si="44"/>
        <v>30</v>
      </c>
      <c r="C919" s="9">
        <v>44767</v>
      </c>
      <c r="D919" s="9">
        <v>44771</v>
      </c>
      <c r="E919" s="14">
        <f>VLOOKUP(F919,CarrierID!A:B,2,0)</f>
        <v>11</v>
      </c>
      <c r="F919" s="15" t="s">
        <v>5</v>
      </c>
      <c r="G919" t="str">
        <f>VLOOKUP(F919,Carrier_Category!A:B,2,0)</f>
        <v>Intercity</v>
      </c>
      <c r="H919" s="5">
        <v>27</v>
      </c>
      <c r="I919" s="7">
        <f t="shared" si="46"/>
        <v>26</v>
      </c>
      <c r="J919" s="5">
        <v>608</v>
      </c>
      <c r="K919" s="18">
        <f t="shared" si="45"/>
        <v>22.518518518518519</v>
      </c>
    </row>
    <row r="920" spans="1:11" x14ac:dyDescent="0.3">
      <c r="A920" s="14">
        <v>2022</v>
      </c>
      <c r="B920" s="14">
        <f t="shared" si="44"/>
        <v>30</v>
      </c>
      <c r="C920" s="9">
        <v>44767</v>
      </c>
      <c r="D920" s="9">
        <v>44771</v>
      </c>
      <c r="E920" s="14">
        <f>VLOOKUP(F920,CarrierID!A:B,2,0)</f>
        <v>3</v>
      </c>
      <c r="F920" s="15" t="s">
        <v>6</v>
      </c>
      <c r="G920" t="str">
        <f>VLOOKUP(F920,Carrier_Category!A:B,2,0)</f>
        <v>Commuter</v>
      </c>
      <c r="H920" s="5">
        <v>139</v>
      </c>
      <c r="I920" s="7">
        <f t="shared" si="46"/>
        <v>140</v>
      </c>
      <c r="J920" s="5">
        <v>4612</v>
      </c>
      <c r="K920" s="18">
        <f t="shared" si="45"/>
        <v>33.179856115107917</v>
      </c>
    </row>
    <row r="921" spans="1:11" x14ac:dyDescent="0.3">
      <c r="A921" s="14">
        <v>2022</v>
      </c>
      <c r="B921" s="14">
        <f t="shared" si="44"/>
        <v>30</v>
      </c>
      <c r="C921" s="9">
        <v>44767</v>
      </c>
      <c r="D921" s="9">
        <v>44771</v>
      </c>
      <c r="E921" s="14">
        <f>VLOOKUP(F921,CarrierID!A:B,2,0)</f>
        <v>12</v>
      </c>
      <c r="F921" s="15" t="s">
        <v>25</v>
      </c>
      <c r="G921" t="str">
        <f>VLOOKUP(F921,Carrier_Category!A:B,2,0)</f>
        <v>Commuter</v>
      </c>
      <c r="H921" s="5">
        <v>19</v>
      </c>
      <c r="I921" s="7">
        <f t="shared" si="46"/>
        <v>19</v>
      </c>
      <c r="J921" s="5">
        <v>532</v>
      </c>
      <c r="K921" s="18">
        <f t="shared" si="45"/>
        <v>28</v>
      </c>
    </row>
    <row r="922" spans="1:11" x14ac:dyDescent="0.3">
      <c r="A922" s="14">
        <v>2022</v>
      </c>
      <c r="B922" s="14">
        <f t="shared" si="44"/>
        <v>30</v>
      </c>
      <c r="C922" s="9">
        <v>44767</v>
      </c>
      <c r="D922" s="9">
        <v>44771</v>
      </c>
      <c r="E922" s="14">
        <f>VLOOKUP(F922,CarrierID!A:B,2,0)</f>
        <v>10</v>
      </c>
      <c r="F922" s="15" t="s">
        <v>8</v>
      </c>
      <c r="G922" t="str">
        <f>VLOOKUP(F922,Carrier_Category!A:B,2,0)</f>
        <v>Intercity</v>
      </c>
      <c r="H922" s="5">
        <v>30</v>
      </c>
      <c r="I922" s="7">
        <f t="shared" si="46"/>
        <v>31</v>
      </c>
      <c r="J922" s="5">
        <v>1002</v>
      </c>
      <c r="K922" s="18">
        <f t="shared" si="45"/>
        <v>33.4</v>
      </c>
    </row>
    <row r="923" spans="1:11" x14ac:dyDescent="0.3">
      <c r="A923" s="14">
        <v>2022</v>
      </c>
      <c r="B923" s="14">
        <f t="shared" si="44"/>
        <v>30</v>
      </c>
      <c r="C923" s="9">
        <v>44767</v>
      </c>
      <c r="D923" s="9">
        <v>44771</v>
      </c>
      <c r="E923" s="14">
        <f>VLOOKUP(F923,CarrierID!A:B,2,0)</f>
        <v>4</v>
      </c>
      <c r="F923" s="15" t="s">
        <v>24</v>
      </c>
      <c r="G923" t="str">
        <f>VLOOKUP(F923,Carrier_Category!A:B,2,0)</f>
        <v>Commuter</v>
      </c>
      <c r="H923" s="5">
        <v>35</v>
      </c>
      <c r="I923" s="7">
        <f t="shared" si="46"/>
        <v>36</v>
      </c>
      <c r="J923" s="5">
        <v>534</v>
      </c>
      <c r="K923" s="18">
        <f t="shared" si="45"/>
        <v>15.257142857142858</v>
      </c>
    </row>
    <row r="924" spans="1:11" x14ac:dyDescent="0.3">
      <c r="A924" s="14">
        <v>2022</v>
      </c>
      <c r="B924" s="14">
        <f t="shared" si="44"/>
        <v>30</v>
      </c>
      <c r="C924" s="9">
        <v>44767</v>
      </c>
      <c r="D924" s="9">
        <v>44771</v>
      </c>
      <c r="E924" s="14">
        <f>VLOOKUP(F924,CarrierID!A:B,2,0)</f>
        <v>6</v>
      </c>
      <c r="F924" s="15" t="s">
        <v>9</v>
      </c>
      <c r="G924" t="str">
        <f>VLOOKUP(F924,Carrier_Category!A:B,2,0)</f>
        <v>Commuter</v>
      </c>
      <c r="H924" s="5">
        <v>84</v>
      </c>
      <c r="I924" s="7">
        <f t="shared" si="46"/>
        <v>84</v>
      </c>
      <c r="J924" s="5">
        <v>1489</v>
      </c>
      <c r="K924" s="18">
        <f t="shared" si="45"/>
        <v>17.726190476190474</v>
      </c>
    </row>
    <row r="925" spans="1:11" x14ac:dyDescent="0.3">
      <c r="A925" s="14">
        <v>2022</v>
      </c>
      <c r="B925" s="14">
        <f t="shared" si="44"/>
        <v>31</v>
      </c>
      <c r="C925" s="9">
        <v>44774</v>
      </c>
      <c r="D925" s="9">
        <v>44778</v>
      </c>
      <c r="E925" s="14">
        <f>VLOOKUP(F925,CarrierID!A:B,2,0)</f>
        <v>1</v>
      </c>
      <c r="F925" s="15" t="s">
        <v>0</v>
      </c>
      <c r="G925" t="str">
        <f>VLOOKUP(F925,Carrier_Category!A:B,2,0)</f>
        <v>Commuter</v>
      </c>
      <c r="H925" s="5">
        <v>34</v>
      </c>
      <c r="I925" s="7">
        <f t="shared" si="46"/>
        <v>34</v>
      </c>
      <c r="J925" s="5">
        <v>1143</v>
      </c>
      <c r="K925" s="18">
        <f t="shared" si="45"/>
        <v>33.617647058823529</v>
      </c>
    </row>
    <row r="926" spans="1:11" x14ac:dyDescent="0.3">
      <c r="A926" s="14">
        <v>2022</v>
      </c>
      <c r="B926" s="14">
        <f t="shared" si="44"/>
        <v>31</v>
      </c>
      <c r="C926" s="9">
        <v>44774</v>
      </c>
      <c r="D926" s="9">
        <v>44778</v>
      </c>
      <c r="E926" s="14">
        <f>VLOOKUP(F926,CarrierID!A:B,2,0)</f>
        <v>5</v>
      </c>
      <c r="F926" s="15" t="s">
        <v>1</v>
      </c>
      <c r="G926" t="str">
        <f>VLOOKUP(F926,Carrier_Category!A:B,2,0)</f>
        <v>Intercity</v>
      </c>
      <c r="H926" s="5">
        <v>51</v>
      </c>
      <c r="I926" s="7">
        <f t="shared" si="46"/>
        <v>53</v>
      </c>
      <c r="J926" s="5">
        <v>1737</v>
      </c>
      <c r="K926" s="18">
        <f t="shared" si="45"/>
        <v>34.058823529411768</v>
      </c>
    </row>
    <row r="927" spans="1:11" x14ac:dyDescent="0.3">
      <c r="A927" s="14">
        <v>2022</v>
      </c>
      <c r="B927" s="14">
        <f t="shared" si="44"/>
        <v>31</v>
      </c>
      <c r="C927" s="9">
        <v>44774</v>
      </c>
      <c r="D927" s="9">
        <v>44778</v>
      </c>
      <c r="E927" s="14">
        <f>VLOOKUP(F927,CarrierID!A:B,2,0)</f>
        <v>8</v>
      </c>
      <c r="F927" s="15" t="s">
        <v>2</v>
      </c>
      <c r="G927" t="str">
        <f>VLOOKUP(F927,Carrier_Category!A:B,2,0)</f>
        <v>Commuter</v>
      </c>
      <c r="H927" s="5">
        <v>19</v>
      </c>
      <c r="I927" s="7">
        <f t="shared" si="46"/>
        <v>19</v>
      </c>
      <c r="J927" s="5">
        <v>800</v>
      </c>
      <c r="K927" s="18">
        <f t="shared" si="45"/>
        <v>42.10526315789474</v>
      </c>
    </row>
    <row r="928" spans="1:11" x14ac:dyDescent="0.3">
      <c r="A928" s="14">
        <v>2022</v>
      </c>
      <c r="B928" s="14">
        <f t="shared" si="44"/>
        <v>31</v>
      </c>
      <c r="C928" s="9">
        <v>44774</v>
      </c>
      <c r="D928" s="9">
        <v>44778</v>
      </c>
      <c r="E928" s="14">
        <f>VLOOKUP(F928,CarrierID!A:B,2,0)</f>
        <v>9</v>
      </c>
      <c r="F928" s="15" t="s">
        <v>3</v>
      </c>
      <c r="G928" t="str">
        <f>VLOOKUP(F928,Carrier_Category!A:B,2,0)</f>
        <v>NJT</v>
      </c>
      <c r="H928" s="5">
        <v>2202</v>
      </c>
      <c r="I928" s="7">
        <f t="shared" si="46"/>
        <v>2183</v>
      </c>
      <c r="J928" s="5">
        <v>61129</v>
      </c>
      <c r="K928" s="18">
        <f t="shared" si="45"/>
        <v>27.760672116257947</v>
      </c>
    </row>
    <row r="929" spans="1:11" x14ac:dyDescent="0.3">
      <c r="A929" s="14">
        <v>2022</v>
      </c>
      <c r="B929" s="14">
        <f t="shared" si="44"/>
        <v>31</v>
      </c>
      <c r="C929" s="9">
        <v>44774</v>
      </c>
      <c r="D929" s="9">
        <v>44778</v>
      </c>
      <c r="E929" s="14">
        <f>VLOOKUP(F929,CarrierID!A:B,2,0)</f>
        <v>7</v>
      </c>
      <c r="F929" s="15" t="s">
        <v>4</v>
      </c>
      <c r="G929" t="str">
        <f>VLOOKUP(F929,Carrier_Category!A:B,2,0)</f>
        <v>Commuter</v>
      </c>
      <c r="H929" s="5">
        <v>29</v>
      </c>
      <c r="I929" s="7">
        <f t="shared" si="46"/>
        <v>29</v>
      </c>
      <c r="J929" s="5">
        <v>1107</v>
      </c>
      <c r="K929" s="18">
        <f t="shared" si="45"/>
        <v>38.172413793103445</v>
      </c>
    </row>
    <row r="930" spans="1:11" x14ac:dyDescent="0.3">
      <c r="A930" s="14">
        <v>2022</v>
      </c>
      <c r="B930" s="14">
        <f t="shared" si="44"/>
        <v>31</v>
      </c>
      <c r="C930" s="9">
        <v>44774</v>
      </c>
      <c r="D930" s="9">
        <v>44778</v>
      </c>
      <c r="E930" s="14">
        <f>VLOOKUP(F930,CarrierID!A:B,2,0)</f>
        <v>11</v>
      </c>
      <c r="F930" s="15" t="s">
        <v>5</v>
      </c>
      <c r="G930" t="str">
        <f>VLOOKUP(F930,Carrier_Category!A:B,2,0)</f>
        <v>Intercity</v>
      </c>
      <c r="H930" s="5">
        <v>25</v>
      </c>
      <c r="I930" s="7">
        <f t="shared" si="46"/>
        <v>27</v>
      </c>
      <c r="J930" s="5">
        <v>531</v>
      </c>
      <c r="K930" s="18">
        <f t="shared" si="45"/>
        <v>21.24</v>
      </c>
    </row>
    <row r="931" spans="1:11" x14ac:dyDescent="0.3">
      <c r="A931" s="14">
        <v>2022</v>
      </c>
      <c r="B931" s="14">
        <f t="shared" si="44"/>
        <v>31</v>
      </c>
      <c r="C931" s="9">
        <v>44774</v>
      </c>
      <c r="D931" s="9">
        <v>44778</v>
      </c>
      <c r="E931" s="14">
        <f>VLOOKUP(F931,CarrierID!A:B,2,0)</f>
        <v>3</v>
      </c>
      <c r="F931" s="15" t="s">
        <v>6</v>
      </c>
      <c r="G931" t="str">
        <f>VLOOKUP(F931,Carrier_Category!A:B,2,0)</f>
        <v>Commuter</v>
      </c>
      <c r="H931" s="5">
        <v>137</v>
      </c>
      <c r="I931" s="7">
        <f t="shared" si="46"/>
        <v>139</v>
      </c>
      <c r="J931" s="5">
        <v>4596</v>
      </c>
      <c r="K931" s="18">
        <f t="shared" si="45"/>
        <v>33.54744525547445</v>
      </c>
    </row>
    <row r="932" spans="1:11" x14ac:dyDescent="0.3">
      <c r="A932" s="14">
        <v>2022</v>
      </c>
      <c r="B932" s="14">
        <f t="shared" si="44"/>
        <v>31</v>
      </c>
      <c r="C932" s="9">
        <v>44774</v>
      </c>
      <c r="D932" s="9">
        <v>44778</v>
      </c>
      <c r="E932" s="14">
        <f>VLOOKUP(F932,CarrierID!A:B,2,0)</f>
        <v>12</v>
      </c>
      <c r="F932" s="15" t="s">
        <v>25</v>
      </c>
      <c r="G932" t="str">
        <f>VLOOKUP(F932,Carrier_Category!A:B,2,0)</f>
        <v>Commuter</v>
      </c>
      <c r="H932" s="5">
        <v>19</v>
      </c>
      <c r="I932" s="7">
        <f t="shared" si="46"/>
        <v>19</v>
      </c>
      <c r="J932" s="5">
        <v>486</v>
      </c>
      <c r="K932" s="18">
        <f t="shared" si="45"/>
        <v>25.578947368421051</v>
      </c>
    </row>
    <row r="933" spans="1:11" x14ac:dyDescent="0.3">
      <c r="A933" s="14">
        <v>2022</v>
      </c>
      <c r="B933" s="14">
        <f t="shared" si="44"/>
        <v>31</v>
      </c>
      <c r="C933" s="9">
        <v>44774</v>
      </c>
      <c r="D933" s="9">
        <v>44778</v>
      </c>
      <c r="E933" s="14">
        <f>VLOOKUP(F933,CarrierID!A:B,2,0)</f>
        <v>10</v>
      </c>
      <c r="F933" s="15" t="s">
        <v>8</v>
      </c>
      <c r="G933" t="str">
        <f>VLOOKUP(F933,Carrier_Category!A:B,2,0)</f>
        <v>Intercity</v>
      </c>
      <c r="H933" s="5">
        <v>31</v>
      </c>
      <c r="I933" s="7">
        <f t="shared" si="46"/>
        <v>30</v>
      </c>
      <c r="J933" s="5">
        <v>984</v>
      </c>
      <c r="K933" s="18">
        <f t="shared" si="45"/>
        <v>31.741935483870968</v>
      </c>
    </row>
    <row r="934" spans="1:11" x14ac:dyDescent="0.3">
      <c r="A934" s="14">
        <v>2022</v>
      </c>
      <c r="B934" s="14">
        <f t="shared" si="44"/>
        <v>31</v>
      </c>
      <c r="C934" s="9">
        <v>44774</v>
      </c>
      <c r="D934" s="9">
        <v>44778</v>
      </c>
      <c r="E934" s="14">
        <f>VLOOKUP(F934,CarrierID!A:B,2,0)</f>
        <v>4</v>
      </c>
      <c r="F934" s="15" t="s">
        <v>24</v>
      </c>
      <c r="G934" t="str">
        <f>VLOOKUP(F934,Carrier_Category!A:B,2,0)</f>
        <v>Commuter</v>
      </c>
      <c r="H934" s="5">
        <v>36</v>
      </c>
      <c r="I934" s="7">
        <f t="shared" si="46"/>
        <v>35</v>
      </c>
      <c r="J934" s="5">
        <v>537</v>
      </c>
      <c r="K934" s="18">
        <f t="shared" si="45"/>
        <v>14.916666666666666</v>
      </c>
    </row>
    <row r="935" spans="1:11" x14ac:dyDescent="0.3">
      <c r="A935" s="14">
        <v>2022</v>
      </c>
      <c r="B935" s="14">
        <f t="shared" si="44"/>
        <v>31</v>
      </c>
      <c r="C935" s="9">
        <v>44774</v>
      </c>
      <c r="D935" s="9">
        <v>44778</v>
      </c>
      <c r="E935" s="14">
        <f>VLOOKUP(F935,CarrierID!A:B,2,0)</f>
        <v>6</v>
      </c>
      <c r="F935" s="15" t="s">
        <v>9</v>
      </c>
      <c r="G935" t="str">
        <f>VLOOKUP(F935,Carrier_Category!A:B,2,0)</f>
        <v>Commuter</v>
      </c>
      <c r="H935" s="5">
        <v>88</v>
      </c>
      <c r="I935" s="7">
        <f t="shared" si="46"/>
        <v>84</v>
      </c>
      <c r="J935" s="5">
        <v>1542</v>
      </c>
      <c r="K935" s="18">
        <f t="shared" si="45"/>
        <v>17.522727272727273</v>
      </c>
    </row>
    <row r="936" spans="1:11" x14ac:dyDescent="0.3">
      <c r="A936" s="14">
        <v>2022</v>
      </c>
      <c r="B936" s="14">
        <f t="shared" si="44"/>
        <v>32</v>
      </c>
      <c r="C936" s="9">
        <v>44781</v>
      </c>
      <c r="D936" s="9">
        <v>44785</v>
      </c>
      <c r="E936" s="14">
        <f>VLOOKUP(F936,CarrierID!A:B,2,0)</f>
        <v>1</v>
      </c>
      <c r="F936" s="15" t="s">
        <v>0</v>
      </c>
      <c r="G936" t="str">
        <f>VLOOKUP(F936,Carrier_Category!A:B,2,0)</f>
        <v>Commuter</v>
      </c>
      <c r="H936" s="5">
        <v>34</v>
      </c>
      <c r="I936" s="7">
        <f t="shared" si="46"/>
        <v>34</v>
      </c>
      <c r="J936" s="5">
        <v>1087</v>
      </c>
      <c r="K936" s="18">
        <f t="shared" si="45"/>
        <v>31.970588235294116</v>
      </c>
    </row>
    <row r="937" spans="1:11" x14ac:dyDescent="0.3">
      <c r="A937" s="14">
        <v>2022</v>
      </c>
      <c r="B937" s="14">
        <f t="shared" si="44"/>
        <v>32</v>
      </c>
      <c r="C937" s="9">
        <v>44781</v>
      </c>
      <c r="D937" s="9">
        <v>44785</v>
      </c>
      <c r="E937" s="14">
        <f>VLOOKUP(F937,CarrierID!A:B,2,0)</f>
        <v>5</v>
      </c>
      <c r="F937" s="15" t="s">
        <v>1</v>
      </c>
      <c r="G937" t="str">
        <f>VLOOKUP(F937,Carrier_Category!A:B,2,0)</f>
        <v>Intercity</v>
      </c>
      <c r="H937" s="5">
        <v>53</v>
      </c>
      <c r="I937" s="7">
        <f t="shared" si="46"/>
        <v>51</v>
      </c>
      <c r="J937" s="5">
        <v>1806</v>
      </c>
      <c r="K937" s="18">
        <f t="shared" si="45"/>
        <v>34.075471698113205</v>
      </c>
    </row>
    <row r="938" spans="1:11" x14ac:dyDescent="0.3">
      <c r="A938" s="14">
        <v>2022</v>
      </c>
      <c r="B938" s="14">
        <f t="shared" si="44"/>
        <v>32</v>
      </c>
      <c r="C938" s="9">
        <v>44781</v>
      </c>
      <c r="D938" s="9">
        <v>44785</v>
      </c>
      <c r="E938" s="14">
        <f>VLOOKUP(F938,CarrierID!A:B,2,0)</f>
        <v>8</v>
      </c>
      <c r="F938" s="15" t="s">
        <v>2</v>
      </c>
      <c r="G938" t="str">
        <f>VLOOKUP(F938,Carrier_Category!A:B,2,0)</f>
        <v>Commuter</v>
      </c>
      <c r="H938" s="5">
        <v>19</v>
      </c>
      <c r="I938" s="7">
        <f t="shared" si="46"/>
        <v>19</v>
      </c>
      <c r="J938" s="5">
        <v>798</v>
      </c>
      <c r="K938" s="18">
        <f t="shared" si="45"/>
        <v>42</v>
      </c>
    </row>
    <row r="939" spans="1:11" x14ac:dyDescent="0.3">
      <c r="A939" s="14">
        <v>2022</v>
      </c>
      <c r="B939" s="14">
        <f t="shared" si="44"/>
        <v>32</v>
      </c>
      <c r="C939" s="9">
        <v>44781</v>
      </c>
      <c r="D939" s="9">
        <v>44785</v>
      </c>
      <c r="E939" s="14">
        <f>VLOOKUP(F939,CarrierID!A:B,2,0)</f>
        <v>9</v>
      </c>
      <c r="F939" s="15" t="s">
        <v>3</v>
      </c>
      <c r="G939" t="str">
        <f>VLOOKUP(F939,Carrier_Category!A:B,2,0)</f>
        <v>NJT</v>
      </c>
      <c r="H939" s="5">
        <v>2186</v>
      </c>
      <c r="I939" s="7">
        <f t="shared" si="46"/>
        <v>2202</v>
      </c>
      <c r="J939" s="5">
        <v>60754</v>
      </c>
      <c r="K939" s="18">
        <f t="shared" si="45"/>
        <v>27.792314730100639</v>
      </c>
    </row>
    <row r="940" spans="1:11" x14ac:dyDescent="0.3">
      <c r="A940" s="14">
        <v>2022</v>
      </c>
      <c r="B940" s="14">
        <f t="shared" si="44"/>
        <v>32</v>
      </c>
      <c r="C940" s="9">
        <v>44781</v>
      </c>
      <c r="D940" s="9">
        <v>44785</v>
      </c>
      <c r="E940" s="14">
        <f>VLOOKUP(F940,CarrierID!A:B,2,0)</f>
        <v>7</v>
      </c>
      <c r="F940" s="15" t="s">
        <v>4</v>
      </c>
      <c r="G940" t="str">
        <f>VLOOKUP(F940,Carrier_Category!A:B,2,0)</f>
        <v>Commuter</v>
      </c>
      <c r="H940" s="5">
        <v>29</v>
      </c>
      <c r="I940" s="7">
        <f t="shared" si="46"/>
        <v>29</v>
      </c>
      <c r="J940" s="5">
        <v>1062</v>
      </c>
      <c r="K940" s="18">
        <f t="shared" si="45"/>
        <v>36.620689655172413</v>
      </c>
    </row>
    <row r="941" spans="1:11" x14ac:dyDescent="0.3">
      <c r="A941" s="14">
        <v>2022</v>
      </c>
      <c r="B941" s="14">
        <f t="shared" si="44"/>
        <v>32</v>
      </c>
      <c r="C941" s="9">
        <v>44781</v>
      </c>
      <c r="D941" s="9">
        <v>44785</v>
      </c>
      <c r="E941" s="14">
        <f>VLOOKUP(F941,CarrierID!A:B,2,0)</f>
        <v>11</v>
      </c>
      <c r="F941" s="15" t="s">
        <v>5</v>
      </c>
      <c r="G941" t="str">
        <f>VLOOKUP(F941,Carrier_Category!A:B,2,0)</f>
        <v>Intercity</v>
      </c>
      <c r="H941" s="5">
        <v>27</v>
      </c>
      <c r="I941" s="7">
        <f t="shared" si="46"/>
        <v>25</v>
      </c>
      <c r="J941" s="5">
        <v>594</v>
      </c>
      <c r="K941" s="18">
        <f t="shared" si="45"/>
        <v>22</v>
      </c>
    </row>
    <row r="942" spans="1:11" x14ac:dyDescent="0.3">
      <c r="A942" s="14">
        <v>2022</v>
      </c>
      <c r="B942" s="14">
        <f t="shared" si="44"/>
        <v>32</v>
      </c>
      <c r="C942" s="9">
        <v>44781</v>
      </c>
      <c r="D942" s="9">
        <v>44785</v>
      </c>
      <c r="E942" s="14">
        <f>VLOOKUP(F942,CarrierID!A:B,2,0)</f>
        <v>3</v>
      </c>
      <c r="F942" s="15" t="s">
        <v>6</v>
      </c>
      <c r="G942" t="str">
        <f>VLOOKUP(F942,Carrier_Category!A:B,2,0)</f>
        <v>Commuter</v>
      </c>
      <c r="H942" s="5">
        <v>139</v>
      </c>
      <c r="I942" s="7">
        <f t="shared" si="46"/>
        <v>137</v>
      </c>
      <c r="J942" s="5">
        <v>4464</v>
      </c>
      <c r="K942" s="18">
        <f t="shared" si="45"/>
        <v>32.115107913669064</v>
      </c>
    </row>
    <row r="943" spans="1:11" x14ac:dyDescent="0.3">
      <c r="A943" s="14">
        <v>2022</v>
      </c>
      <c r="B943" s="14">
        <f t="shared" si="44"/>
        <v>32</v>
      </c>
      <c r="C943" s="9">
        <v>44781</v>
      </c>
      <c r="D943" s="9">
        <v>44785</v>
      </c>
      <c r="E943" s="14">
        <f>VLOOKUP(F943,CarrierID!A:B,2,0)</f>
        <v>12</v>
      </c>
      <c r="F943" s="15" t="s">
        <v>25</v>
      </c>
      <c r="G943" t="str">
        <f>VLOOKUP(F943,Carrier_Category!A:B,2,0)</f>
        <v>Commuter</v>
      </c>
      <c r="H943" s="5">
        <v>19</v>
      </c>
      <c r="I943" s="7">
        <f t="shared" si="46"/>
        <v>19</v>
      </c>
      <c r="J943" s="5">
        <v>456</v>
      </c>
      <c r="K943" s="18">
        <f t="shared" si="45"/>
        <v>24</v>
      </c>
    </row>
    <row r="944" spans="1:11" x14ac:dyDescent="0.3">
      <c r="A944" s="14">
        <v>2022</v>
      </c>
      <c r="B944" s="14">
        <f t="shared" si="44"/>
        <v>32</v>
      </c>
      <c r="C944" s="9">
        <v>44781</v>
      </c>
      <c r="D944" s="9">
        <v>44785</v>
      </c>
      <c r="E944" s="14">
        <f>VLOOKUP(F944,CarrierID!A:B,2,0)</f>
        <v>10</v>
      </c>
      <c r="F944" s="15" t="s">
        <v>8</v>
      </c>
      <c r="G944" t="str">
        <f>VLOOKUP(F944,Carrier_Category!A:B,2,0)</f>
        <v>Intercity</v>
      </c>
      <c r="H944" s="5">
        <v>31</v>
      </c>
      <c r="I944" s="7">
        <f t="shared" si="46"/>
        <v>31</v>
      </c>
      <c r="J944" s="5">
        <v>1066</v>
      </c>
      <c r="K944" s="18">
        <f t="shared" si="45"/>
        <v>34.387096774193552</v>
      </c>
    </row>
    <row r="945" spans="1:11" x14ac:dyDescent="0.3">
      <c r="A945" s="14">
        <v>2022</v>
      </c>
      <c r="B945" s="14">
        <f t="shared" si="44"/>
        <v>32</v>
      </c>
      <c r="C945" s="9">
        <v>44781</v>
      </c>
      <c r="D945" s="9">
        <v>44785</v>
      </c>
      <c r="E945" s="14">
        <f>VLOOKUP(F945,CarrierID!A:B,2,0)</f>
        <v>4</v>
      </c>
      <c r="F945" s="15" t="s">
        <v>24</v>
      </c>
      <c r="G945" t="str">
        <f>VLOOKUP(F945,Carrier_Category!A:B,2,0)</f>
        <v>Commuter</v>
      </c>
      <c r="H945" s="5">
        <v>36</v>
      </c>
      <c r="I945" s="7">
        <f t="shared" si="46"/>
        <v>36</v>
      </c>
      <c r="J945" s="5">
        <v>534</v>
      </c>
      <c r="K945" s="18">
        <f t="shared" si="45"/>
        <v>14.833333333333334</v>
      </c>
    </row>
    <row r="946" spans="1:11" x14ac:dyDescent="0.3">
      <c r="A946" s="14">
        <v>2022</v>
      </c>
      <c r="B946" s="14">
        <f t="shared" si="44"/>
        <v>32</v>
      </c>
      <c r="C946" s="9">
        <v>44781</v>
      </c>
      <c r="D946" s="9">
        <v>44785</v>
      </c>
      <c r="E946" s="14">
        <f>VLOOKUP(F946,CarrierID!A:B,2,0)</f>
        <v>6</v>
      </c>
      <c r="F946" s="15" t="s">
        <v>9</v>
      </c>
      <c r="G946" t="str">
        <f>VLOOKUP(F946,Carrier_Category!A:B,2,0)</f>
        <v>Commuter</v>
      </c>
      <c r="H946" s="5">
        <v>85</v>
      </c>
      <c r="I946" s="7">
        <f t="shared" si="46"/>
        <v>88</v>
      </c>
      <c r="J946" s="5">
        <v>1478</v>
      </c>
      <c r="K946" s="18">
        <f t="shared" si="45"/>
        <v>17.388235294117646</v>
      </c>
    </row>
    <row r="947" spans="1:11" x14ac:dyDescent="0.3">
      <c r="A947" s="14">
        <v>2022</v>
      </c>
      <c r="B947" s="14">
        <f t="shared" si="44"/>
        <v>33</v>
      </c>
      <c r="C947" s="9">
        <v>44788</v>
      </c>
      <c r="D947" s="9">
        <v>44792</v>
      </c>
      <c r="E947" s="14">
        <f>VLOOKUP(F947,CarrierID!A:B,2,0)</f>
        <v>1</v>
      </c>
      <c r="F947" s="15" t="s">
        <v>0</v>
      </c>
      <c r="G947" t="str">
        <f>VLOOKUP(F947,Carrier_Category!A:B,2,0)</f>
        <v>Commuter</v>
      </c>
      <c r="H947" s="5">
        <v>34</v>
      </c>
      <c r="I947" s="7">
        <f t="shared" si="46"/>
        <v>34</v>
      </c>
      <c r="J947" s="5">
        <v>1072</v>
      </c>
      <c r="K947" s="18">
        <f t="shared" si="45"/>
        <v>31.529411764705884</v>
      </c>
    </row>
    <row r="948" spans="1:11" x14ac:dyDescent="0.3">
      <c r="A948" s="14">
        <v>2022</v>
      </c>
      <c r="B948" s="14">
        <f t="shared" si="44"/>
        <v>33</v>
      </c>
      <c r="C948" s="9">
        <v>44788</v>
      </c>
      <c r="D948" s="9">
        <v>44792</v>
      </c>
      <c r="E948" s="14">
        <f>VLOOKUP(F948,CarrierID!A:B,2,0)</f>
        <v>5</v>
      </c>
      <c r="F948" s="15" t="s">
        <v>1</v>
      </c>
      <c r="G948" t="str">
        <f>VLOOKUP(F948,Carrier_Category!A:B,2,0)</f>
        <v>Intercity</v>
      </c>
      <c r="H948" s="5">
        <v>52</v>
      </c>
      <c r="I948" s="7">
        <f t="shared" si="46"/>
        <v>53</v>
      </c>
      <c r="J948" s="5">
        <v>1818</v>
      </c>
      <c r="K948" s="18">
        <f t="shared" si="45"/>
        <v>34.96153846153846</v>
      </c>
    </row>
    <row r="949" spans="1:11" x14ac:dyDescent="0.3">
      <c r="A949" s="14">
        <v>2022</v>
      </c>
      <c r="B949" s="14">
        <f t="shared" si="44"/>
        <v>33</v>
      </c>
      <c r="C949" s="9">
        <v>44788</v>
      </c>
      <c r="D949" s="9">
        <v>44792</v>
      </c>
      <c r="E949" s="14">
        <f>VLOOKUP(F949,CarrierID!A:B,2,0)</f>
        <v>8</v>
      </c>
      <c r="F949" s="15" t="s">
        <v>2</v>
      </c>
      <c r="G949" t="str">
        <f>VLOOKUP(F949,Carrier_Category!A:B,2,0)</f>
        <v>Commuter</v>
      </c>
      <c r="H949" s="5">
        <v>19</v>
      </c>
      <c r="I949" s="7">
        <f t="shared" si="46"/>
        <v>19</v>
      </c>
      <c r="J949" s="5">
        <v>774</v>
      </c>
      <c r="K949" s="18">
        <f t="shared" si="45"/>
        <v>40.736842105263158</v>
      </c>
    </row>
    <row r="950" spans="1:11" x14ac:dyDescent="0.3">
      <c r="A950" s="14">
        <v>2022</v>
      </c>
      <c r="B950" s="14">
        <f t="shared" si="44"/>
        <v>33</v>
      </c>
      <c r="C950" s="9">
        <v>44788</v>
      </c>
      <c r="D950" s="9">
        <v>44792</v>
      </c>
      <c r="E950" s="14">
        <f>VLOOKUP(F950,CarrierID!A:B,2,0)</f>
        <v>9</v>
      </c>
      <c r="F950" s="15" t="s">
        <v>3</v>
      </c>
      <c r="G950" t="str">
        <f>VLOOKUP(F950,Carrier_Category!A:B,2,0)</f>
        <v>NJT</v>
      </c>
      <c r="H950" s="5">
        <v>2189</v>
      </c>
      <c r="I950" s="7">
        <f t="shared" si="46"/>
        <v>2186</v>
      </c>
      <c r="J950" s="5">
        <v>60188</v>
      </c>
      <c r="K950" s="18">
        <f t="shared" si="45"/>
        <v>27.495660118775696</v>
      </c>
    </row>
    <row r="951" spans="1:11" x14ac:dyDescent="0.3">
      <c r="A951" s="14">
        <v>2022</v>
      </c>
      <c r="B951" s="14">
        <f t="shared" si="44"/>
        <v>33</v>
      </c>
      <c r="C951" s="9">
        <v>44788</v>
      </c>
      <c r="D951" s="9">
        <v>44792</v>
      </c>
      <c r="E951" s="14">
        <f>VLOOKUP(F951,CarrierID!A:B,2,0)</f>
        <v>7</v>
      </c>
      <c r="F951" s="15" t="s">
        <v>4</v>
      </c>
      <c r="G951" t="str">
        <f>VLOOKUP(F951,Carrier_Category!A:B,2,0)</f>
        <v>Commuter</v>
      </c>
      <c r="H951" s="5">
        <v>29</v>
      </c>
      <c r="I951" s="7">
        <f t="shared" si="46"/>
        <v>29</v>
      </c>
      <c r="J951" s="5">
        <v>1019</v>
      </c>
      <c r="K951" s="18">
        <f t="shared" si="45"/>
        <v>35.137931034482762</v>
      </c>
    </row>
    <row r="952" spans="1:11" x14ac:dyDescent="0.3">
      <c r="A952" s="14">
        <v>2022</v>
      </c>
      <c r="B952" s="14">
        <f t="shared" si="44"/>
        <v>33</v>
      </c>
      <c r="C952" s="9">
        <v>44788</v>
      </c>
      <c r="D952" s="9">
        <v>44792</v>
      </c>
      <c r="E952" s="14">
        <f>VLOOKUP(F952,CarrierID!A:B,2,0)</f>
        <v>11</v>
      </c>
      <c r="F952" s="15" t="s">
        <v>5</v>
      </c>
      <c r="G952" t="str">
        <f>VLOOKUP(F952,Carrier_Category!A:B,2,0)</f>
        <v>Intercity</v>
      </c>
      <c r="H952" s="5">
        <v>27</v>
      </c>
      <c r="I952" s="7">
        <f t="shared" si="46"/>
        <v>27</v>
      </c>
      <c r="J952" s="5">
        <v>668</v>
      </c>
      <c r="K952" s="18">
        <f t="shared" si="45"/>
        <v>24.74074074074074</v>
      </c>
    </row>
    <row r="953" spans="1:11" x14ac:dyDescent="0.3">
      <c r="A953" s="14">
        <v>2022</v>
      </c>
      <c r="B953" s="14">
        <f t="shared" si="44"/>
        <v>33</v>
      </c>
      <c r="C953" s="9">
        <v>44788</v>
      </c>
      <c r="D953" s="9">
        <v>44792</v>
      </c>
      <c r="E953" s="14">
        <f>VLOOKUP(F953,CarrierID!A:B,2,0)</f>
        <v>3</v>
      </c>
      <c r="F953" s="15" t="s">
        <v>6</v>
      </c>
      <c r="G953" t="str">
        <f>VLOOKUP(F953,Carrier_Category!A:B,2,0)</f>
        <v>Commuter</v>
      </c>
      <c r="H953" s="5">
        <v>138</v>
      </c>
      <c r="I953" s="7">
        <f t="shared" si="46"/>
        <v>139</v>
      </c>
      <c r="J953" s="5">
        <v>4457</v>
      </c>
      <c r="K953" s="18">
        <f t="shared" si="45"/>
        <v>32.29710144927536</v>
      </c>
    </row>
    <row r="954" spans="1:11" x14ac:dyDescent="0.3">
      <c r="A954" s="14">
        <v>2022</v>
      </c>
      <c r="B954" s="14">
        <f t="shared" si="44"/>
        <v>33</v>
      </c>
      <c r="C954" s="9">
        <v>44788</v>
      </c>
      <c r="D954" s="9">
        <v>44792</v>
      </c>
      <c r="E954" s="14">
        <f>VLOOKUP(F954,CarrierID!A:B,2,0)</f>
        <v>12</v>
      </c>
      <c r="F954" s="15" t="s">
        <v>25</v>
      </c>
      <c r="G954" t="str">
        <f>VLOOKUP(F954,Carrier_Category!A:B,2,0)</f>
        <v>Commuter</v>
      </c>
      <c r="H954" s="5">
        <v>19</v>
      </c>
      <c r="I954" s="7">
        <f t="shared" si="46"/>
        <v>19</v>
      </c>
      <c r="J954" s="5">
        <v>458</v>
      </c>
      <c r="K954" s="18">
        <f t="shared" si="45"/>
        <v>24.105263157894736</v>
      </c>
    </row>
    <row r="955" spans="1:11" x14ac:dyDescent="0.3">
      <c r="A955" s="14">
        <v>2022</v>
      </c>
      <c r="B955" s="14">
        <f t="shared" si="44"/>
        <v>33</v>
      </c>
      <c r="C955" s="9">
        <v>44788</v>
      </c>
      <c r="D955" s="9">
        <v>44792</v>
      </c>
      <c r="E955" s="14">
        <f>VLOOKUP(F955,CarrierID!A:B,2,0)</f>
        <v>10</v>
      </c>
      <c r="F955" s="15" t="s">
        <v>8</v>
      </c>
      <c r="G955" t="str">
        <f>VLOOKUP(F955,Carrier_Category!A:B,2,0)</f>
        <v>Intercity</v>
      </c>
      <c r="H955" s="5">
        <v>32</v>
      </c>
      <c r="I955" s="7">
        <f t="shared" si="46"/>
        <v>31</v>
      </c>
      <c r="J955" s="5">
        <v>1177</v>
      </c>
      <c r="K955" s="18">
        <f t="shared" si="45"/>
        <v>36.78125</v>
      </c>
    </row>
    <row r="956" spans="1:11" x14ac:dyDescent="0.3">
      <c r="A956" s="14">
        <v>2022</v>
      </c>
      <c r="B956" s="14">
        <f t="shared" si="44"/>
        <v>33</v>
      </c>
      <c r="C956" s="9">
        <v>44788</v>
      </c>
      <c r="D956" s="9">
        <v>44792</v>
      </c>
      <c r="E956" s="14">
        <f>VLOOKUP(F956,CarrierID!A:B,2,0)</f>
        <v>4</v>
      </c>
      <c r="F956" s="15" t="s">
        <v>24</v>
      </c>
      <c r="G956" t="str">
        <f>VLOOKUP(F956,Carrier_Category!A:B,2,0)</f>
        <v>Commuter</v>
      </c>
      <c r="H956" s="5">
        <v>36</v>
      </c>
      <c r="I956" s="7">
        <f t="shared" si="46"/>
        <v>36</v>
      </c>
      <c r="J956" s="5">
        <v>586</v>
      </c>
      <c r="K956" s="18">
        <f t="shared" si="45"/>
        <v>16.277777777777779</v>
      </c>
    </row>
    <row r="957" spans="1:11" x14ac:dyDescent="0.3">
      <c r="A957" s="14">
        <v>2022</v>
      </c>
      <c r="B957" s="14">
        <f t="shared" si="44"/>
        <v>33</v>
      </c>
      <c r="C957" s="9">
        <v>44788</v>
      </c>
      <c r="D957" s="9">
        <v>44792</v>
      </c>
      <c r="E957" s="14">
        <f>VLOOKUP(F957,CarrierID!A:B,2,0)</f>
        <v>6</v>
      </c>
      <c r="F957" s="15" t="s">
        <v>9</v>
      </c>
      <c r="G957" t="str">
        <f>VLOOKUP(F957,Carrier_Category!A:B,2,0)</f>
        <v>Commuter</v>
      </c>
      <c r="H957" s="5">
        <v>79</v>
      </c>
      <c r="I957" s="7">
        <f t="shared" si="46"/>
        <v>85</v>
      </c>
      <c r="J957" s="5">
        <v>1627</v>
      </c>
      <c r="K957" s="18">
        <f t="shared" si="45"/>
        <v>20.594936708860761</v>
      </c>
    </row>
    <row r="958" spans="1:11" x14ac:dyDescent="0.3">
      <c r="A958" s="14">
        <v>2022</v>
      </c>
      <c r="B958" s="14">
        <f t="shared" si="44"/>
        <v>34</v>
      </c>
      <c r="C958" s="9">
        <v>44795</v>
      </c>
      <c r="D958" s="9">
        <v>44799</v>
      </c>
      <c r="E958" s="14">
        <f>VLOOKUP(F958,CarrierID!A:B,2,0)</f>
        <v>1</v>
      </c>
      <c r="F958" s="15" t="s">
        <v>0</v>
      </c>
      <c r="G958" t="str">
        <f>VLOOKUP(F958,Carrier_Category!A:B,2,0)</f>
        <v>Commuter</v>
      </c>
      <c r="H958" s="5">
        <v>35</v>
      </c>
      <c r="I958" s="7">
        <f t="shared" si="46"/>
        <v>34</v>
      </c>
      <c r="J958" s="5">
        <v>1051</v>
      </c>
      <c r="K958" s="18">
        <f t="shared" si="45"/>
        <v>30.028571428571428</v>
      </c>
    </row>
    <row r="959" spans="1:11" x14ac:dyDescent="0.3">
      <c r="A959" s="14">
        <v>2022</v>
      </c>
      <c r="B959" s="14">
        <f t="shared" si="44"/>
        <v>34</v>
      </c>
      <c r="C959" s="9">
        <v>44795</v>
      </c>
      <c r="D959" s="9">
        <v>44799</v>
      </c>
      <c r="E959" s="14">
        <f>VLOOKUP(F959,CarrierID!A:B,2,0)</f>
        <v>5</v>
      </c>
      <c r="F959" s="15" t="s">
        <v>1</v>
      </c>
      <c r="G959" t="str">
        <f>VLOOKUP(F959,Carrier_Category!A:B,2,0)</f>
        <v>Intercity</v>
      </c>
      <c r="H959" s="5">
        <v>52</v>
      </c>
      <c r="I959" s="7">
        <f t="shared" si="46"/>
        <v>52</v>
      </c>
      <c r="J959" s="5">
        <v>1822</v>
      </c>
      <c r="K959" s="18">
        <f t="shared" si="45"/>
        <v>35.03846153846154</v>
      </c>
    </row>
    <row r="960" spans="1:11" x14ac:dyDescent="0.3">
      <c r="A960" s="14">
        <v>2022</v>
      </c>
      <c r="B960" s="14">
        <f t="shared" si="44"/>
        <v>34</v>
      </c>
      <c r="C960" s="9">
        <v>44795</v>
      </c>
      <c r="D960" s="9">
        <v>44799</v>
      </c>
      <c r="E960" s="14">
        <f>VLOOKUP(F960,CarrierID!A:B,2,0)</f>
        <v>8</v>
      </c>
      <c r="F960" s="15" t="s">
        <v>2</v>
      </c>
      <c r="G960" t="str">
        <f>VLOOKUP(F960,Carrier_Category!A:B,2,0)</f>
        <v>Commuter</v>
      </c>
      <c r="H960" s="5">
        <v>19</v>
      </c>
      <c r="I960" s="7">
        <f t="shared" si="46"/>
        <v>19</v>
      </c>
      <c r="J960" s="5">
        <v>783</v>
      </c>
      <c r="K960" s="18">
        <f t="shared" si="45"/>
        <v>41.210526315789473</v>
      </c>
    </row>
    <row r="961" spans="1:11" x14ac:dyDescent="0.3">
      <c r="A961" s="14">
        <v>2022</v>
      </c>
      <c r="B961" s="14">
        <f t="shared" si="44"/>
        <v>34</v>
      </c>
      <c r="C961" s="9">
        <v>44795</v>
      </c>
      <c r="D961" s="9">
        <v>44799</v>
      </c>
      <c r="E961" s="14">
        <f>VLOOKUP(F961,CarrierID!A:B,2,0)</f>
        <v>9</v>
      </c>
      <c r="F961" s="15" t="s">
        <v>3</v>
      </c>
      <c r="G961" t="str">
        <f>VLOOKUP(F961,Carrier_Category!A:B,2,0)</f>
        <v>NJT</v>
      </c>
      <c r="H961" s="5">
        <v>2187</v>
      </c>
      <c r="I961" s="7">
        <f t="shared" si="46"/>
        <v>2189</v>
      </c>
      <c r="J961" s="5">
        <v>59128</v>
      </c>
      <c r="K961" s="18">
        <f t="shared" si="45"/>
        <v>27.036122542295381</v>
      </c>
    </row>
    <row r="962" spans="1:11" x14ac:dyDescent="0.3">
      <c r="A962" s="14">
        <v>2022</v>
      </c>
      <c r="B962" s="14">
        <f t="shared" si="44"/>
        <v>34</v>
      </c>
      <c r="C962" s="9">
        <v>44795</v>
      </c>
      <c r="D962" s="9">
        <v>44799</v>
      </c>
      <c r="E962" s="14">
        <f>VLOOKUP(F962,CarrierID!A:B,2,0)</f>
        <v>7</v>
      </c>
      <c r="F962" s="15" t="s">
        <v>4</v>
      </c>
      <c r="G962" t="str">
        <f>VLOOKUP(F962,Carrier_Category!A:B,2,0)</f>
        <v>Commuter</v>
      </c>
      <c r="H962" s="5">
        <v>29</v>
      </c>
      <c r="I962" s="7">
        <f t="shared" si="46"/>
        <v>29</v>
      </c>
      <c r="J962" s="5">
        <v>1022</v>
      </c>
      <c r="K962" s="18">
        <f t="shared" si="45"/>
        <v>35.241379310344826</v>
      </c>
    </row>
    <row r="963" spans="1:11" x14ac:dyDescent="0.3">
      <c r="A963" s="14">
        <v>2022</v>
      </c>
      <c r="B963" s="14">
        <f t="shared" si="44"/>
        <v>34</v>
      </c>
      <c r="C963" s="9">
        <v>44795</v>
      </c>
      <c r="D963" s="9">
        <v>44799</v>
      </c>
      <c r="E963" s="14">
        <f>VLOOKUP(F963,CarrierID!A:B,2,0)</f>
        <v>11</v>
      </c>
      <c r="F963" s="15" t="s">
        <v>5</v>
      </c>
      <c r="G963" t="str">
        <f>VLOOKUP(F963,Carrier_Category!A:B,2,0)</f>
        <v>Intercity</v>
      </c>
      <c r="H963" s="5">
        <v>26</v>
      </c>
      <c r="I963" s="7">
        <f t="shared" si="46"/>
        <v>27</v>
      </c>
      <c r="J963" s="5">
        <v>698</v>
      </c>
      <c r="K963" s="18">
        <f t="shared" si="45"/>
        <v>26.846153846153847</v>
      </c>
    </row>
    <row r="964" spans="1:11" x14ac:dyDescent="0.3">
      <c r="A964" s="14">
        <v>2022</v>
      </c>
      <c r="B964" s="14">
        <f t="shared" si="44"/>
        <v>34</v>
      </c>
      <c r="C964" s="9">
        <v>44795</v>
      </c>
      <c r="D964" s="9">
        <v>44799</v>
      </c>
      <c r="E964" s="14">
        <f>VLOOKUP(F964,CarrierID!A:B,2,0)</f>
        <v>3</v>
      </c>
      <c r="F964" s="15" t="s">
        <v>6</v>
      </c>
      <c r="G964" t="str">
        <f>VLOOKUP(F964,Carrier_Category!A:B,2,0)</f>
        <v>Commuter</v>
      </c>
      <c r="H964" s="5">
        <v>136</v>
      </c>
      <c r="I964" s="7">
        <f t="shared" si="46"/>
        <v>138</v>
      </c>
      <c r="J964" s="5">
        <v>4347</v>
      </c>
      <c r="K964" s="18">
        <f t="shared" si="45"/>
        <v>31.963235294117649</v>
      </c>
    </row>
    <row r="965" spans="1:11" x14ac:dyDescent="0.3">
      <c r="A965" s="14">
        <v>2022</v>
      </c>
      <c r="B965" s="14">
        <f t="shared" ref="B965:B1028" si="47">_xlfn.ISOWEEKNUM(C965)</f>
        <v>34</v>
      </c>
      <c r="C965" s="9">
        <v>44795</v>
      </c>
      <c r="D965" s="9">
        <v>44799</v>
      </c>
      <c r="E965" s="14">
        <f>VLOOKUP(F965,CarrierID!A:B,2,0)</f>
        <v>12</v>
      </c>
      <c r="F965" s="15" t="s">
        <v>25</v>
      </c>
      <c r="G965" t="str">
        <f>VLOOKUP(F965,Carrier_Category!A:B,2,0)</f>
        <v>Commuter</v>
      </c>
      <c r="H965" s="5">
        <v>19</v>
      </c>
      <c r="I965" s="7">
        <f t="shared" si="46"/>
        <v>19</v>
      </c>
      <c r="J965" s="5">
        <v>422</v>
      </c>
      <c r="K965" s="18">
        <f t="shared" ref="K965:K1028" si="48">J965/H965</f>
        <v>22.210526315789473</v>
      </c>
    </row>
    <row r="966" spans="1:11" x14ac:dyDescent="0.3">
      <c r="A966" s="14">
        <v>2022</v>
      </c>
      <c r="B966" s="14">
        <f t="shared" si="47"/>
        <v>34</v>
      </c>
      <c r="C966" s="9">
        <v>44795</v>
      </c>
      <c r="D966" s="9">
        <v>44799</v>
      </c>
      <c r="E966" s="14">
        <f>VLOOKUP(F966,CarrierID!A:B,2,0)</f>
        <v>10</v>
      </c>
      <c r="F966" s="15" t="s">
        <v>8</v>
      </c>
      <c r="G966" t="str">
        <f>VLOOKUP(F966,Carrier_Category!A:B,2,0)</f>
        <v>Intercity</v>
      </c>
      <c r="H966" s="5">
        <v>32</v>
      </c>
      <c r="I966" s="7">
        <f t="shared" si="46"/>
        <v>32</v>
      </c>
      <c r="J966" s="5">
        <v>1161</v>
      </c>
      <c r="K966" s="18">
        <f t="shared" si="48"/>
        <v>36.28125</v>
      </c>
    </row>
    <row r="967" spans="1:11" x14ac:dyDescent="0.3">
      <c r="A967" s="14">
        <v>2022</v>
      </c>
      <c r="B967" s="14">
        <f t="shared" si="47"/>
        <v>34</v>
      </c>
      <c r="C967" s="9">
        <v>44795</v>
      </c>
      <c r="D967" s="9">
        <v>44799</v>
      </c>
      <c r="E967" s="14">
        <f>VLOOKUP(F967,CarrierID!A:B,2,0)</f>
        <v>4</v>
      </c>
      <c r="F967" s="15" t="s">
        <v>24</v>
      </c>
      <c r="G967" t="str">
        <f>VLOOKUP(F967,Carrier_Category!A:B,2,0)</f>
        <v>Commuter</v>
      </c>
      <c r="H967" s="5">
        <v>36</v>
      </c>
      <c r="I967" s="7">
        <f t="shared" si="46"/>
        <v>36</v>
      </c>
      <c r="J967" s="5">
        <v>552</v>
      </c>
      <c r="K967" s="18">
        <f t="shared" si="48"/>
        <v>15.333333333333334</v>
      </c>
    </row>
    <row r="968" spans="1:11" x14ac:dyDescent="0.3">
      <c r="A968" s="14">
        <v>2022</v>
      </c>
      <c r="B968" s="14">
        <f t="shared" si="47"/>
        <v>34</v>
      </c>
      <c r="C968" s="9">
        <v>44795</v>
      </c>
      <c r="D968" s="9">
        <v>44799</v>
      </c>
      <c r="E968" s="14">
        <f>VLOOKUP(F968,CarrierID!A:B,2,0)</f>
        <v>6</v>
      </c>
      <c r="F968" s="15" t="s">
        <v>9</v>
      </c>
      <c r="G968" t="str">
        <f>VLOOKUP(F968,Carrier_Category!A:B,2,0)</f>
        <v>Commuter</v>
      </c>
      <c r="H968" s="5">
        <v>87</v>
      </c>
      <c r="I968" s="7">
        <f t="shared" si="46"/>
        <v>79</v>
      </c>
      <c r="J968" s="5">
        <v>1579</v>
      </c>
      <c r="K968" s="18">
        <f t="shared" si="48"/>
        <v>18.149425287356323</v>
      </c>
    </row>
    <row r="969" spans="1:11" x14ac:dyDescent="0.3">
      <c r="A969" s="14">
        <v>2022</v>
      </c>
      <c r="B969" s="14">
        <f t="shared" si="47"/>
        <v>35</v>
      </c>
      <c r="C969" s="9">
        <v>44802</v>
      </c>
      <c r="D969" s="9">
        <v>44806</v>
      </c>
      <c r="E969" s="14">
        <f>VLOOKUP(F969,CarrierID!A:B,2,0)</f>
        <v>1</v>
      </c>
      <c r="F969" s="15" t="s">
        <v>0</v>
      </c>
      <c r="G969" t="str">
        <f>VLOOKUP(F969,Carrier_Category!A:B,2,0)</f>
        <v>Commuter</v>
      </c>
      <c r="H969" s="5">
        <v>35</v>
      </c>
      <c r="I969" s="7">
        <f t="shared" si="46"/>
        <v>35</v>
      </c>
      <c r="J969" s="5">
        <v>1008</v>
      </c>
      <c r="K969" s="18">
        <f t="shared" si="48"/>
        <v>28.8</v>
      </c>
    </row>
    <row r="970" spans="1:11" x14ac:dyDescent="0.3">
      <c r="A970" s="14">
        <v>2022</v>
      </c>
      <c r="B970" s="14">
        <f t="shared" si="47"/>
        <v>35</v>
      </c>
      <c r="C970" s="9">
        <v>44802</v>
      </c>
      <c r="D970" s="9">
        <v>44806</v>
      </c>
      <c r="E970" s="14">
        <f>VLOOKUP(F970,CarrierID!A:B,2,0)</f>
        <v>5</v>
      </c>
      <c r="F970" s="15" t="s">
        <v>1</v>
      </c>
      <c r="G970" t="str">
        <f>VLOOKUP(F970,Carrier_Category!A:B,2,0)</f>
        <v>Intercity</v>
      </c>
      <c r="H970" s="5">
        <v>52</v>
      </c>
      <c r="I970" s="7">
        <f t="shared" si="46"/>
        <v>52</v>
      </c>
      <c r="J970" s="5">
        <v>1672</v>
      </c>
      <c r="K970" s="18">
        <f t="shared" si="48"/>
        <v>32.153846153846153</v>
      </c>
    </row>
    <row r="971" spans="1:11" x14ac:dyDescent="0.3">
      <c r="A971" s="14">
        <v>2022</v>
      </c>
      <c r="B971" s="14">
        <f t="shared" si="47"/>
        <v>35</v>
      </c>
      <c r="C971" s="9">
        <v>44802</v>
      </c>
      <c r="D971" s="9">
        <v>44806</v>
      </c>
      <c r="E971" s="14">
        <f>VLOOKUP(F971,CarrierID!A:B,2,0)</f>
        <v>8</v>
      </c>
      <c r="F971" s="15" t="s">
        <v>2</v>
      </c>
      <c r="G971" t="str">
        <f>VLOOKUP(F971,Carrier_Category!A:B,2,0)</f>
        <v>Commuter</v>
      </c>
      <c r="H971" s="5">
        <v>19</v>
      </c>
      <c r="I971" s="7">
        <f t="shared" si="46"/>
        <v>19</v>
      </c>
      <c r="J971" s="5">
        <v>768</v>
      </c>
      <c r="K971" s="18">
        <f t="shared" si="48"/>
        <v>40.421052631578945</v>
      </c>
    </row>
    <row r="972" spans="1:11" x14ac:dyDescent="0.3">
      <c r="A972" s="14">
        <v>2022</v>
      </c>
      <c r="B972" s="14">
        <f t="shared" si="47"/>
        <v>35</v>
      </c>
      <c r="C972" s="9">
        <v>44802</v>
      </c>
      <c r="D972" s="9">
        <v>44806</v>
      </c>
      <c r="E972" s="14">
        <f>VLOOKUP(F972,CarrierID!A:B,2,0)</f>
        <v>9</v>
      </c>
      <c r="F972" s="15" t="s">
        <v>3</v>
      </c>
      <c r="G972" t="str">
        <f>VLOOKUP(F972,Carrier_Category!A:B,2,0)</f>
        <v>NJT</v>
      </c>
      <c r="H972" s="5">
        <v>2167</v>
      </c>
      <c r="I972" s="7">
        <f t="shared" si="46"/>
        <v>2187</v>
      </c>
      <c r="J972" s="5">
        <v>58197</v>
      </c>
      <c r="K972" s="18">
        <f t="shared" si="48"/>
        <v>26.856022150438395</v>
      </c>
    </row>
    <row r="973" spans="1:11" x14ac:dyDescent="0.3">
      <c r="A973" s="14">
        <v>2022</v>
      </c>
      <c r="B973" s="14">
        <f t="shared" si="47"/>
        <v>35</v>
      </c>
      <c r="C973" s="9">
        <v>44802</v>
      </c>
      <c r="D973" s="9">
        <v>44806</v>
      </c>
      <c r="E973" s="14">
        <f>VLOOKUP(F973,CarrierID!A:B,2,0)</f>
        <v>7</v>
      </c>
      <c r="F973" s="15" t="s">
        <v>4</v>
      </c>
      <c r="G973" t="str">
        <f>VLOOKUP(F973,Carrier_Category!A:B,2,0)</f>
        <v>Commuter</v>
      </c>
      <c r="H973" s="5">
        <v>29</v>
      </c>
      <c r="I973" s="7">
        <f t="shared" ref="I973:I1036" si="49">H962</f>
        <v>29</v>
      </c>
      <c r="J973" s="5">
        <v>983</v>
      </c>
      <c r="K973" s="18">
        <f t="shared" si="48"/>
        <v>33.896551724137929</v>
      </c>
    </row>
    <row r="974" spans="1:11" x14ac:dyDescent="0.3">
      <c r="A974" s="14">
        <v>2022</v>
      </c>
      <c r="B974" s="14">
        <f t="shared" si="47"/>
        <v>35</v>
      </c>
      <c r="C974" s="9">
        <v>44802</v>
      </c>
      <c r="D974" s="9">
        <v>44806</v>
      </c>
      <c r="E974" s="14">
        <f>VLOOKUP(F974,CarrierID!A:B,2,0)</f>
        <v>11</v>
      </c>
      <c r="F974" s="15" t="s">
        <v>5</v>
      </c>
      <c r="G974" t="str">
        <f>VLOOKUP(F974,Carrier_Category!A:B,2,0)</f>
        <v>Intercity</v>
      </c>
      <c r="H974" s="5">
        <v>26</v>
      </c>
      <c r="I974" s="7">
        <f t="shared" si="49"/>
        <v>26</v>
      </c>
      <c r="J974" s="5">
        <v>587</v>
      </c>
      <c r="K974" s="18">
        <f t="shared" si="48"/>
        <v>22.576923076923077</v>
      </c>
    </row>
    <row r="975" spans="1:11" x14ac:dyDescent="0.3">
      <c r="A975" s="14">
        <v>2022</v>
      </c>
      <c r="B975" s="14">
        <f t="shared" si="47"/>
        <v>35</v>
      </c>
      <c r="C975" s="9">
        <v>44802</v>
      </c>
      <c r="D975" s="9">
        <v>44806</v>
      </c>
      <c r="E975" s="14">
        <f>VLOOKUP(F975,CarrierID!A:B,2,0)</f>
        <v>3</v>
      </c>
      <c r="F975" s="15" t="s">
        <v>6</v>
      </c>
      <c r="G975" t="str">
        <f>VLOOKUP(F975,Carrier_Category!A:B,2,0)</f>
        <v>Commuter</v>
      </c>
      <c r="H975" s="5">
        <v>140</v>
      </c>
      <c r="I975" s="7">
        <f t="shared" si="49"/>
        <v>136</v>
      </c>
      <c r="J975" s="5">
        <v>4318</v>
      </c>
      <c r="K975" s="18">
        <f t="shared" si="48"/>
        <v>30.842857142857142</v>
      </c>
    </row>
    <row r="976" spans="1:11" x14ac:dyDescent="0.3">
      <c r="A976" s="14">
        <v>2022</v>
      </c>
      <c r="B976" s="14">
        <f t="shared" si="47"/>
        <v>35</v>
      </c>
      <c r="C976" s="9">
        <v>44802</v>
      </c>
      <c r="D976" s="9">
        <v>44806</v>
      </c>
      <c r="E976" s="14">
        <f>VLOOKUP(F976,CarrierID!A:B,2,0)</f>
        <v>12</v>
      </c>
      <c r="F976" s="15" t="s">
        <v>25</v>
      </c>
      <c r="G976" t="str">
        <f>VLOOKUP(F976,Carrier_Category!A:B,2,0)</f>
        <v>Commuter</v>
      </c>
      <c r="H976" s="5">
        <v>19</v>
      </c>
      <c r="I976" s="7">
        <f t="shared" si="49"/>
        <v>19</v>
      </c>
      <c r="J976" s="5">
        <v>420</v>
      </c>
      <c r="K976" s="18">
        <f t="shared" si="48"/>
        <v>22.105263157894736</v>
      </c>
    </row>
    <row r="977" spans="1:11" x14ac:dyDescent="0.3">
      <c r="A977" s="14">
        <v>2022</v>
      </c>
      <c r="B977" s="14">
        <f t="shared" si="47"/>
        <v>35</v>
      </c>
      <c r="C977" s="9">
        <v>44802</v>
      </c>
      <c r="D977" s="9">
        <v>44806</v>
      </c>
      <c r="E977" s="14">
        <f>VLOOKUP(F977,CarrierID!A:B,2,0)</f>
        <v>10</v>
      </c>
      <c r="F977" s="15" t="s">
        <v>8</v>
      </c>
      <c r="G977" t="str">
        <f>VLOOKUP(F977,Carrier_Category!A:B,2,0)</f>
        <v>Intercity</v>
      </c>
      <c r="H977" s="5">
        <v>31</v>
      </c>
      <c r="I977" s="7">
        <f t="shared" si="49"/>
        <v>32</v>
      </c>
      <c r="J977" s="5">
        <v>1002</v>
      </c>
      <c r="K977" s="18">
        <f t="shared" si="48"/>
        <v>32.322580645161288</v>
      </c>
    </row>
    <row r="978" spans="1:11" x14ac:dyDescent="0.3">
      <c r="A978" s="14">
        <v>2022</v>
      </c>
      <c r="B978" s="14">
        <f t="shared" si="47"/>
        <v>35</v>
      </c>
      <c r="C978" s="9">
        <v>44802</v>
      </c>
      <c r="D978" s="9">
        <v>44806</v>
      </c>
      <c r="E978" s="14">
        <f>VLOOKUP(F978,CarrierID!A:B,2,0)</f>
        <v>4</v>
      </c>
      <c r="F978" s="15" t="s">
        <v>24</v>
      </c>
      <c r="G978" t="str">
        <f>VLOOKUP(F978,Carrier_Category!A:B,2,0)</f>
        <v>Commuter</v>
      </c>
      <c r="H978" s="5">
        <v>36</v>
      </c>
      <c r="I978" s="7">
        <f t="shared" si="49"/>
        <v>36</v>
      </c>
      <c r="J978" s="5">
        <v>521</v>
      </c>
      <c r="K978" s="18">
        <f t="shared" si="48"/>
        <v>14.472222222222221</v>
      </c>
    </row>
    <row r="979" spans="1:11" x14ac:dyDescent="0.3">
      <c r="A979" s="14">
        <v>2022</v>
      </c>
      <c r="B979" s="14">
        <f t="shared" si="47"/>
        <v>35</v>
      </c>
      <c r="C979" s="9">
        <v>44802</v>
      </c>
      <c r="D979" s="9">
        <v>44806</v>
      </c>
      <c r="E979" s="14">
        <f>VLOOKUP(F979,CarrierID!A:B,2,0)</f>
        <v>6</v>
      </c>
      <c r="F979" s="15" t="s">
        <v>9</v>
      </c>
      <c r="G979" t="str">
        <f>VLOOKUP(F979,Carrier_Category!A:B,2,0)</f>
        <v>Commuter</v>
      </c>
      <c r="H979" s="5">
        <v>88</v>
      </c>
      <c r="I979" s="7">
        <f t="shared" si="49"/>
        <v>87</v>
      </c>
      <c r="J979" s="5">
        <v>1583</v>
      </c>
      <c r="K979" s="18">
        <f t="shared" si="48"/>
        <v>17.988636363636363</v>
      </c>
    </row>
    <row r="980" spans="1:11" x14ac:dyDescent="0.3">
      <c r="A980" s="14">
        <v>2022</v>
      </c>
      <c r="B980" s="14">
        <f t="shared" si="47"/>
        <v>36</v>
      </c>
      <c r="C980" s="9">
        <v>44809</v>
      </c>
      <c r="D980" s="9">
        <v>44813</v>
      </c>
      <c r="E980" s="14">
        <f>VLOOKUP(F980,CarrierID!A:B,2,0)</f>
        <v>1</v>
      </c>
      <c r="F980" s="15" t="s">
        <v>0</v>
      </c>
      <c r="G980" t="str">
        <f>VLOOKUP(F980,Carrier_Category!A:B,2,0)</f>
        <v>Commuter</v>
      </c>
      <c r="H980" s="5">
        <v>33</v>
      </c>
      <c r="I980" s="7">
        <f t="shared" si="49"/>
        <v>35</v>
      </c>
      <c r="J980" s="5">
        <v>1120</v>
      </c>
      <c r="K980" s="18">
        <f t="shared" si="48"/>
        <v>33.939393939393938</v>
      </c>
    </row>
    <row r="981" spans="1:11" x14ac:dyDescent="0.3">
      <c r="A981" s="14">
        <v>2022</v>
      </c>
      <c r="B981" s="14">
        <f t="shared" si="47"/>
        <v>36</v>
      </c>
      <c r="C981" s="9">
        <v>44809</v>
      </c>
      <c r="D981" s="9">
        <v>44813</v>
      </c>
      <c r="E981" s="14">
        <f>VLOOKUP(F981,CarrierID!A:B,2,0)</f>
        <v>5</v>
      </c>
      <c r="F981" s="15" t="s">
        <v>1</v>
      </c>
      <c r="G981" t="str">
        <f>VLOOKUP(F981,Carrier_Category!A:B,2,0)</f>
        <v>Intercity</v>
      </c>
      <c r="H981" s="5">
        <v>50</v>
      </c>
      <c r="I981" s="7">
        <f t="shared" si="49"/>
        <v>52</v>
      </c>
      <c r="J981" s="5">
        <v>1505</v>
      </c>
      <c r="K981" s="18">
        <f t="shared" si="48"/>
        <v>30.1</v>
      </c>
    </row>
    <row r="982" spans="1:11" x14ac:dyDescent="0.3">
      <c r="A982" s="14">
        <v>2022</v>
      </c>
      <c r="B982" s="14">
        <f t="shared" si="47"/>
        <v>36</v>
      </c>
      <c r="C982" s="9">
        <v>44809</v>
      </c>
      <c r="D982" s="9">
        <v>44813</v>
      </c>
      <c r="E982" s="14">
        <f>VLOOKUP(F982,CarrierID!A:B,2,0)</f>
        <v>8</v>
      </c>
      <c r="F982" s="15" t="s">
        <v>2</v>
      </c>
      <c r="G982" t="str">
        <f>VLOOKUP(F982,Carrier_Category!A:B,2,0)</f>
        <v>Commuter</v>
      </c>
      <c r="H982" s="5">
        <v>20</v>
      </c>
      <c r="I982" s="7">
        <f t="shared" si="49"/>
        <v>19</v>
      </c>
      <c r="J982" s="5">
        <v>851</v>
      </c>
      <c r="K982" s="18">
        <f t="shared" si="48"/>
        <v>42.55</v>
      </c>
    </row>
    <row r="983" spans="1:11" x14ac:dyDescent="0.3">
      <c r="A983" s="14">
        <v>2022</v>
      </c>
      <c r="B983" s="14">
        <f t="shared" si="47"/>
        <v>36</v>
      </c>
      <c r="C983" s="9">
        <v>44809</v>
      </c>
      <c r="D983" s="9">
        <v>44813</v>
      </c>
      <c r="E983" s="14">
        <f>VLOOKUP(F983,CarrierID!A:B,2,0)</f>
        <v>9</v>
      </c>
      <c r="F983" s="15" t="s">
        <v>3</v>
      </c>
      <c r="G983" t="str">
        <f>VLOOKUP(F983,Carrier_Category!A:B,2,0)</f>
        <v>NJT</v>
      </c>
      <c r="H983" s="5">
        <v>2185</v>
      </c>
      <c r="I983" s="7">
        <f t="shared" si="49"/>
        <v>2167</v>
      </c>
      <c r="J983" s="5">
        <v>63179</v>
      </c>
      <c r="K983" s="18">
        <f t="shared" si="48"/>
        <v>28.914874141876432</v>
      </c>
    </row>
    <row r="984" spans="1:11" x14ac:dyDescent="0.3">
      <c r="A984" s="14">
        <v>2022</v>
      </c>
      <c r="B984" s="14">
        <f t="shared" si="47"/>
        <v>36</v>
      </c>
      <c r="C984" s="9">
        <v>44809</v>
      </c>
      <c r="D984" s="9">
        <v>44813</v>
      </c>
      <c r="E984" s="14">
        <f>VLOOKUP(F984,CarrierID!A:B,2,0)</f>
        <v>7</v>
      </c>
      <c r="F984" s="15" t="s">
        <v>4</v>
      </c>
      <c r="G984" t="str">
        <f>VLOOKUP(F984,Carrier_Category!A:B,2,0)</f>
        <v>Commuter</v>
      </c>
      <c r="H984" s="5">
        <v>29</v>
      </c>
      <c r="I984" s="7">
        <f t="shared" si="49"/>
        <v>29</v>
      </c>
      <c r="J984" s="5">
        <v>1114</v>
      </c>
      <c r="K984" s="18">
        <f t="shared" si="48"/>
        <v>38.413793103448278</v>
      </c>
    </row>
    <row r="985" spans="1:11" x14ac:dyDescent="0.3">
      <c r="A985" s="14">
        <v>2022</v>
      </c>
      <c r="B985" s="14">
        <f t="shared" si="47"/>
        <v>36</v>
      </c>
      <c r="C985" s="9">
        <v>44809</v>
      </c>
      <c r="D985" s="9">
        <v>44813</v>
      </c>
      <c r="E985" s="14">
        <f>VLOOKUP(F985,CarrierID!A:B,2,0)</f>
        <v>11</v>
      </c>
      <c r="F985" s="15" t="s">
        <v>5</v>
      </c>
      <c r="G985" t="str">
        <f>VLOOKUP(F985,Carrier_Category!A:B,2,0)</f>
        <v>Intercity</v>
      </c>
      <c r="H985" s="5">
        <v>26</v>
      </c>
      <c r="I985" s="7">
        <f t="shared" si="49"/>
        <v>26</v>
      </c>
      <c r="J985" s="5">
        <v>605</v>
      </c>
      <c r="K985" s="18">
        <f t="shared" si="48"/>
        <v>23.26923076923077</v>
      </c>
    </row>
    <row r="986" spans="1:11" x14ac:dyDescent="0.3">
      <c r="A986" s="14">
        <v>2022</v>
      </c>
      <c r="B986" s="14">
        <f t="shared" si="47"/>
        <v>36</v>
      </c>
      <c r="C986" s="9">
        <v>44809</v>
      </c>
      <c r="D986" s="9">
        <v>44813</v>
      </c>
      <c r="E986" s="14">
        <f>VLOOKUP(F986,CarrierID!A:B,2,0)</f>
        <v>3</v>
      </c>
      <c r="F986" s="15" t="s">
        <v>6</v>
      </c>
      <c r="G986" t="str">
        <f>VLOOKUP(F986,Carrier_Category!A:B,2,0)</f>
        <v>Commuter</v>
      </c>
      <c r="H986" s="5">
        <v>137</v>
      </c>
      <c r="I986" s="7">
        <f t="shared" si="49"/>
        <v>140</v>
      </c>
      <c r="J986" s="5">
        <v>4695</v>
      </c>
      <c r="K986" s="18">
        <f t="shared" si="48"/>
        <v>34.270072992700733</v>
      </c>
    </row>
    <row r="987" spans="1:11" x14ac:dyDescent="0.3">
      <c r="A987" s="14">
        <v>2022</v>
      </c>
      <c r="B987" s="14">
        <f t="shared" si="47"/>
        <v>36</v>
      </c>
      <c r="C987" s="9">
        <v>44809</v>
      </c>
      <c r="D987" s="9">
        <v>44813</v>
      </c>
      <c r="E987" s="14">
        <f>VLOOKUP(F987,CarrierID!A:B,2,0)</f>
        <v>12</v>
      </c>
      <c r="F987" s="15" t="s">
        <v>25</v>
      </c>
      <c r="G987" t="str">
        <f>VLOOKUP(F987,Carrier_Category!A:B,2,0)</f>
        <v>Commuter</v>
      </c>
      <c r="H987" s="5">
        <v>19</v>
      </c>
      <c r="I987" s="7">
        <f t="shared" si="49"/>
        <v>19</v>
      </c>
      <c r="J987" s="5">
        <v>553</v>
      </c>
      <c r="K987" s="18">
        <f t="shared" si="48"/>
        <v>29.105263157894736</v>
      </c>
    </row>
    <row r="988" spans="1:11" x14ac:dyDescent="0.3">
      <c r="A988" s="14">
        <v>2022</v>
      </c>
      <c r="B988" s="14">
        <f t="shared" si="47"/>
        <v>36</v>
      </c>
      <c r="C988" s="9">
        <v>44809</v>
      </c>
      <c r="D988" s="9">
        <v>44813</v>
      </c>
      <c r="E988" s="14">
        <f>VLOOKUP(F988,CarrierID!A:B,2,0)</f>
        <v>10</v>
      </c>
      <c r="F988" s="15" t="s">
        <v>8</v>
      </c>
      <c r="G988" t="str">
        <f>VLOOKUP(F988,Carrier_Category!A:B,2,0)</f>
        <v>Intercity</v>
      </c>
      <c r="H988" s="5">
        <v>32</v>
      </c>
      <c r="I988" s="7">
        <f t="shared" si="49"/>
        <v>31</v>
      </c>
      <c r="J988" s="5">
        <v>1107</v>
      </c>
      <c r="K988" s="18">
        <f t="shared" si="48"/>
        <v>34.59375</v>
      </c>
    </row>
    <row r="989" spans="1:11" x14ac:dyDescent="0.3">
      <c r="A989" s="14">
        <v>2022</v>
      </c>
      <c r="B989" s="14">
        <f t="shared" si="47"/>
        <v>36</v>
      </c>
      <c r="C989" s="9">
        <v>44809</v>
      </c>
      <c r="D989" s="9">
        <v>44813</v>
      </c>
      <c r="E989" s="14">
        <f>VLOOKUP(F989,CarrierID!A:B,2,0)</f>
        <v>4</v>
      </c>
      <c r="F989" s="15" t="s">
        <v>24</v>
      </c>
      <c r="G989" t="str">
        <f>VLOOKUP(F989,Carrier_Category!A:B,2,0)</f>
        <v>Commuter</v>
      </c>
      <c r="H989" s="5">
        <v>36</v>
      </c>
      <c r="I989" s="7">
        <f t="shared" si="49"/>
        <v>36</v>
      </c>
      <c r="J989" s="5">
        <v>561</v>
      </c>
      <c r="K989" s="18">
        <f t="shared" si="48"/>
        <v>15.583333333333334</v>
      </c>
    </row>
    <row r="990" spans="1:11" x14ac:dyDescent="0.3">
      <c r="A990" s="14">
        <v>2022</v>
      </c>
      <c r="B990" s="14">
        <f t="shared" si="47"/>
        <v>36</v>
      </c>
      <c r="C990" s="9">
        <v>44809</v>
      </c>
      <c r="D990" s="9">
        <v>44813</v>
      </c>
      <c r="E990" s="14">
        <f>VLOOKUP(F990,CarrierID!A:B,2,0)</f>
        <v>6</v>
      </c>
      <c r="F990" s="15" t="s">
        <v>9</v>
      </c>
      <c r="G990" t="str">
        <f>VLOOKUP(F990,Carrier_Category!A:B,2,0)</f>
        <v>Commuter</v>
      </c>
      <c r="H990" s="5">
        <v>71</v>
      </c>
      <c r="I990" s="7">
        <f t="shared" si="49"/>
        <v>88</v>
      </c>
      <c r="J990" s="5">
        <v>1494</v>
      </c>
      <c r="K990" s="18">
        <f t="shared" si="48"/>
        <v>21.04225352112676</v>
      </c>
    </row>
    <row r="991" spans="1:11" x14ac:dyDescent="0.3">
      <c r="A991" s="14">
        <v>2022</v>
      </c>
      <c r="B991" s="14">
        <f t="shared" si="47"/>
        <v>37</v>
      </c>
      <c r="C991" s="9">
        <v>44816</v>
      </c>
      <c r="D991" s="9">
        <v>44820</v>
      </c>
      <c r="E991" s="14">
        <f>VLOOKUP(F991,CarrierID!A:B,2,0)</f>
        <v>1</v>
      </c>
      <c r="F991" s="15" t="s">
        <v>0</v>
      </c>
      <c r="G991" t="str">
        <f>VLOOKUP(F991,Carrier_Category!A:B,2,0)</f>
        <v>Commuter</v>
      </c>
      <c r="H991" s="5">
        <v>37</v>
      </c>
      <c r="I991" s="7">
        <f t="shared" si="49"/>
        <v>33</v>
      </c>
      <c r="J991" s="5">
        <v>1296</v>
      </c>
      <c r="K991" s="18">
        <f t="shared" si="48"/>
        <v>35.027027027027025</v>
      </c>
    </row>
    <row r="992" spans="1:11" x14ac:dyDescent="0.3">
      <c r="A992" s="14">
        <v>2022</v>
      </c>
      <c r="B992" s="14">
        <f t="shared" si="47"/>
        <v>37</v>
      </c>
      <c r="C992" s="9">
        <v>44816</v>
      </c>
      <c r="D992" s="9">
        <v>44820</v>
      </c>
      <c r="E992" s="14">
        <f>VLOOKUP(F992,CarrierID!A:B,2,0)</f>
        <v>5</v>
      </c>
      <c r="F992" s="15" t="s">
        <v>1</v>
      </c>
      <c r="G992" t="str">
        <f>VLOOKUP(F992,Carrier_Category!A:B,2,0)</f>
        <v>Intercity</v>
      </c>
      <c r="H992" s="5">
        <v>50</v>
      </c>
      <c r="I992" s="7">
        <f t="shared" si="49"/>
        <v>50</v>
      </c>
      <c r="J992" s="5">
        <v>1386</v>
      </c>
      <c r="K992" s="18">
        <f t="shared" si="48"/>
        <v>27.72</v>
      </c>
    </row>
    <row r="993" spans="1:11" x14ac:dyDescent="0.3">
      <c r="A993" s="14">
        <v>2022</v>
      </c>
      <c r="B993" s="14">
        <f t="shared" si="47"/>
        <v>37</v>
      </c>
      <c r="C993" s="9">
        <v>44816</v>
      </c>
      <c r="D993" s="9">
        <v>44820</v>
      </c>
      <c r="E993" s="14">
        <f>VLOOKUP(F993,CarrierID!A:B,2,0)</f>
        <v>8</v>
      </c>
      <c r="F993" s="15" t="s">
        <v>2</v>
      </c>
      <c r="G993" t="str">
        <f>VLOOKUP(F993,Carrier_Category!A:B,2,0)</f>
        <v>Commuter</v>
      </c>
      <c r="H993" s="5">
        <v>21</v>
      </c>
      <c r="I993" s="7">
        <f t="shared" si="49"/>
        <v>20</v>
      </c>
      <c r="J993" s="5">
        <v>815</v>
      </c>
      <c r="K993" s="18">
        <f t="shared" si="48"/>
        <v>38.80952380952381</v>
      </c>
    </row>
    <row r="994" spans="1:11" x14ac:dyDescent="0.3">
      <c r="A994" s="14">
        <v>2022</v>
      </c>
      <c r="B994" s="14">
        <f t="shared" si="47"/>
        <v>37</v>
      </c>
      <c r="C994" s="9">
        <v>44816</v>
      </c>
      <c r="D994" s="9">
        <v>44820</v>
      </c>
      <c r="E994" s="14">
        <f>VLOOKUP(F994,CarrierID!A:B,2,0)</f>
        <v>9</v>
      </c>
      <c r="F994" s="15" t="s">
        <v>3</v>
      </c>
      <c r="G994" t="str">
        <f>VLOOKUP(F994,Carrier_Category!A:B,2,0)</f>
        <v>NJT</v>
      </c>
      <c r="H994" s="5">
        <v>2201</v>
      </c>
      <c r="I994" s="7">
        <f t="shared" si="49"/>
        <v>2185</v>
      </c>
      <c r="J994" s="5">
        <v>67696</v>
      </c>
      <c r="K994" s="18">
        <f t="shared" si="48"/>
        <v>30.756928668786916</v>
      </c>
    </row>
    <row r="995" spans="1:11" x14ac:dyDescent="0.3">
      <c r="A995" s="14">
        <v>2022</v>
      </c>
      <c r="B995" s="14">
        <f t="shared" si="47"/>
        <v>37</v>
      </c>
      <c r="C995" s="9">
        <v>44816</v>
      </c>
      <c r="D995" s="9">
        <v>44820</v>
      </c>
      <c r="E995" s="14">
        <f>VLOOKUP(F995,CarrierID!A:B,2,0)</f>
        <v>7</v>
      </c>
      <c r="F995" s="15" t="s">
        <v>4</v>
      </c>
      <c r="G995" t="str">
        <f>VLOOKUP(F995,Carrier_Category!A:B,2,0)</f>
        <v>Commuter</v>
      </c>
      <c r="H995" s="5">
        <v>29</v>
      </c>
      <c r="I995" s="7">
        <f t="shared" si="49"/>
        <v>29</v>
      </c>
      <c r="J995" s="5">
        <v>1197</v>
      </c>
      <c r="K995" s="18">
        <f t="shared" si="48"/>
        <v>41.275862068965516</v>
      </c>
    </row>
    <row r="996" spans="1:11" x14ac:dyDescent="0.3">
      <c r="A996" s="14">
        <v>2022</v>
      </c>
      <c r="B996" s="14">
        <f t="shared" si="47"/>
        <v>37</v>
      </c>
      <c r="C996" s="9">
        <v>44816</v>
      </c>
      <c r="D996" s="9">
        <v>44820</v>
      </c>
      <c r="E996" s="14">
        <f>VLOOKUP(F996,CarrierID!A:B,2,0)</f>
        <v>11</v>
      </c>
      <c r="F996" s="15" t="s">
        <v>5</v>
      </c>
      <c r="G996" t="str">
        <f>VLOOKUP(F996,Carrier_Category!A:B,2,0)</f>
        <v>Intercity</v>
      </c>
      <c r="H996" s="5">
        <v>25</v>
      </c>
      <c r="I996" s="7">
        <f t="shared" si="49"/>
        <v>26</v>
      </c>
      <c r="J996" s="5">
        <v>454</v>
      </c>
      <c r="K996" s="18">
        <f t="shared" si="48"/>
        <v>18.16</v>
      </c>
    </row>
    <row r="997" spans="1:11" x14ac:dyDescent="0.3">
      <c r="A997" s="14">
        <v>2022</v>
      </c>
      <c r="B997" s="14">
        <f t="shared" si="47"/>
        <v>37</v>
      </c>
      <c r="C997" s="9">
        <v>44816</v>
      </c>
      <c r="D997" s="9">
        <v>44820</v>
      </c>
      <c r="E997" s="14">
        <f>VLOOKUP(F997,CarrierID!A:B,2,0)</f>
        <v>3</v>
      </c>
      <c r="F997" s="15" t="s">
        <v>6</v>
      </c>
      <c r="G997" t="str">
        <f>VLOOKUP(F997,Carrier_Category!A:B,2,0)</f>
        <v>Commuter</v>
      </c>
      <c r="H997" s="5">
        <v>138</v>
      </c>
      <c r="I997" s="7">
        <f t="shared" si="49"/>
        <v>137</v>
      </c>
      <c r="J997" s="5">
        <v>5053</v>
      </c>
      <c r="K997" s="18">
        <f t="shared" si="48"/>
        <v>36.615942028985508</v>
      </c>
    </row>
    <row r="998" spans="1:11" x14ac:dyDescent="0.3">
      <c r="A998" s="14">
        <v>2022</v>
      </c>
      <c r="B998" s="14">
        <f t="shared" si="47"/>
        <v>37</v>
      </c>
      <c r="C998" s="9">
        <v>44816</v>
      </c>
      <c r="D998" s="9">
        <v>44820</v>
      </c>
      <c r="E998" s="14">
        <f>VLOOKUP(F998,CarrierID!A:B,2,0)</f>
        <v>12</v>
      </c>
      <c r="F998" s="15" t="s">
        <v>25</v>
      </c>
      <c r="G998" t="str">
        <f>VLOOKUP(F998,Carrier_Category!A:B,2,0)</f>
        <v>Commuter</v>
      </c>
      <c r="H998" s="5">
        <v>18</v>
      </c>
      <c r="I998" s="7">
        <f t="shared" si="49"/>
        <v>19</v>
      </c>
      <c r="J998" s="5">
        <v>509</v>
      </c>
      <c r="K998" s="18">
        <f t="shared" si="48"/>
        <v>28.277777777777779</v>
      </c>
    </row>
    <row r="999" spans="1:11" x14ac:dyDescent="0.3">
      <c r="A999" s="14">
        <v>2022</v>
      </c>
      <c r="B999" s="14">
        <f t="shared" si="47"/>
        <v>37</v>
      </c>
      <c r="C999" s="9">
        <v>44816</v>
      </c>
      <c r="D999" s="9">
        <v>44820</v>
      </c>
      <c r="E999" s="14">
        <f>VLOOKUP(F999,CarrierID!A:B,2,0)</f>
        <v>10</v>
      </c>
      <c r="F999" s="15" t="s">
        <v>8</v>
      </c>
      <c r="G999" t="str">
        <f>VLOOKUP(F999,Carrier_Category!A:B,2,0)</f>
        <v>Intercity</v>
      </c>
      <c r="H999" s="5">
        <v>26</v>
      </c>
      <c r="I999" s="7">
        <f t="shared" si="49"/>
        <v>32</v>
      </c>
      <c r="J999" s="5">
        <v>797</v>
      </c>
      <c r="K999" s="18">
        <f t="shared" si="48"/>
        <v>30.653846153846153</v>
      </c>
    </row>
    <row r="1000" spans="1:11" x14ac:dyDescent="0.3">
      <c r="A1000" s="14">
        <v>2022</v>
      </c>
      <c r="B1000" s="14">
        <f t="shared" si="47"/>
        <v>37</v>
      </c>
      <c r="C1000" s="9">
        <v>44816</v>
      </c>
      <c r="D1000" s="9">
        <v>44820</v>
      </c>
      <c r="E1000" s="14">
        <f>VLOOKUP(F1000,CarrierID!A:B,2,0)</f>
        <v>4</v>
      </c>
      <c r="F1000" s="15" t="s">
        <v>24</v>
      </c>
      <c r="G1000" t="str">
        <f>VLOOKUP(F1000,Carrier_Category!A:B,2,0)</f>
        <v>Commuter</v>
      </c>
      <c r="H1000" s="5">
        <v>36</v>
      </c>
      <c r="I1000" s="7">
        <f t="shared" si="49"/>
        <v>36</v>
      </c>
      <c r="J1000" s="5">
        <v>664</v>
      </c>
      <c r="K1000" s="18">
        <f t="shared" si="48"/>
        <v>18.444444444444443</v>
      </c>
    </row>
    <row r="1001" spans="1:11" x14ac:dyDescent="0.3">
      <c r="A1001" s="14">
        <v>2022</v>
      </c>
      <c r="B1001" s="14">
        <f t="shared" si="47"/>
        <v>37</v>
      </c>
      <c r="C1001" s="9">
        <v>44816</v>
      </c>
      <c r="D1001" s="9">
        <v>44820</v>
      </c>
      <c r="E1001" s="14">
        <f>VLOOKUP(F1001,CarrierID!A:B,2,0)</f>
        <v>6</v>
      </c>
      <c r="F1001" s="15" t="s">
        <v>9</v>
      </c>
      <c r="G1001" t="str">
        <f>VLOOKUP(F1001,Carrier_Category!A:B,2,0)</f>
        <v>Commuter</v>
      </c>
      <c r="H1001" s="5">
        <v>85</v>
      </c>
      <c r="I1001" s="7">
        <f t="shared" si="49"/>
        <v>71</v>
      </c>
      <c r="J1001" s="5">
        <v>1707</v>
      </c>
      <c r="K1001" s="18">
        <f t="shared" si="48"/>
        <v>20.08235294117647</v>
      </c>
    </row>
    <row r="1002" spans="1:11" x14ac:dyDescent="0.3">
      <c r="A1002" s="14">
        <v>2022</v>
      </c>
      <c r="B1002" s="14">
        <f t="shared" si="47"/>
        <v>38</v>
      </c>
      <c r="C1002" s="9">
        <v>44823</v>
      </c>
      <c r="D1002" s="9">
        <v>44827</v>
      </c>
      <c r="E1002" s="14">
        <f>VLOOKUP(F1002,CarrierID!A:B,2,0)</f>
        <v>1</v>
      </c>
      <c r="F1002" s="15" t="s">
        <v>0</v>
      </c>
      <c r="G1002" t="str">
        <f>VLOOKUP(F1002,Carrier_Category!A:B,2,0)</f>
        <v>Commuter</v>
      </c>
      <c r="H1002" s="5">
        <v>35</v>
      </c>
      <c r="I1002" s="7">
        <f t="shared" si="49"/>
        <v>37</v>
      </c>
      <c r="J1002" s="5">
        <v>1214</v>
      </c>
      <c r="K1002" s="18">
        <f t="shared" si="48"/>
        <v>34.685714285714283</v>
      </c>
    </row>
    <row r="1003" spans="1:11" x14ac:dyDescent="0.3">
      <c r="A1003" s="14">
        <v>2022</v>
      </c>
      <c r="B1003" s="14">
        <f t="shared" si="47"/>
        <v>38</v>
      </c>
      <c r="C1003" s="9">
        <v>44823</v>
      </c>
      <c r="D1003" s="9">
        <v>44827</v>
      </c>
      <c r="E1003" s="14">
        <f>VLOOKUP(F1003,CarrierID!A:B,2,0)</f>
        <v>5</v>
      </c>
      <c r="F1003" s="15" t="s">
        <v>1</v>
      </c>
      <c r="G1003" t="str">
        <f>VLOOKUP(F1003,Carrier_Category!A:B,2,0)</f>
        <v>Intercity</v>
      </c>
      <c r="H1003" s="5">
        <v>51</v>
      </c>
      <c r="I1003" s="7">
        <f t="shared" si="49"/>
        <v>50</v>
      </c>
      <c r="J1003" s="5">
        <v>1458</v>
      </c>
      <c r="K1003" s="18">
        <f t="shared" si="48"/>
        <v>28.588235294117649</v>
      </c>
    </row>
    <row r="1004" spans="1:11" x14ac:dyDescent="0.3">
      <c r="A1004" s="14">
        <v>2022</v>
      </c>
      <c r="B1004" s="14">
        <f t="shared" si="47"/>
        <v>38</v>
      </c>
      <c r="C1004" s="9">
        <v>44823</v>
      </c>
      <c r="D1004" s="9">
        <v>44827</v>
      </c>
      <c r="E1004" s="14">
        <f>VLOOKUP(F1004,CarrierID!A:B,2,0)</f>
        <v>8</v>
      </c>
      <c r="F1004" s="15" t="s">
        <v>2</v>
      </c>
      <c r="G1004" t="str">
        <f>VLOOKUP(F1004,Carrier_Category!A:B,2,0)</f>
        <v>Commuter</v>
      </c>
      <c r="H1004" s="5">
        <v>21</v>
      </c>
      <c r="I1004" s="7">
        <f t="shared" si="49"/>
        <v>21</v>
      </c>
      <c r="J1004" s="5">
        <v>811</v>
      </c>
      <c r="K1004" s="18">
        <f t="shared" si="48"/>
        <v>38.61904761904762</v>
      </c>
    </row>
    <row r="1005" spans="1:11" x14ac:dyDescent="0.3">
      <c r="A1005" s="14">
        <v>2022</v>
      </c>
      <c r="B1005" s="14">
        <f t="shared" si="47"/>
        <v>38</v>
      </c>
      <c r="C1005" s="9">
        <v>44823</v>
      </c>
      <c r="D1005" s="9">
        <v>44827</v>
      </c>
      <c r="E1005" s="14">
        <f>VLOOKUP(F1005,CarrierID!A:B,2,0)</f>
        <v>9</v>
      </c>
      <c r="F1005" s="15" t="s">
        <v>3</v>
      </c>
      <c r="G1005" t="str">
        <f>VLOOKUP(F1005,Carrier_Category!A:B,2,0)</f>
        <v>NJT</v>
      </c>
      <c r="H1005" s="5">
        <v>2165</v>
      </c>
      <c r="I1005" s="7">
        <f t="shared" si="49"/>
        <v>2201</v>
      </c>
      <c r="J1005" s="5">
        <v>68532</v>
      </c>
      <c r="K1005" s="18">
        <f t="shared" si="48"/>
        <v>31.654503464203234</v>
      </c>
    </row>
    <row r="1006" spans="1:11" x14ac:dyDescent="0.3">
      <c r="A1006" s="14">
        <v>2022</v>
      </c>
      <c r="B1006" s="14">
        <f t="shared" si="47"/>
        <v>38</v>
      </c>
      <c r="C1006" s="9">
        <v>44823</v>
      </c>
      <c r="D1006" s="9">
        <v>44827</v>
      </c>
      <c r="E1006" s="14">
        <f>VLOOKUP(F1006,CarrierID!A:B,2,0)</f>
        <v>7</v>
      </c>
      <c r="F1006" s="15" t="s">
        <v>4</v>
      </c>
      <c r="G1006" t="str">
        <f>VLOOKUP(F1006,Carrier_Category!A:B,2,0)</f>
        <v>Commuter</v>
      </c>
      <c r="H1006" s="5">
        <v>29</v>
      </c>
      <c r="I1006" s="7">
        <f t="shared" si="49"/>
        <v>29</v>
      </c>
      <c r="J1006" s="5">
        <v>1171</v>
      </c>
      <c r="K1006" s="18">
        <f t="shared" si="48"/>
        <v>40.379310344827587</v>
      </c>
    </row>
    <row r="1007" spans="1:11" x14ac:dyDescent="0.3">
      <c r="A1007" s="14">
        <v>2022</v>
      </c>
      <c r="B1007" s="14">
        <f t="shared" si="47"/>
        <v>38</v>
      </c>
      <c r="C1007" s="9">
        <v>44823</v>
      </c>
      <c r="D1007" s="9">
        <v>44827</v>
      </c>
      <c r="E1007" s="14">
        <f>VLOOKUP(F1007,CarrierID!A:B,2,0)</f>
        <v>11</v>
      </c>
      <c r="F1007" s="15" t="s">
        <v>5</v>
      </c>
      <c r="G1007" t="str">
        <f>VLOOKUP(F1007,Carrier_Category!A:B,2,0)</f>
        <v>Intercity</v>
      </c>
      <c r="H1007" s="5">
        <v>25</v>
      </c>
      <c r="I1007" s="7">
        <f t="shared" si="49"/>
        <v>25</v>
      </c>
      <c r="J1007" s="5">
        <v>461</v>
      </c>
      <c r="K1007" s="18">
        <f t="shared" si="48"/>
        <v>18.440000000000001</v>
      </c>
    </row>
    <row r="1008" spans="1:11" x14ac:dyDescent="0.3">
      <c r="A1008" s="14">
        <v>2022</v>
      </c>
      <c r="B1008" s="14">
        <f t="shared" si="47"/>
        <v>38</v>
      </c>
      <c r="C1008" s="9">
        <v>44823</v>
      </c>
      <c r="D1008" s="9">
        <v>44827</v>
      </c>
      <c r="E1008" s="14">
        <f>VLOOKUP(F1008,CarrierID!A:B,2,0)</f>
        <v>3</v>
      </c>
      <c r="F1008" s="15" t="s">
        <v>6</v>
      </c>
      <c r="G1008" t="str">
        <f>VLOOKUP(F1008,Carrier_Category!A:B,2,0)</f>
        <v>Commuter</v>
      </c>
      <c r="H1008" s="5">
        <v>141</v>
      </c>
      <c r="I1008" s="7">
        <f t="shared" si="49"/>
        <v>138</v>
      </c>
      <c r="J1008" s="5">
        <v>5014</v>
      </c>
      <c r="K1008" s="18">
        <f t="shared" si="48"/>
        <v>35.560283687943262</v>
      </c>
    </row>
    <row r="1009" spans="1:11" x14ac:dyDescent="0.3">
      <c r="A1009" s="14">
        <v>2022</v>
      </c>
      <c r="B1009" s="14">
        <f t="shared" si="47"/>
        <v>38</v>
      </c>
      <c r="C1009" s="9">
        <v>44823</v>
      </c>
      <c r="D1009" s="9">
        <v>44827</v>
      </c>
      <c r="E1009" s="14">
        <f>VLOOKUP(F1009,CarrierID!A:B,2,0)</f>
        <v>12</v>
      </c>
      <c r="F1009" s="15" t="s">
        <v>25</v>
      </c>
      <c r="G1009" t="str">
        <f>VLOOKUP(F1009,Carrier_Category!A:B,2,0)</f>
        <v>Commuter</v>
      </c>
      <c r="H1009" s="5">
        <v>19</v>
      </c>
      <c r="I1009" s="7">
        <f t="shared" si="49"/>
        <v>18</v>
      </c>
      <c r="J1009" s="5">
        <v>521</v>
      </c>
      <c r="K1009" s="18">
        <f t="shared" si="48"/>
        <v>27.421052631578949</v>
      </c>
    </row>
    <row r="1010" spans="1:11" x14ac:dyDescent="0.3">
      <c r="A1010" s="14">
        <v>2022</v>
      </c>
      <c r="B1010" s="14">
        <f t="shared" si="47"/>
        <v>38</v>
      </c>
      <c r="C1010" s="9">
        <v>44823</v>
      </c>
      <c r="D1010" s="9">
        <v>44827</v>
      </c>
      <c r="E1010" s="14">
        <f>VLOOKUP(F1010,CarrierID!A:B,2,0)</f>
        <v>10</v>
      </c>
      <c r="F1010" s="15" t="s">
        <v>8</v>
      </c>
      <c r="G1010" t="str">
        <f>VLOOKUP(F1010,Carrier_Category!A:B,2,0)</f>
        <v>Intercity</v>
      </c>
      <c r="H1010" s="5">
        <v>24</v>
      </c>
      <c r="I1010" s="7">
        <f t="shared" si="49"/>
        <v>26</v>
      </c>
      <c r="J1010" s="5">
        <v>798</v>
      </c>
      <c r="K1010" s="18">
        <f t="shared" si="48"/>
        <v>33.25</v>
      </c>
    </row>
    <row r="1011" spans="1:11" x14ac:dyDescent="0.3">
      <c r="A1011" s="14">
        <v>2022</v>
      </c>
      <c r="B1011" s="14">
        <f t="shared" si="47"/>
        <v>38</v>
      </c>
      <c r="C1011" s="9">
        <v>44823</v>
      </c>
      <c r="D1011" s="9">
        <v>44827</v>
      </c>
      <c r="E1011" s="14">
        <f>VLOOKUP(F1011,CarrierID!A:B,2,0)</f>
        <v>4</v>
      </c>
      <c r="F1011" s="15" t="s">
        <v>24</v>
      </c>
      <c r="G1011" t="str">
        <f>VLOOKUP(F1011,Carrier_Category!A:B,2,0)</f>
        <v>Commuter</v>
      </c>
      <c r="H1011" s="5">
        <v>36</v>
      </c>
      <c r="I1011" s="7">
        <f t="shared" si="49"/>
        <v>36</v>
      </c>
      <c r="J1011" s="5">
        <v>639</v>
      </c>
      <c r="K1011" s="18">
        <f t="shared" si="48"/>
        <v>17.75</v>
      </c>
    </row>
    <row r="1012" spans="1:11" x14ac:dyDescent="0.3">
      <c r="A1012" s="14">
        <v>2022</v>
      </c>
      <c r="B1012" s="14">
        <f t="shared" si="47"/>
        <v>38</v>
      </c>
      <c r="C1012" s="9">
        <v>44823</v>
      </c>
      <c r="D1012" s="9">
        <v>44827</v>
      </c>
      <c r="E1012" s="14">
        <f>VLOOKUP(F1012,CarrierID!A:B,2,0)</f>
        <v>6</v>
      </c>
      <c r="F1012" s="15" t="s">
        <v>9</v>
      </c>
      <c r="G1012" t="str">
        <f>VLOOKUP(F1012,Carrier_Category!A:B,2,0)</f>
        <v>Commuter</v>
      </c>
      <c r="H1012" s="5">
        <v>75</v>
      </c>
      <c r="I1012" s="7">
        <f t="shared" si="49"/>
        <v>85</v>
      </c>
      <c r="J1012" s="5">
        <v>1756</v>
      </c>
      <c r="K1012" s="18">
        <f t="shared" si="48"/>
        <v>23.413333333333334</v>
      </c>
    </row>
    <row r="1013" spans="1:11" x14ac:dyDescent="0.3">
      <c r="A1013" s="14">
        <v>2022</v>
      </c>
      <c r="B1013" s="14">
        <f t="shared" si="47"/>
        <v>39</v>
      </c>
      <c r="C1013" s="9">
        <v>44830</v>
      </c>
      <c r="D1013" s="9">
        <v>44834</v>
      </c>
      <c r="E1013" s="14">
        <f>VLOOKUP(F1013,CarrierID!A:B,2,0)</f>
        <v>1</v>
      </c>
      <c r="F1013" s="15" t="s">
        <v>0</v>
      </c>
      <c r="G1013" t="str">
        <f>VLOOKUP(F1013,Carrier_Category!A:B,2,0)</f>
        <v>Commuter</v>
      </c>
      <c r="H1013" s="5">
        <v>35</v>
      </c>
      <c r="I1013" s="7">
        <f t="shared" si="49"/>
        <v>35</v>
      </c>
      <c r="J1013" s="5">
        <v>1198</v>
      </c>
      <c r="K1013" s="18">
        <f t="shared" si="48"/>
        <v>34.228571428571428</v>
      </c>
    </row>
    <row r="1014" spans="1:11" x14ac:dyDescent="0.3">
      <c r="A1014" s="14">
        <v>2022</v>
      </c>
      <c r="B1014" s="14">
        <f t="shared" si="47"/>
        <v>39</v>
      </c>
      <c r="C1014" s="9">
        <v>44830</v>
      </c>
      <c r="D1014" s="9">
        <v>44834</v>
      </c>
      <c r="E1014" s="14">
        <f>VLOOKUP(F1014,CarrierID!A:B,2,0)</f>
        <v>5</v>
      </c>
      <c r="F1014" s="15" t="s">
        <v>1</v>
      </c>
      <c r="G1014" t="str">
        <f>VLOOKUP(F1014,Carrier_Category!A:B,2,0)</f>
        <v>Intercity</v>
      </c>
      <c r="H1014" s="5">
        <v>50</v>
      </c>
      <c r="I1014" s="7">
        <f t="shared" si="49"/>
        <v>51</v>
      </c>
      <c r="J1014" s="5">
        <v>1430</v>
      </c>
      <c r="K1014" s="18">
        <f t="shared" si="48"/>
        <v>28.6</v>
      </c>
    </row>
    <row r="1015" spans="1:11" x14ac:dyDescent="0.3">
      <c r="A1015" s="14">
        <v>2022</v>
      </c>
      <c r="B1015" s="14">
        <f t="shared" si="47"/>
        <v>39</v>
      </c>
      <c r="C1015" s="9">
        <v>44830</v>
      </c>
      <c r="D1015" s="9">
        <v>44834</v>
      </c>
      <c r="E1015" s="14">
        <f>VLOOKUP(F1015,CarrierID!A:B,2,0)</f>
        <v>8</v>
      </c>
      <c r="F1015" s="15" t="s">
        <v>2</v>
      </c>
      <c r="G1015" t="str">
        <f>VLOOKUP(F1015,Carrier_Category!A:B,2,0)</f>
        <v>Commuter</v>
      </c>
      <c r="H1015" s="5">
        <v>20</v>
      </c>
      <c r="I1015" s="7">
        <f t="shared" si="49"/>
        <v>21</v>
      </c>
      <c r="J1015" s="5">
        <v>789</v>
      </c>
      <c r="K1015" s="18">
        <f t="shared" si="48"/>
        <v>39.450000000000003</v>
      </c>
    </row>
    <row r="1016" spans="1:11" x14ac:dyDescent="0.3">
      <c r="A1016" s="14">
        <v>2022</v>
      </c>
      <c r="B1016" s="14">
        <f t="shared" si="47"/>
        <v>39</v>
      </c>
      <c r="C1016" s="9">
        <v>44830</v>
      </c>
      <c r="D1016" s="9">
        <v>44834</v>
      </c>
      <c r="E1016" s="14">
        <f>VLOOKUP(F1016,CarrierID!A:B,2,0)</f>
        <v>9</v>
      </c>
      <c r="F1016" s="15" t="s">
        <v>3</v>
      </c>
      <c r="G1016" t="str">
        <f>VLOOKUP(F1016,Carrier_Category!A:B,2,0)</f>
        <v>NJT</v>
      </c>
      <c r="H1016" s="5">
        <v>2214</v>
      </c>
      <c r="I1016" s="7">
        <f t="shared" si="49"/>
        <v>2165</v>
      </c>
      <c r="J1016" s="5">
        <v>65546</v>
      </c>
      <c r="K1016" s="18">
        <f t="shared" si="48"/>
        <v>29.605239385727192</v>
      </c>
    </row>
    <row r="1017" spans="1:11" x14ac:dyDescent="0.3">
      <c r="A1017" s="14">
        <v>2022</v>
      </c>
      <c r="B1017" s="14">
        <f t="shared" si="47"/>
        <v>39</v>
      </c>
      <c r="C1017" s="9">
        <v>44830</v>
      </c>
      <c r="D1017" s="9">
        <v>44834</v>
      </c>
      <c r="E1017" s="14">
        <f>VLOOKUP(F1017,CarrierID!A:B,2,0)</f>
        <v>7</v>
      </c>
      <c r="F1017" s="15" t="s">
        <v>4</v>
      </c>
      <c r="G1017" t="str">
        <f>VLOOKUP(F1017,Carrier_Category!A:B,2,0)</f>
        <v>Commuter</v>
      </c>
      <c r="H1017" s="5">
        <v>29</v>
      </c>
      <c r="I1017" s="7">
        <f t="shared" si="49"/>
        <v>29</v>
      </c>
      <c r="J1017" s="5">
        <v>1250</v>
      </c>
      <c r="K1017" s="18">
        <f t="shared" si="48"/>
        <v>43.103448275862071</v>
      </c>
    </row>
    <row r="1018" spans="1:11" x14ac:dyDescent="0.3">
      <c r="A1018" s="14">
        <v>2022</v>
      </c>
      <c r="B1018" s="14">
        <f t="shared" si="47"/>
        <v>39</v>
      </c>
      <c r="C1018" s="9">
        <v>44830</v>
      </c>
      <c r="D1018" s="9">
        <v>44834</v>
      </c>
      <c r="E1018" s="14">
        <f>VLOOKUP(F1018,CarrierID!A:B,2,0)</f>
        <v>11</v>
      </c>
      <c r="F1018" s="15" t="s">
        <v>5</v>
      </c>
      <c r="G1018" t="str">
        <f>VLOOKUP(F1018,Carrier_Category!A:B,2,0)</f>
        <v>Intercity</v>
      </c>
      <c r="H1018" s="5">
        <v>25</v>
      </c>
      <c r="I1018" s="7">
        <f t="shared" si="49"/>
        <v>25</v>
      </c>
      <c r="J1018" s="5">
        <v>535</v>
      </c>
      <c r="K1018" s="18">
        <f t="shared" si="48"/>
        <v>21.4</v>
      </c>
    </row>
    <row r="1019" spans="1:11" x14ac:dyDescent="0.3">
      <c r="A1019" s="14">
        <v>2022</v>
      </c>
      <c r="B1019" s="14">
        <f t="shared" si="47"/>
        <v>39</v>
      </c>
      <c r="C1019" s="9">
        <v>44830</v>
      </c>
      <c r="D1019" s="9">
        <v>44834</v>
      </c>
      <c r="E1019" s="14">
        <f>VLOOKUP(F1019,CarrierID!A:B,2,0)</f>
        <v>3</v>
      </c>
      <c r="F1019" s="15" t="s">
        <v>6</v>
      </c>
      <c r="G1019" t="str">
        <f>VLOOKUP(F1019,Carrier_Category!A:B,2,0)</f>
        <v>Commuter</v>
      </c>
      <c r="H1019" s="5">
        <v>141</v>
      </c>
      <c r="I1019" s="7">
        <f t="shared" si="49"/>
        <v>141</v>
      </c>
      <c r="J1019" s="5">
        <v>4845</v>
      </c>
      <c r="K1019" s="18">
        <f t="shared" si="48"/>
        <v>34.361702127659576</v>
      </c>
    </row>
    <row r="1020" spans="1:11" x14ac:dyDescent="0.3">
      <c r="A1020" s="14">
        <v>2022</v>
      </c>
      <c r="B1020" s="14">
        <f t="shared" si="47"/>
        <v>39</v>
      </c>
      <c r="C1020" s="9">
        <v>44830</v>
      </c>
      <c r="D1020" s="9">
        <v>44834</v>
      </c>
      <c r="E1020" s="14">
        <f>VLOOKUP(F1020,CarrierID!A:B,2,0)</f>
        <v>12</v>
      </c>
      <c r="F1020" s="15" t="s">
        <v>25</v>
      </c>
      <c r="G1020" t="str">
        <f>VLOOKUP(F1020,Carrier_Category!A:B,2,0)</f>
        <v>Commuter</v>
      </c>
      <c r="H1020" s="5">
        <v>19</v>
      </c>
      <c r="I1020" s="7">
        <f t="shared" si="49"/>
        <v>19</v>
      </c>
      <c r="J1020" s="5">
        <v>500</v>
      </c>
      <c r="K1020" s="18">
        <f t="shared" si="48"/>
        <v>26.315789473684209</v>
      </c>
    </row>
    <row r="1021" spans="1:11" x14ac:dyDescent="0.3">
      <c r="A1021" s="14">
        <v>2022</v>
      </c>
      <c r="B1021" s="14">
        <f t="shared" si="47"/>
        <v>39</v>
      </c>
      <c r="C1021" s="9">
        <v>44830</v>
      </c>
      <c r="D1021" s="9">
        <v>44834</v>
      </c>
      <c r="E1021" s="14">
        <f>VLOOKUP(F1021,CarrierID!A:B,2,0)</f>
        <v>10</v>
      </c>
      <c r="F1021" s="15" t="s">
        <v>8</v>
      </c>
      <c r="G1021" t="str">
        <f>VLOOKUP(F1021,Carrier_Category!A:B,2,0)</f>
        <v>Intercity</v>
      </c>
      <c r="H1021" s="5">
        <v>24</v>
      </c>
      <c r="I1021" s="7">
        <f t="shared" si="49"/>
        <v>24</v>
      </c>
      <c r="J1021" s="5">
        <v>876</v>
      </c>
      <c r="K1021" s="18">
        <f t="shared" si="48"/>
        <v>36.5</v>
      </c>
    </row>
    <row r="1022" spans="1:11" x14ac:dyDescent="0.3">
      <c r="A1022" s="14">
        <v>2022</v>
      </c>
      <c r="B1022" s="14">
        <f t="shared" si="47"/>
        <v>39</v>
      </c>
      <c r="C1022" s="9">
        <v>44830</v>
      </c>
      <c r="D1022" s="9">
        <v>44834</v>
      </c>
      <c r="E1022" s="14">
        <f>VLOOKUP(F1022,CarrierID!A:B,2,0)</f>
        <v>4</v>
      </c>
      <c r="F1022" s="15" t="s">
        <v>24</v>
      </c>
      <c r="G1022" t="str">
        <f>VLOOKUP(F1022,Carrier_Category!A:B,2,0)</f>
        <v>Commuter</v>
      </c>
      <c r="H1022" s="5">
        <v>36</v>
      </c>
      <c r="I1022" s="7">
        <f t="shared" si="49"/>
        <v>36</v>
      </c>
      <c r="J1022" s="5">
        <v>605</v>
      </c>
      <c r="K1022" s="18">
        <f t="shared" si="48"/>
        <v>16.805555555555557</v>
      </c>
    </row>
    <row r="1023" spans="1:11" x14ac:dyDescent="0.3">
      <c r="A1023" s="14">
        <v>2022</v>
      </c>
      <c r="B1023" s="14">
        <f t="shared" si="47"/>
        <v>39</v>
      </c>
      <c r="C1023" s="9">
        <v>44830</v>
      </c>
      <c r="D1023" s="9">
        <v>44834</v>
      </c>
      <c r="E1023" s="14">
        <f>VLOOKUP(F1023,CarrierID!A:B,2,0)</f>
        <v>6</v>
      </c>
      <c r="F1023" s="15" t="s">
        <v>9</v>
      </c>
      <c r="G1023" t="str">
        <f>VLOOKUP(F1023,Carrier_Category!A:B,2,0)</f>
        <v>Commuter</v>
      </c>
      <c r="H1023" s="5">
        <v>85</v>
      </c>
      <c r="I1023" s="7">
        <f t="shared" si="49"/>
        <v>75</v>
      </c>
      <c r="J1023" s="5">
        <v>1689</v>
      </c>
      <c r="K1023" s="18">
        <f t="shared" si="48"/>
        <v>19.870588235294118</v>
      </c>
    </row>
    <row r="1024" spans="1:11" x14ac:dyDescent="0.3">
      <c r="A1024" s="14">
        <v>2022</v>
      </c>
      <c r="B1024" s="14">
        <f t="shared" si="47"/>
        <v>40</v>
      </c>
      <c r="C1024" s="9">
        <v>44837</v>
      </c>
      <c r="D1024" s="9">
        <v>44841</v>
      </c>
      <c r="E1024" s="14">
        <f>VLOOKUP(F1024,CarrierID!A:B,2,0)</f>
        <v>1</v>
      </c>
      <c r="F1024" s="15" t="s">
        <v>0</v>
      </c>
      <c r="G1024" t="str">
        <f>VLOOKUP(F1024,Carrier_Category!A:B,2,0)</f>
        <v>Commuter</v>
      </c>
      <c r="H1024" s="5">
        <v>35</v>
      </c>
      <c r="I1024" s="7">
        <f t="shared" si="49"/>
        <v>35</v>
      </c>
      <c r="J1024" s="5">
        <v>1176</v>
      </c>
      <c r="K1024" s="18">
        <f t="shared" si="48"/>
        <v>33.6</v>
      </c>
    </row>
    <row r="1025" spans="1:11" x14ac:dyDescent="0.3">
      <c r="A1025" s="14">
        <v>2022</v>
      </c>
      <c r="B1025" s="14">
        <f t="shared" si="47"/>
        <v>40</v>
      </c>
      <c r="C1025" s="9">
        <v>44837</v>
      </c>
      <c r="D1025" s="9">
        <v>44841</v>
      </c>
      <c r="E1025" s="14">
        <f>VLOOKUP(F1025,CarrierID!A:B,2,0)</f>
        <v>5</v>
      </c>
      <c r="F1025" s="15" t="s">
        <v>1</v>
      </c>
      <c r="G1025" t="str">
        <f>VLOOKUP(F1025,Carrier_Category!A:B,2,0)</f>
        <v>Intercity</v>
      </c>
      <c r="H1025" s="5">
        <v>51</v>
      </c>
      <c r="I1025" s="7">
        <f t="shared" si="49"/>
        <v>50</v>
      </c>
      <c r="J1025" s="5">
        <v>1397</v>
      </c>
      <c r="K1025" s="18">
        <f t="shared" si="48"/>
        <v>27.392156862745097</v>
      </c>
    </row>
    <row r="1026" spans="1:11" x14ac:dyDescent="0.3">
      <c r="A1026" s="14">
        <v>2022</v>
      </c>
      <c r="B1026" s="14">
        <f t="shared" si="47"/>
        <v>40</v>
      </c>
      <c r="C1026" s="9">
        <v>44837</v>
      </c>
      <c r="D1026" s="9">
        <v>44841</v>
      </c>
      <c r="E1026" s="14">
        <f>VLOOKUP(F1026,CarrierID!A:B,2,0)</f>
        <v>8</v>
      </c>
      <c r="F1026" s="15" t="s">
        <v>2</v>
      </c>
      <c r="G1026" t="str">
        <f>VLOOKUP(F1026,Carrier_Category!A:B,2,0)</f>
        <v>Commuter</v>
      </c>
      <c r="H1026" s="5">
        <v>21</v>
      </c>
      <c r="I1026" s="7">
        <f t="shared" si="49"/>
        <v>20</v>
      </c>
      <c r="J1026" s="5">
        <v>800</v>
      </c>
      <c r="K1026" s="18">
        <f t="shared" si="48"/>
        <v>38.095238095238095</v>
      </c>
    </row>
    <row r="1027" spans="1:11" x14ac:dyDescent="0.3">
      <c r="A1027" s="14">
        <v>2022</v>
      </c>
      <c r="B1027" s="14">
        <f t="shared" si="47"/>
        <v>40</v>
      </c>
      <c r="C1027" s="9">
        <v>44837</v>
      </c>
      <c r="D1027" s="9">
        <v>44841</v>
      </c>
      <c r="E1027" s="14">
        <f>VLOOKUP(F1027,CarrierID!A:B,2,0)</f>
        <v>9</v>
      </c>
      <c r="F1027" s="15" t="s">
        <v>3</v>
      </c>
      <c r="G1027" t="str">
        <f>VLOOKUP(F1027,Carrier_Category!A:B,2,0)</f>
        <v>NJT</v>
      </c>
      <c r="H1027" s="5">
        <v>2213</v>
      </c>
      <c r="I1027" s="7">
        <f t="shared" si="49"/>
        <v>2214</v>
      </c>
      <c r="J1027" s="5">
        <v>58688</v>
      </c>
      <c r="K1027" s="18">
        <f t="shared" si="48"/>
        <v>26.519656574785358</v>
      </c>
    </row>
    <row r="1028" spans="1:11" x14ac:dyDescent="0.3">
      <c r="A1028" s="14">
        <v>2022</v>
      </c>
      <c r="B1028" s="14">
        <f t="shared" si="47"/>
        <v>40</v>
      </c>
      <c r="C1028" s="9">
        <v>44837</v>
      </c>
      <c r="D1028" s="9">
        <v>44841</v>
      </c>
      <c r="E1028" s="14">
        <f>VLOOKUP(F1028,CarrierID!A:B,2,0)</f>
        <v>7</v>
      </c>
      <c r="F1028" s="15" t="s">
        <v>4</v>
      </c>
      <c r="G1028" t="str">
        <f>VLOOKUP(F1028,Carrier_Category!A:B,2,0)</f>
        <v>Commuter</v>
      </c>
      <c r="H1028" s="5">
        <v>29</v>
      </c>
      <c r="I1028" s="7">
        <f t="shared" si="49"/>
        <v>29</v>
      </c>
      <c r="J1028" s="5">
        <v>1158</v>
      </c>
      <c r="K1028" s="18">
        <f t="shared" si="48"/>
        <v>39.931034482758619</v>
      </c>
    </row>
    <row r="1029" spans="1:11" x14ac:dyDescent="0.3">
      <c r="A1029" s="14">
        <v>2022</v>
      </c>
      <c r="B1029" s="14">
        <f t="shared" ref="B1029:B1092" si="50">_xlfn.ISOWEEKNUM(C1029)</f>
        <v>40</v>
      </c>
      <c r="C1029" s="9">
        <v>44837</v>
      </c>
      <c r="D1029" s="9">
        <v>44841</v>
      </c>
      <c r="E1029" s="14">
        <f>VLOOKUP(F1029,CarrierID!A:B,2,0)</f>
        <v>11</v>
      </c>
      <c r="F1029" s="15" t="s">
        <v>5</v>
      </c>
      <c r="G1029" t="str">
        <f>VLOOKUP(F1029,Carrier_Category!A:B,2,0)</f>
        <v>Intercity</v>
      </c>
      <c r="H1029" s="5">
        <v>25</v>
      </c>
      <c r="I1029" s="7">
        <f t="shared" si="49"/>
        <v>25</v>
      </c>
      <c r="J1029" s="5">
        <v>450</v>
      </c>
      <c r="K1029" s="18">
        <f t="shared" ref="K1029:K1092" si="51">J1029/H1029</f>
        <v>18</v>
      </c>
    </row>
    <row r="1030" spans="1:11" x14ac:dyDescent="0.3">
      <c r="A1030" s="14">
        <v>2022</v>
      </c>
      <c r="B1030" s="14">
        <f t="shared" si="50"/>
        <v>40</v>
      </c>
      <c r="C1030" s="9">
        <v>44837</v>
      </c>
      <c r="D1030" s="9">
        <v>44841</v>
      </c>
      <c r="E1030" s="14">
        <f>VLOOKUP(F1030,CarrierID!A:B,2,0)</f>
        <v>3</v>
      </c>
      <c r="F1030" s="15" t="s">
        <v>6</v>
      </c>
      <c r="G1030" t="str">
        <f>VLOOKUP(F1030,Carrier_Category!A:B,2,0)</f>
        <v>Commuter</v>
      </c>
      <c r="H1030" s="5">
        <v>142</v>
      </c>
      <c r="I1030" s="7">
        <f t="shared" si="49"/>
        <v>141</v>
      </c>
      <c r="J1030" s="5">
        <v>4847</v>
      </c>
      <c r="K1030" s="18">
        <f t="shared" si="51"/>
        <v>34.133802816901408</v>
      </c>
    </row>
    <row r="1031" spans="1:11" x14ac:dyDescent="0.3">
      <c r="A1031" s="14">
        <v>2022</v>
      </c>
      <c r="B1031" s="14">
        <f t="shared" si="50"/>
        <v>40</v>
      </c>
      <c r="C1031" s="9">
        <v>44837</v>
      </c>
      <c r="D1031" s="9">
        <v>44841</v>
      </c>
      <c r="E1031" s="14">
        <f>VLOOKUP(F1031,CarrierID!A:B,2,0)</f>
        <v>12</v>
      </c>
      <c r="F1031" s="15" t="s">
        <v>25</v>
      </c>
      <c r="G1031" t="str">
        <f>VLOOKUP(F1031,Carrier_Category!A:B,2,0)</f>
        <v>Commuter</v>
      </c>
      <c r="H1031" s="5">
        <v>19</v>
      </c>
      <c r="I1031" s="7">
        <f t="shared" si="49"/>
        <v>19</v>
      </c>
      <c r="J1031" s="5">
        <v>514</v>
      </c>
      <c r="K1031" s="18">
        <f t="shared" si="51"/>
        <v>27.05263157894737</v>
      </c>
    </row>
    <row r="1032" spans="1:11" x14ac:dyDescent="0.3">
      <c r="A1032" s="14">
        <v>2022</v>
      </c>
      <c r="B1032" s="14">
        <f t="shared" si="50"/>
        <v>40</v>
      </c>
      <c r="C1032" s="9">
        <v>44837</v>
      </c>
      <c r="D1032" s="9">
        <v>44841</v>
      </c>
      <c r="E1032" s="14">
        <f>VLOOKUP(F1032,CarrierID!A:B,2,0)</f>
        <v>10</v>
      </c>
      <c r="F1032" s="15" t="s">
        <v>8</v>
      </c>
      <c r="G1032" t="str">
        <f>VLOOKUP(F1032,Carrier_Category!A:B,2,0)</f>
        <v>Intercity</v>
      </c>
      <c r="H1032" s="5">
        <v>24</v>
      </c>
      <c r="I1032" s="7">
        <f t="shared" si="49"/>
        <v>24</v>
      </c>
      <c r="J1032" s="5">
        <v>772</v>
      </c>
      <c r="K1032" s="18">
        <f t="shared" si="51"/>
        <v>32.166666666666664</v>
      </c>
    </row>
    <row r="1033" spans="1:11" x14ac:dyDescent="0.3">
      <c r="A1033" s="14">
        <v>2022</v>
      </c>
      <c r="B1033" s="14">
        <f t="shared" si="50"/>
        <v>40</v>
      </c>
      <c r="C1033" s="9">
        <v>44837</v>
      </c>
      <c r="D1033" s="9">
        <v>44841</v>
      </c>
      <c r="E1033" s="14">
        <f>VLOOKUP(F1033,CarrierID!A:B,2,0)</f>
        <v>4</v>
      </c>
      <c r="F1033" s="15" t="s">
        <v>24</v>
      </c>
      <c r="G1033" t="str">
        <f>VLOOKUP(F1033,Carrier_Category!A:B,2,0)</f>
        <v>Commuter</v>
      </c>
      <c r="H1033" s="5">
        <v>36</v>
      </c>
      <c r="I1033" s="7">
        <f t="shared" si="49"/>
        <v>36</v>
      </c>
      <c r="J1033" s="5">
        <v>601</v>
      </c>
      <c r="K1033" s="18">
        <f t="shared" si="51"/>
        <v>16.694444444444443</v>
      </c>
    </row>
    <row r="1034" spans="1:11" x14ac:dyDescent="0.3">
      <c r="A1034" s="14">
        <v>2022</v>
      </c>
      <c r="B1034" s="14">
        <f t="shared" si="50"/>
        <v>40</v>
      </c>
      <c r="C1034" s="9">
        <v>44837</v>
      </c>
      <c r="D1034" s="9">
        <v>44841</v>
      </c>
      <c r="E1034" s="14">
        <f>VLOOKUP(F1034,CarrierID!A:B,2,0)</f>
        <v>6</v>
      </c>
      <c r="F1034" s="15" t="s">
        <v>9</v>
      </c>
      <c r="G1034" t="str">
        <f>VLOOKUP(F1034,Carrier_Category!A:B,2,0)</f>
        <v>Commuter</v>
      </c>
      <c r="H1034" s="5">
        <v>86</v>
      </c>
      <c r="I1034" s="7">
        <f t="shared" si="49"/>
        <v>85</v>
      </c>
      <c r="J1034" s="5">
        <v>1715</v>
      </c>
      <c r="K1034" s="18">
        <f t="shared" si="51"/>
        <v>19.941860465116278</v>
      </c>
    </row>
    <row r="1035" spans="1:11" x14ac:dyDescent="0.3">
      <c r="A1035" s="14">
        <v>2022</v>
      </c>
      <c r="B1035" s="14">
        <f t="shared" si="50"/>
        <v>41</v>
      </c>
      <c r="C1035" s="9">
        <v>44844</v>
      </c>
      <c r="D1035" s="9">
        <v>44848</v>
      </c>
      <c r="E1035" s="14">
        <f>VLOOKUP(F1035,CarrierID!A:B,2,0)</f>
        <v>1</v>
      </c>
      <c r="F1035" s="15" t="s">
        <v>0</v>
      </c>
      <c r="G1035" t="str">
        <f>VLOOKUP(F1035,Carrier_Category!A:B,2,0)</f>
        <v>Commuter</v>
      </c>
      <c r="H1035" s="5">
        <v>35</v>
      </c>
      <c r="I1035" s="7">
        <f t="shared" si="49"/>
        <v>35</v>
      </c>
      <c r="J1035" s="5">
        <v>1223</v>
      </c>
      <c r="K1035" s="18">
        <f t="shared" si="51"/>
        <v>34.942857142857143</v>
      </c>
    </row>
    <row r="1036" spans="1:11" x14ac:dyDescent="0.3">
      <c r="A1036" s="14">
        <v>2022</v>
      </c>
      <c r="B1036" s="14">
        <f t="shared" si="50"/>
        <v>41</v>
      </c>
      <c r="C1036" s="9">
        <v>44844</v>
      </c>
      <c r="D1036" s="9">
        <v>44848</v>
      </c>
      <c r="E1036" s="14">
        <f>VLOOKUP(F1036,CarrierID!A:B,2,0)</f>
        <v>5</v>
      </c>
      <c r="F1036" s="15" t="s">
        <v>1</v>
      </c>
      <c r="G1036" t="str">
        <f>VLOOKUP(F1036,Carrier_Category!A:B,2,0)</f>
        <v>Intercity</v>
      </c>
      <c r="H1036" s="5">
        <v>51</v>
      </c>
      <c r="I1036" s="7">
        <f t="shared" si="49"/>
        <v>51</v>
      </c>
      <c r="J1036" s="5">
        <v>1606</v>
      </c>
      <c r="K1036" s="18">
        <f t="shared" si="51"/>
        <v>31.490196078431371</v>
      </c>
    </row>
    <row r="1037" spans="1:11" x14ac:dyDescent="0.3">
      <c r="A1037" s="14">
        <v>2022</v>
      </c>
      <c r="B1037" s="14">
        <f t="shared" si="50"/>
        <v>41</v>
      </c>
      <c r="C1037" s="9">
        <v>44844</v>
      </c>
      <c r="D1037" s="9">
        <v>44848</v>
      </c>
      <c r="E1037" s="14">
        <f>VLOOKUP(F1037,CarrierID!A:B,2,0)</f>
        <v>8</v>
      </c>
      <c r="F1037" s="15" t="s">
        <v>2</v>
      </c>
      <c r="G1037" t="str">
        <f>VLOOKUP(F1037,Carrier_Category!A:B,2,0)</f>
        <v>Commuter</v>
      </c>
      <c r="H1037" s="5">
        <v>21</v>
      </c>
      <c r="I1037" s="7">
        <f t="shared" ref="I1037:I1100" si="52">H1026</f>
        <v>21</v>
      </c>
      <c r="J1037" s="5">
        <v>846</v>
      </c>
      <c r="K1037" s="18">
        <f t="shared" si="51"/>
        <v>40.285714285714285</v>
      </c>
    </row>
    <row r="1038" spans="1:11" x14ac:dyDescent="0.3">
      <c r="A1038" s="14">
        <v>2022</v>
      </c>
      <c r="B1038" s="14">
        <f t="shared" si="50"/>
        <v>41</v>
      </c>
      <c r="C1038" s="9">
        <v>44844</v>
      </c>
      <c r="D1038" s="9">
        <v>44848</v>
      </c>
      <c r="E1038" s="14">
        <f>VLOOKUP(F1038,CarrierID!A:B,2,0)</f>
        <v>9</v>
      </c>
      <c r="F1038" s="15" t="s">
        <v>3</v>
      </c>
      <c r="G1038" t="str">
        <f>VLOOKUP(F1038,Carrier_Category!A:B,2,0)</f>
        <v>NJT</v>
      </c>
      <c r="H1038" s="5">
        <v>2177</v>
      </c>
      <c r="I1038" s="7">
        <f t="shared" si="52"/>
        <v>2213</v>
      </c>
      <c r="J1038" s="5">
        <v>66791</v>
      </c>
      <c r="K1038" s="18">
        <f t="shared" si="51"/>
        <v>30.680293982544786</v>
      </c>
    </row>
    <row r="1039" spans="1:11" x14ac:dyDescent="0.3">
      <c r="A1039" s="14">
        <v>2022</v>
      </c>
      <c r="B1039" s="14">
        <f t="shared" si="50"/>
        <v>41</v>
      </c>
      <c r="C1039" s="9">
        <v>44844</v>
      </c>
      <c r="D1039" s="9">
        <v>44848</v>
      </c>
      <c r="E1039" s="14">
        <f>VLOOKUP(F1039,CarrierID!A:B,2,0)</f>
        <v>7</v>
      </c>
      <c r="F1039" s="15" t="s">
        <v>4</v>
      </c>
      <c r="G1039" t="str">
        <f>VLOOKUP(F1039,Carrier_Category!A:B,2,0)</f>
        <v>Commuter</v>
      </c>
      <c r="H1039" s="5">
        <v>29</v>
      </c>
      <c r="I1039" s="7">
        <f t="shared" si="52"/>
        <v>29</v>
      </c>
      <c r="J1039" s="5">
        <v>1269</v>
      </c>
      <c r="K1039" s="18">
        <f t="shared" si="51"/>
        <v>43.758620689655174</v>
      </c>
    </row>
    <row r="1040" spans="1:11" x14ac:dyDescent="0.3">
      <c r="A1040" s="14">
        <v>2022</v>
      </c>
      <c r="B1040" s="14">
        <f t="shared" si="50"/>
        <v>41</v>
      </c>
      <c r="C1040" s="9">
        <v>44844</v>
      </c>
      <c r="D1040" s="9">
        <v>44848</v>
      </c>
      <c r="E1040" s="14">
        <f>VLOOKUP(F1040,CarrierID!A:B,2,0)</f>
        <v>11</v>
      </c>
      <c r="F1040" s="15" t="s">
        <v>5</v>
      </c>
      <c r="G1040" t="str">
        <f>VLOOKUP(F1040,Carrier_Category!A:B,2,0)</f>
        <v>Intercity</v>
      </c>
      <c r="H1040" s="5">
        <v>28</v>
      </c>
      <c r="I1040" s="7">
        <f t="shared" si="52"/>
        <v>25</v>
      </c>
      <c r="J1040" s="5">
        <v>836</v>
      </c>
      <c r="K1040" s="18">
        <f t="shared" si="51"/>
        <v>29.857142857142858</v>
      </c>
    </row>
    <row r="1041" spans="1:13" x14ac:dyDescent="0.3">
      <c r="A1041" s="14">
        <v>2022</v>
      </c>
      <c r="B1041" s="14">
        <f t="shared" si="50"/>
        <v>41</v>
      </c>
      <c r="C1041" s="9">
        <v>44844</v>
      </c>
      <c r="D1041" s="9">
        <v>44848</v>
      </c>
      <c r="E1041" s="14">
        <f>VLOOKUP(F1041,CarrierID!A:B,2,0)</f>
        <v>3</v>
      </c>
      <c r="F1041" s="15" t="s">
        <v>6</v>
      </c>
      <c r="G1041" t="str">
        <f>VLOOKUP(F1041,Carrier_Category!A:B,2,0)</f>
        <v>Commuter</v>
      </c>
      <c r="H1041" s="5">
        <v>145</v>
      </c>
      <c r="I1041" s="7">
        <f t="shared" si="52"/>
        <v>142</v>
      </c>
      <c r="J1041" s="5">
        <v>5095</v>
      </c>
      <c r="K1041" s="18">
        <f t="shared" si="51"/>
        <v>35.137931034482762</v>
      </c>
    </row>
    <row r="1042" spans="1:13" x14ac:dyDescent="0.3">
      <c r="A1042" s="14">
        <v>2022</v>
      </c>
      <c r="B1042" s="14">
        <f t="shared" si="50"/>
        <v>41</v>
      </c>
      <c r="C1042" s="9">
        <v>44844</v>
      </c>
      <c r="D1042" s="9">
        <v>44848</v>
      </c>
      <c r="E1042" s="14">
        <f>VLOOKUP(F1042,CarrierID!A:B,2,0)</f>
        <v>12</v>
      </c>
      <c r="F1042" s="15" t="s">
        <v>25</v>
      </c>
      <c r="G1042" t="str">
        <f>VLOOKUP(F1042,Carrier_Category!A:B,2,0)</f>
        <v>Commuter</v>
      </c>
      <c r="H1042" s="5">
        <v>18</v>
      </c>
      <c r="I1042" s="7">
        <f t="shared" si="52"/>
        <v>19</v>
      </c>
      <c r="J1042" s="5">
        <v>595</v>
      </c>
      <c r="K1042" s="18">
        <f t="shared" si="51"/>
        <v>33.055555555555557</v>
      </c>
    </row>
    <row r="1043" spans="1:13" x14ac:dyDescent="0.3">
      <c r="A1043" s="14">
        <v>2022</v>
      </c>
      <c r="B1043" s="14">
        <f t="shared" si="50"/>
        <v>41</v>
      </c>
      <c r="C1043" s="9">
        <v>44844</v>
      </c>
      <c r="D1043" s="9">
        <v>44848</v>
      </c>
      <c r="E1043" s="14">
        <f>VLOOKUP(F1043,CarrierID!A:B,2,0)</f>
        <v>10</v>
      </c>
      <c r="F1043" s="15" t="s">
        <v>8</v>
      </c>
      <c r="G1043" t="str">
        <f>VLOOKUP(F1043,Carrier_Category!A:B,2,0)</f>
        <v>Intercity</v>
      </c>
      <c r="H1043" s="5">
        <v>27</v>
      </c>
      <c r="I1043" s="7">
        <f t="shared" si="52"/>
        <v>24</v>
      </c>
      <c r="J1043" s="5">
        <v>1014</v>
      </c>
      <c r="K1043" s="18">
        <f t="shared" si="51"/>
        <v>37.555555555555557</v>
      </c>
    </row>
    <row r="1044" spans="1:13" x14ac:dyDescent="0.3">
      <c r="A1044" s="14">
        <v>2022</v>
      </c>
      <c r="B1044" s="14">
        <f t="shared" si="50"/>
        <v>41</v>
      </c>
      <c r="C1044" s="9">
        <v>44844</v>
      </c>
      <c r="D1044" s="9">
        <v>44848</v>
      </c>
      <c r="E1044" s="14">
        <f>VLOOKUP(F1044,CarrierID!A:B,2,0)</f>
        <v>4</v>
      </c>
      <c r="F1044" s="15" t="s">
        <v>24</v>
      </c>
      <c r="G1044" t="str">
        <f>VLOOKUP(F1044,Carrier_Category!A:B,2,0)</f>
        <v>Commuter</v>
      </c>
      <c r="H1044" s="5">
        <v>37</v>
      </c>
      <c r="I1044" s="7">
        <f t="shared" si="52"/>
        <v>36</v>
      </c>
      <c r="J1044" s="5">
        <v>649</v>
      </c>
      <c r="K1044" s="18">
        <f t="shared" si="51"/>
        <v>17.54054054054054</v>
      </c>
    </row>
    <row r="1045" spans="1:13" x14ac:dyDescent="0.3">
      <c r="A1045" s="14">
        <v>2022</v>
      </c>
      <c r="B1045" s="14">
        <f t="shared" si="50"/>
        <v>41</v>
      </c>
      <c r="C1045" s="9">
        <v>44844</v>
      </c>
      <c r="D1045" s="9">
        <v>44848</v>
      </c>
      <c r="E1045" s="14">
        <f>VLOOKUP(F1045,CarrierID!A:B,2,0)</f>
        <v>6</v>
      </c>
      <c r="F1045" s="15" t="s">
        <v>9</v>
      </c>
      <c r="G1045" t="str">
        <f>VLOOKUP(F1045,Carrier_Category!A:B,2,0)</f>
        <v>Commuter</v>
      </c>
      <c r="H1045" s="5">
        <v>86</v>
      </c>
      <c r="I1045" s="7">
        <f t="shared" si="52"/>
        <v>86</v>
      </c>
      <c r="J1045" s="5">
        <v>1771</v>
      </c>
      <c r="K1045" s="18">
        <f t="shared" si="51"/>
        <v>20.593023255813954</v>
      </c>
    </row>
    <row r="1046" spans="1:13" x14ac:dyDescent="0.3">
      <c r="A1046" s="14">
        <v>2022</v>
      </c>
      <c r="B1046" s="14">
        <f t="shared" si="50"/>
        <v>42</v>
      </c>
      <c r="C1046" s="9">
        <v>44851</v>
      </c>
      <c r="D1046" s="9">
        <v>44855</v>
      </c>
      <c r="E1046" s="14">
        <f>VLOOKUP(F1046,CarrierID!A:B,2,0)</f>
        <v>1</v>
      </c>
      <c r="F1046" s="15" t="s">
        <v>0</v>
      </c>
      <c r="G1046" t="str">
        <f>VLOOKUP(F1046,Carrier_Category!A:B,2,0)</f>
        <v>Commuter</v>
      </c>
      <c r="H1046" s="5">
        <v>34</v>
      </c>
      <c r="I1046" s="7">
        <f t="shared" si="52"/>
        <v>35</v>
      </c>
      <c r="J1046" s="5">
        <v>1202</v>
      </c>
      <c r="K1046" s="18">
        <f t="shared" si="51"/>
        <v>35.352941176470587</v>
      </c>
      <c r="M1046" t="s">
        <v>26</v>
      </c>
    </row>
    <row r="1047" spans="1:13" x14ac:dyDescent="0.3">
      <c r="A1047" s="14">
        <v>2022</v>
      </c>
      <c r="B1047" s="14">
        <f t="shared" si="50"/>
        <v>42</v>
      </c>
      <c r="C1047" s="9">
        <v>44851</v>
      </c>
      <c r="D1047" s="9">
        <v>44855</v>
      </c>
      <c r="E1047" s="14">
        <f>VLOOKUP(F1047,CarrierID!A:B,2,0)</f>
        <v>5</v>
      </c>
      <c r="F1047" s="15" t="s">
        <v>1</v>
      </c>
      <c r="G1047" t="str">
        <f>VLOOKUP(F1047,Carrier_Category!A:B,2,0)</f>
        <v>Intercity</v>
      </c>
      <c r="H1047" s="5">
        <v>51</v>
      </c>
      <c r="I1047" s="7">
        <f t="shared" si="52"/>
        <v>51</v>
      </c>
      <c r="J1047" s="5">
        <v>1505</v>
      </c>
      <c r="K1047" s="18">
        <f t="shared" si="51"/>
        <v>29.509803921568629</v>
      </c>
      <c r="M1047" t="s">
        <v>27</v>
      </c>
    </row>
    <row r="1048" spans="1:13" x14ac:dyDescent="0.3">
      <c r="A1048" s="14">
        <v>2022</v>
      </c>
      <c r="B1048" s="14">
        <f t="shared" si="50"/>
        <v>42</v>
      </c>
      <c r="C1048" s="9">
        <v>44851</v>
      </c>
      <c r="D1048" s="9">
        <v>44855</v>
      </c>
      <c r="E1048" s="14">
        <f>VLOOKUP(F1048,CarrierID!A:B,2,0)</f>
        <v>8</v>
      </c>
      <c r="F1048" s="15" t="s">
        <v>2</v>
      </c>
      <c r="G1048" t="str">
        <f>VLOOKUP(F1048,Carrier_Category!A:B,2,0)</f>
        <v>Commuter</v>
      </c>
      <c r="H1048" s="5">
        <v>21</v>
      </c>
      <c r="I1048" s="7">
        <f t="shared" si="52"/>
        <v>21</v>
      </c>
      <c r="J1048" s="5">
        <v>811</v>
      </c>
      <c r="K1048" s="18">
        <f t="shared" si="51"/>
        <v>38.61904761904762</v>
      </c>
      <c r="M1048" t="s">
        <v>28</v>
      </c>
    </row>
    <row r="1049" spans="1:13" x14ac:dyDescent="0.3">
      <c r="A1049" s="14">
        <v>2022</v>
      </c>
      <c r="B1049" s="14">
        <f t="shared" si="50"/>
        <v>42</v>
      </c>
      <c r="C1049" s="9">
        <v>44851</v>
      </c>
      <c r="D1049" s="9">
        <v>44855</v>
      </c>
      <c r="E1049" s="14">
        <f>VLOOKUP(F1049,CarrierID!A:B,2,0)</f>
        <v>9</v>
      </c>
      <c r="F1049" s="15" t="s">
        <v>3</v>
      </c>
      <c r="G1049" t="str">
        <f>VLOOKUP(F1049,Carrier_Category!A:B,2,0)</f>
        <v>NJT</v>
      </c>
      <c r="H1049" s="5">
        <v>2211</v>
      </c>
      <c r="I1049" s="7">
        <f t="shared" si="52"/>
        <v>2177</v>
      </c>
      <c r="J1049" s="5">
        <v>68879</v>
      </c>
      <c r="K1049" s="18">
        <f t="shared" si="51"/>
        <v>31.152872003618274</v>
      </c>
      <c r="M1049">
        <v>35</v>
      </c>
    </row>
    <row r="1050" spans="1:13" x14ac:dyDescent="0.3">
      <c r="A1050" s="14">
        <v>2022</v>
      </c>
      <c r="B1050" s="14">
        <f t="shared" si="50"/>
        <v>42</v>
      </c>
      <c r="C1050" s="9">
        <v>44851</v>
      </c>
      <c r="D1050" s="9">
        <v>44855</v>
      </c>
      <c r="E1050" s="14">
        <f>VLOOKUP(F1050,CarrierID!A:B,2,0)</f>
        <v>7</v>
      </c>
      <c r="F1050" s="15" t="s">
        <v>4</v>
      </c>
      <c r="G1050" t="str">
        <f>VLOOKUP(F1050,Carrier_Category!A:B,2,0)</f>
        <v>Commuter</v>
      </c>
      <c r="H1050" s="5">
        <v>29</v>
      </c>
      <c r="I1050" s="7">
        <f t="shared" si="52"/>
        <v>29</v>
      </c>
      <c r="J1050" s="5">
        <v>1203</v>
      </c>
      <c r="K1050" s="18">
        <f t="shared" si="51"/>
        <v>41.482758620689658</v>
      </c>
      <c r="M1050">
        <v>51</v>
      </c>
    </row>
    <row r="1051" spans="1:13" x14ac:dyDescent="0.3">
      <c r="A1051" s="14">
        <v>2022</v>
      </c>
      <c r="B1051" s="14">
        <f t="shared" si="50"/>
        <v>42</v>
      </c>
      <c r="C1051" s="9">
        <v>44851</v>
      </c>
      <c r="D1051" s="9">
        <v>44855</v>
      </c>
      <c r="E1051" s="14">
        <f>VLOOKUP(F1051,CarrierID!A:B,2,0)</f>
        <v>11</v>
      </c>
      <c r="F1051" s="15" t="s">
        <v>5</v>
      </c>
      <c r="G1051" t="str">
        <f>VLOOKUP(F1051,Carrier_Category!A:B,2,0)</f>
        <v>Intercity</v>
      </c>
      <c r="H1051" s="5">
        <v>24</v>
      </c>
      <c r="I1051" s="7">
        <f t="shared" si="52"/>
        <v>28</v>
      </c>
      <c r="J1051" s="5">
        <v>514</v>
      </c>
      <c r="K1051" s="18">
        <f t="shared" si="51"/>
        <v>21.416666666666668</v>
      </c>
      <c r="M1051">
        <v>21</v>
      </c>
    </row>
    <row r="1052" spans="1:13" x14ac:dyDescent="0.3">
      <c r="A1052" s="14">
        <v>2022</v>
      </c>
      <c r="B1052" s="14">
        <f t="shared" si="50"/>
        <v>42</v>
      </c>
      <c r="C1052" s="9">
        <v>44851</v>
      </c>
      <c r="D1052" s="9">
        <v>44855</v>
      </c>
      <c r="E1052" s="14">
        <f>VLOOKUP(F1052,CarrierID!A:B,2,0)</f>
        <v>3</v>
      </c>
      <c r="F1052" s="15" t="s">
        <v>6</v>
      </c>
      <c r="G1052" t="str">
        <f>VLOOKUP(F1052,Carrier_Category!A:B,2,0)</f>
        <v>Commuter</v>
      </c>
      <c r="H1052" s="5">
        <v>147</v>
      </c>
      <c r="I1052" s="7">
        <f t="shared" si="52"/>
        <v>145</v>
      </c>
      <c r="J1052" s="5">
        <v>5004</v>
      </c>
      <c r="K1052" s="18">
        <f t="shared" si="51"/>
        <v>34.04081632653061</v>
      </c>
      <c r="M1052">
        <v>2177</v>
      </c>
    </row>
    <row r="1053" spans="1:13" x14ac:dyDescent="0.3">
      <c r="A1053" s="14">
        <v>2022</v>
      </c>
      <c r="B1053" s="14">
        <f t="shared" si="50"/>
        <v>42</v>
      </c>
      <c r="C1053" s="9">
        <v>44851</v>
      </c>
      <c r="D1053" s="9">
        <v>44855</v>
      </c>
      <c r="E1053" s="14">
        <f>VLOOKUP(F1053,CarrierID!A:B,2,0)</f>
        <v>12</v>
      </c>
      <c r="F1053" s="15" t="s">
        <v>25</v>
      </c>
      <c r="G1053" t="str">
        <f>VLOOKUP(F1053,Carrier_Category!A:B,2,0)</f>
        <v>Commuter</v>
      </c>
      <c r="H1053" s="5">
        <v>18</v>
      </c>
      <c r="I1053" s="7">
        <f t="shared" si="52"/>
        <v>18</v>
      </c>
      <c r="J1053" s="5">
        <v>585</v>
      </c>
      <c r="K1053" s="18">
        <f t="shared" si="51"/>
        <v>32.5</v>
      </c>
      <c r="M1053">
        <v>29</v>
      </c>
    </row>
    <row r="1054" spans="1:13" x14ac:dyDescent="0.3">
      <c r="A1054" s="14">
        <v>2022</v>
      </c>
      <c r="B1054" s="14">
        <f t="shared" si="50"/>
        <v>42</v>
      </c>
      <c r="C1054" s="9">
        <v>44851</v>
      </c>
      <c r="D1054" s="9">
        <v>44855</v>
      </c>
      <c r="E1054" s="14">
        <f>VLOOKUP(F1054,CarrierID!A:B,2,0)</f>
        <v>10</v>
      </c>
      <c r="F1054" s="15" t="s">
        <v>8</v>
      </c>
      <c r="G1054" t="str">
        <f>VLOOKUP(F1054,Carrier_Category!A:B,2,0)</f>
        <v>Intercity</v>
      </c>
      <c r="H1054" s="5">
        <v>24</v>
      </c>
      <c r="I1054" s="7">
        <f t="shared" si="52"/>
        <v>27</v>
      </c>
      <c r="J1054" s="5">
        <v>796</v>
      </c>
      <c r="K1054" s="18">
        <f t="shared" si="51"/>
        <v>33.166666666666664</v>
      </c>
      <c r="M1054">
        <v>28</v>
      </c>
    </row>
    <row r="1055" spans="1:13" x14ac:dyDescent="0.3">
      <c r="A1055" s="14">
        <v>2022</v>
      </c>
      <c r="B1055" s="14">
        <f t="shared" si="50"/>
        <v>42</v>
      </c>
      <c r="C1055" s="9">
        <v>44851</v>
      </c>
      <c r="D1055" s="9">
        <v>44855</v>
      </c>
      <c r="E1055" s="14">
        <f>VLOOKUP(F1055,CarrierID!A:B,2,0)</f>
        <v>4</v>
      </c>
      <c r="F1055" s="15" t="s">
        <v>24</v>
      </c>
      <c r="G1055" t="str">
        <f>VLOOKUP(F1055,Carrier_Category!A:B,2,0)</f>
        <v>Commuter</v>
      </c>
      <c r="H1055" s="5">
        <v>36</v>
      </c>
      <c r="I1055" s="7">
        <f t="shared" si="52"/>
        <v>37</v>
      </c>
      <c r="J1055" s="5">
        <v>650</v>
      </c>
      <c r="K1055" s="18">
        <f t="shared" si="51"/>
        <v>18.055555555555557</v>
      </c>
    </row>
    <row r="1056" spans="1:13" x14ac:dyDescent="0.3">
      <c r="A1056" s="14">
        <v>2022</v>
      </c>
      <c r="B1056" s="14">
        <f t="shared" si="50"/>
        <v>42</v>
      </c>
      <c r="C1056" s="9">
        <v>44851</v>
      </c>
      <c r="D1056" s="9">
        <v>44855</v>
      </c>
      <c r="E1056" s="14">
        <f>VLOOKUP(F1056,CarrierID!A:B,2,0)</f>
        <v>6</v>
      </c>
      <c r="F1056" s="15" t="s">
        <v>9</v>
      </c>
      <c r="G1056" t="str">
        <f>VLOOKUP(F1056,Carrier_Category!A:B,2,0)</f>
        <v>Commuter</v>
      </c>
      <c r="H1056" s="5">
        <v>86</v>
      </c>
      <c r="I1056" s="7">
        <f t="shared" si="52"/>
        <v>86</v>
      </c>
      <c r="J1056" s="5">
        <v>1780</v>
      </c>
      <c r="K1056" s="18">
        <f t="shared" si="51"/>
        <v>20.697674418604652</v>
      </c>
      <c r="M1056">
        <v>18</v>
      </c>
    </row>
    <row r="1057" spans="1:15" x14ac:dyDescent="0.3">
      <c r="A1057" s="14">
        <v>2022</v>
      </c>
      <c r="B1057" s="14">
        <f t="shared" si="50"/>
        <v>43</v>
      </c>
      <c r="C1057" s="9">
        <v>44858</v>
      </c>
      <c r="D1057" s="9">
        <v>44862</v>
      </c>
      <c r="E1057" s="14">
        <f>VLOOKUP(F1057,CarrierID!A:B,2,0)</f>
        <v>1</v>
      </c>
      <c r="F1057" s="15" t="s">
        <v>0</v>
      </c>
      <c r="G1057" t="str">
        <f>VLOOKUP(F1057,Carrier_Category!A:B,2,0)</f>
        <v>Commuter</v>
      </c>
      <c r="H1057" s="5">
        <v>35</v>
      </c>
      <c r="I1057" s="7">
        <f t="shared" si="52"/>
        <v>34</v>
      </c>
      <c r="J1057" s="5">
        <v>1194</v>
      </c>
      <c r="K1057" s="18">
        <f t="shared" si="51"/>
        <v>34.114285714285714</v>
      </c>
    </row>
    <row r="1058" spans="1:15" x14ac:dyDescent="0.3">
      <c r="A1058" s="14">
        <v>2022</v>
      </c>
      <c r="B1058" s="14">
        <f t="shared" si="50"/>
        <v>43</v>
      </c>
      <c r="C1058" s="9">
        <v>44858</v>
      </c>
      <c r="D1058" s="9">
        <v>44862</v>
      </c>
      <c r="E1058" s="14">
        <f>VLOOKUP(F1058,CarrierID!A:B,2,0)</f>
        <v>5</v>
      </c>
      <c r="F1058" s="15" t="s">
        <v>1</v>
      </c>
      <c r="G1058" t="str">
        <f>VLOOKUP(F1058,Carrier_Category!A:B,2,0)</f>
        <v>Intercity</v>
      </c>
      <c r="H1058" s="5">
        <v>49</v>
      </c>
      <c r="I1058" s="7">
        <f t="shared" si="52"/>
        <v>51</v>
      </c>
      <c r="J1058" s="5">
        <v>1376</v>
      </c>
      <c r="K1058" s="18">
        <f t="shared" si="51"/>
        <v>28.081632653061224</v>
      </c>
    </row>
    <row r="1059" spans="1:15" x14ac:dyDescent="0.3">
      <c r="A1059" s="14">
        <v>2022</v>
      </c>
      <c r="B1059" s="14">
        <f t="shared" si="50"/>
        <v>43</v>
      </c>
      <c r="C1059" s="9">
        <v>44858</v>
      </c>
      <c r="D1059" s="9">
        <v>44862</v>
      </c>
      <c r="E1059" s="14">
        <f>VLOOKUP(F1059,CarrierID!A:B,2,0)</f>
        <v>8</v>
      </c>
      <c r="F1059" s="15" t="s">
        <v>2</v>
      </c>
      <c r="G1059" t="str">
        <f>VLOOKUP(F1059,Carrier_Category!A:B,2,0)</f>
        <v>Commuter</v>
      </c>
      <c r="H1059" s="5">
        <v>21</v>
      </c>
      <c r="I1059" s="7">
        <f t="shared" si="52"/>
        <v>21</v>
      </c>
      <c r="J1059" s="5">
        <v>828</v>
      </c>
      <c r="K1059" s="18">
        <f t="shared" si="51"/>
        <v>39.428571428571431</v>
      </c>
    </row>
    <row r="1060" spans="1:15" x14ac:dyDescent="0.3">
      <c r="A1060" s="14">
        <v>2022</v>
      </c>
      <c r="B1060" s="14">
        <f t="shared" si="50"/>
        <v>43</v>
      </c>
      <c r="C1060" s="9">
        <v>44858</v>
      </c>
      <c r="D1060" s="9">
        <v>44862</v>
      </c>
      <c r="E1060" s="14">
        <f>VLOOKUP(F1060,CarrierID!A:B,2,0)</f>
        <v>9</v>
      </c>
      <c r="F1060" s="15" t="s">
        <v>3</v>
      </c>
      <c r="G1060" t="str">
        <f>VLOOKUP(F1060,Carrier_Category!A:B,2,0)</f>
        <v>NJT</v>
      </c>
      <c r="H1060" s="5">
        <v>2213</v>
      </c>
      <c r="I1060" s="7">
        <f t="shared" si="52"/>
        <v>2211</v>
      </c>
      <c r="J1060" s="5">
        <v>67485</v>
      </c>
      <c r="K1060" s="18">
        <f t="shared" si="51"/>
        <v>30.494803434252148</v>
      </c>
    </row>
    <row r="1061" spans="1:15" x14ac:dyDescent="0.3">
      <c r="A1061" s="14">
        <v>2022</v>
      </c>
      <c r="B1061" s="14">
        <f t="shared" si="50"/>
        <v>43</v>
      </c>
      <c r="C1061" s="9">
        <v>44858</v>
      </c>
      <c r="D1061" s="9">
        <v>44862</v>
      </c>
      <c r="E1061" s="14">
        <f>VLOOKUP(F1061,CarrierID!A:B,2,0)</f>
        <v>7</v>
      </c>
      <c r="F1061" s="15" t="s">
        <v>4</v>
      </c>
      <c r="G1061" t="str">
        <f>VLOOKUP(F1061,Carrier_Category!A:B,2,0)</f>
        <v>Commuter</v>
      </c>
      <c r="H1061" s="5">
        <v>29</v>
      </c>
      <c r="I1061" s="7">
        <f t="shared" si="52"/>
        <v>29</v>
      </c>
      <c r="J1061" s="5">
        <v>989</v>
      </c>
      <c r="K1061" s="18">
        <f t="shared" si="51"/>
        <v>34.103448275862071</v>
      </c>
    </row>
    <row r="1062" spans="1:15" x14ac:dyDescent="0.3">
      <c r="A1062" s="14">
        <v>2022</v>
      </c>
      <c r="B1062" s="14">
        <f t="shared" si="50"/>
        <v>43</v>
      </c>
      <c r="C1062" s="9">
        <v>44858</v>
      </c>
      <c r="D1062" s="9">
        <v>44862</v>
      </c>
      <c r="E1062" s="14">
        <f>VLOOKUP(F1062,CarrierID!A:B,2,0)</f>
        <v>11</v>
      </c>
      <c r="F1062" s="15" t="s">
        <v>5</v>
      </c>
      <c r="G1062" t="str">
        <f>VLOOKUP(F1062,Carrier_Category!A:B,2,0)</f>
        <v>Intercity</v>
      </c>
      <c r="H1062" s="5">
        <v>24</v>
      </c>
      <c r="I1062" s="7">
        <f t="shared" si="52"/>
        <v>24</v>
      </c>
      <c r="J1062" s="5">
        <v>500</v>
      </c>
      <c r="K1062" s="18">
        <f t="shared" si="51"/>
        <v>20.833333333333332</v>
      </c>
    </row>
    <row r="1063" spans="1:15" x14ac:dyDescent="0.3">
      <c r="A1063" s="14">
        <v>2022</v>
      </c>
      <c r="B1063" s="14">
        <f t="shared" si="50"/>
        <v>43</v>
      </c>
      <c r="C1063" s="9">
        <v>44858</v>
      </c>
      <c r="D1063" s="9">
        <v>44862</v>
      </c>
      <c r="E1063" s="14">
        <f>VLOOKUP(F1063,CarrierID!A:B,2,0)</f>
        <v>3</v>
      </c>
      <c r="F1063" s="15" t="s">
        <v>6</v>
      </c>
      <c r="G1063" t="str">
        <f>VLOOKUP(F1063,Carrier_Category!A:B,2,0)</f>
        <v>Commuter</v>
      </c>
      <c r="H1063" s="5">
        <v>148</v>
      </c>
      <c r="I1063" s="7">
        <f t="shared" si="52"/>
        <v>147</v>
      </c>
      <c r="J1063" s="5">
        <v>4883</v>
      </c>
      <c r="K1063" s="18">
        <f t="shared" si="51"/>
        <v>32.993243243243242</v>
      </c>
    </row>
    <row r="1064" spans="1:15" x14ac:dyDescent="0.3">
      <c r="A1064" s="14">
        <v>2022</v>
      </c>
      <c r="B1064" s="14">
        <f t="shared" si="50"/>
        <v>43</v>
      </c>
      <c r="C1064" s="9">
        <v>44858</v>
      </c>
      <c r="D1064" s="9">
        <v>44862</v>
      </c>
      <c r="E1064" s="14">
        <f>VLOOKUP(F1064,CarrierID!A:B,2,0)</f>
        <v>12</v>
      </c>
      <c r="F1064" s="15" t="s">
        <v>25</v>
      </c>
      <c r="G1064" t="str">
        <f>VLOOKUP(F1064,Carrier_Category!A:B,2,0)</f>
        <v>Commuter</v>
      </c>
      <c r="H1064" s="5">
        <v>17</v>
      </c>
      <c r="I1064" s="7">
        <f t="shared" si="52"/>
        <v>18</v>
      </c>
      <c r="J1064" s="5">
        <v>593</v>
      </c>
      <c r="K1064" s="18">
        <f t="shared" si="51"/>
        <v>34.882352941176471</v>
      </c>
    </row>
    <row r="1065" spans="1:15" x14ac:dyDescent="0.3">
      <c r="A1065" s="14">
        <v>2022</v>
      </c>
      <c r="B1065" s="14">
        <f t="shared" si="50"/>
        <v>43</v>
      </c>
      <c r="C1065" s="9">
        <v>44858</v>
      </c>
      <c r="D1065" s="9">
        <v>44862</v>
      </c>
      <c r="E1065" s="14">
        <f>VLOOKUP(F1065,CarrierID!A:B,2,0)</f>
        <v>10</v>
      </c>
      <c r="F1065" s="15" t="s">
        <v>8</v>
      </c>
      <c r="G1065" t="str">
        <f>VLOOKUP(F1065,Carrier_Category!A:B,2,0)</f>
        <v>Intercity</v>
      </c>
      <c r="H1065" s="5">
        <v>24</v>
      </c>
      <c r="I1065" s="7">
        <f t="shared" si="52"/>
        <v>24</v>
      </c>
      <c r="J1065" s="5">
        <v>798</v>
      </c>
      <c r="K1065" s="18">
        <f t="shared" si="51"/>
        <v>33.25</v>
      </c>
    </row>
    <row r="1066" spans="1:15" x14ac:dyDescent="0.3">
      <c r="A1066" s="14">
        <v>2022</v>
      </c>
      <c r="B1066" s="14">
        <f t="shared" si="50"/>
        <v>43</v>
      </c>
      <c r="C1066" s="9">
        <v>44858</v>
      </c>
      <c r="D1066" s="9">
        <v>44862</v>
      </c>
      <c r="E1066" s="14">
        <f>VLOOKUP(F1066,CarrierID!A:B,2,0)</f>
        <v>4</v>
      </c>
      <c r="F1066" s="15" t="s">
        <v>24</v>
      </c>
      <c r="G1066" t="str">
        <f>VLOOKUP(F1066,Carrier_Category!A:B,2,0)</f>
        <v>Commuter</v>
      </c>
      <c r="H1066" s="5">
        <v>36</v>
      </c>
      <c r="I1066" s="7">
        <f t="shared" si="52"/>
        <v>36</v>
      </c>
      <c r="J1066" s="5">
        <v>643</v>
      </c>
      <c r="K1066" s="18">
        <f t="shared" si="51"/>
        <v>17.861111111111111</v>
      </c>
    </row>
    <row r="1067" spans="1:15" x14ac:dyDescent="0.3">
      <c r="A1067" s="14">
        <v>2022</v>
      </c>
      <c r="B1067" s="14">
        <f t="shared" si="50"/>
        <v>43</v>
      </c>
      <c r="C1067" s="9">
        <v>44858</v>
      </c>
      <c r="D1067" s="9">
        <v>44862</v>
      </c>
      <c r="E1067" s="14">
        <f>VLOOKUP(F1067,CarrierID!A:B,2,0)</f>
        <v>6</v>
      </c>
      <c r="F1067" s="15" t="s">
        <v>9</v>
      </c>
      <c r="G1067" t="str">
        <f>VLOOKUP(F1067,Carrier_Category!A:B,2,0)</f>
        <v>Commuter</v>
      </c>
      <c r="H1067" s="5">
        <v>87</v>
      </c>
      <c r="I1067" s="7">
        <f t="shared" si="52"/>
        <v>86</v>
      </c>
      <c r="J1067" s="5">
        <v>1685</v>
      </c>
      <c r="K1067" s="18">
        <f t="shared" si="51"/>
        <v>19.367816091954023</v>
      </c>
    </row>
    <row r="1068" spans="1:15" x14ac:dyDescent="0.3">
      <c r="A1068" s="14">
        <v>2022</v>
      </c>
      <c r="B1068" s="14">
        <f t="shared" si="50"/>
        <v>44</v>
      </c>
      <c r="C1068" s="9">
        <v>44865</v>
      </c>
      <c r="D1068" s="9">
        <v>44869</v>
      </c>
      <c r="E1068" s="14">
        <f>VLOOKUP(F1068,CarrierID!A:B,2,0)</f>
        <v>1</v>
      </c>
      <c r="F1068" s="15" t="s">
        <v>0</v>
      </c>
      <c r="G1068" t="str">
        <f>VLOOKUP(F1068,Carrier_Category!A:B,2,0)</f>
        <v>Commuter</v>
      </c>
      <c r="H1068" s="5">
        <v>35</v>
      </c>
      <c r="I1068" s="7">
        <f t="shared" si="52"/>
        <v>35</v>
      </c>
      <c r="J1068" s="5">
        <v>1193</v>
      </c>
      <c r="K1068" s="18">
        <f t="shared" si="51"/>
        <v>34.085714285714289</v>
      </c>
      <c r="M1068">
        <v>27</v>
      </c>
      <c r="O1068" t="s">
        <v>29</v>
      </c>
    </row>
    <row r="1069" spans="1:15" x14ac:dyDescent="0.3">
      <c r="A1069" s="14">
        <v>2022</v>
      </c>
      <c r="B1069" s="14">
        <f t="shared" si="50"/>
        <v>44</v>
      </c>
      <c r="C1069" s="9">
        <v>44865</v>
      </c>
      <c r="D1069" s="9">
        <v>44869</v>
      </c>
      <c r="E1069" s="14">
        <f>VLOOKUP(F1069,CarrierID!A:B,2,0)</f>
        <v>5</v>
      </c>
      <c r="F1069" s="15" t="s">
        <v>1</v>
      </c>
      <c r="G1069" t="str">
        <f>VLOOKUP(F1069,Carrier_Category!A:B,2,0)</f>
        <v>Intercity</v>
      </c>
      <c r="H1069" s="5">
        <v>52</v>
      </c>
      <c r="I1069" s="7">
        <f t="shared" si="52"/>
        <v>49</v>
      </c>
      <c r="J1069" s="5">
        <v>1408</v>
      </c>
      <c r="K1069" s="18">
        <f t="shared" si="51"/>
        <v>27.076923076923077</v>
      </c>
      <c r="M1069">
        <v>37</v>
      </c>
      <c r="O1069" t="s">
        <v>27</v>
      </c>
    </row>
    <row r="1070" spans="1:15" x14ac:dyDescent="0.3">
      <c r="A1070" s="14">
        <v>2022</v>
      </c>
      <c r="B1070" s="14">
        <f t="shared" si="50"/>
        <v>44</v>
      </c>
      <c r="C1070" s="9">
        <v>44865</v>
      </c>
      <c r="D1070" s="9">
        <v>44869</v>
      </c>
      <c r="E1070" s="14">
        <f>VLOOKUP(F1070,CarrierID!A:B,2,0)</f>
        <v>8</v>
      </c>
      <c r="F1070" s="15" t="s">
        <v>2</v>
      </c>
      <c r="G1070" t="str">
        <f>VLOOKUP(F1070,Carrier_Category!A:B,2,0)</f>
        <v>Commuter</v>
      </c>
      <c r="H1070" s="5">
        <v>21</v>
      </c>
      <c r="I1070" s="7">
        <f t="shared" si="52"/>
        <v>21</v>
      </c>
      <c r="J1070" s="5">
        <v>808</v>
      </c>
      <c r="K1070" s="18">
        <f t="shared" si="51"/>
        <v>38.476190476190474</v>
      </c>
      <c r="M1070">
        <v>86</v>
      </c>
      <c r="O1070" t="s">
        <v>28</v>
      </c>
    </row>
    <row r="1071" spans="1:15" x14ac:dyDescent="0.3">
      <c r="A1071" s="14">
        <v>2022</v>
      </c>
      <c r="B1071" s="14">
        <f t="shared" si="50"/>
        <v>44</v>
      </c>
      <c r="C1071" s="9">
        <v>44865</v>
      </c>
      <c r="D1071" s="9">
        <v>44869</v>
      </c>
      <c r="E1071" s="14">
        <f>VLOOKUP(F1071,CarrierID!A:B,2,0)</f>
        <v>9</v>
      </c>
      <c r="F1071" s="15" t="s">
        <v>3</v>
      </c>
      <c r="G1071" t="str">
        <f>VLOOKUP(F1071,Carrier_Category!A:B,2,0)</f>
        <v>NJT</v>
      </c>
      <c r="H1071" s="5">
        <v>2213</v>
      </c>
      <c r="I1071" s="7">
        <f t="shared" si="52"/>
        <v>2213</v>
      </c>
      <c r="J1071" s="5">
        <v>68826</v>
      </c>
      <c r="K1071" s="18">
        <f t="shared" si="51"/>
        <v>31.100768187980119</v>
      </c>
      <c r="O1071">
        <v>35</v>
      </c>
    </row>
    <row r="1072" spans="1:15" x14ac:dyDescent="0.3">
      <c r="A1072" s="14">
        <v>2022</v>
      </c>
      <c r="B1072" s="14">
        <f t="shared" si="50"/>
        <v>44</v>
      </c>
      <c r="C1072" s="9">
        <v>44865</v>
      </c>
      <c r="D1072" s="9">
        <v>44869</v>
      </c>
      <c r="E1072" s="14">
        <f>VLOOKUP(F1072,CarrierID!A:B,2,0)</f>
        <v>7</v>
      </c>
      <c r="F1072" s="15" t="s">
        <v>4</v>
      </c>
      <c r="G1072" t="str">
        <f>VLOOKUP(F1072,Carrier_Category!A:B,2,0)</f>
        <v>Commuter</v>
      </c>
      <c r="H1072" s="5">
        <v>28</v>
      </c>
      <c r="I1072" s="7">
        <f t="shared" si="52"/>
        <v>29</v>
      </c>
      <c r="J1072" s="5">
        <v>1199</v>
      </c>
      <c r="K1072" s="18">
        <f t="shared" si="51"/>
        <v>42.821428571428569</v>
      </c>
      <c r="O1072">
        <v>49</v>
      </c>
    </row>
    <row r="1073" spans="1:15" x14ac:dyDescent="0.3">
      <c r="A1073" s="14">
        <v>2022</v>
      </c>
      <c r="B1073" s="14">
        <f t="shared" si="50"/>
        <v>44</v>
      </c>
      <c r="C1073" s="9">
        <v>44865</v>
      </c>
      <c r="D1073" s="9">
        <v>44869</v>
      </c>
      <c r="E1073" s="14">
        <f>VLOOKUP(F1073,CarrierID!A:B,2,0)</f>
        <v>11</v>
      </c>
      <c r="F1073" s="15" t="s">
        <v>5</v>
      </c>
      <c r="G1073" t="str">
        <f>VLOOKUP(F1073,Carrier_Category!A:B,2,0)</f>
        <v>Intercity</v>
      </c>
      <c r="H1073" s="5">
        <v>24</v>
      </c>
      <c r="I1073" s="7">
        <f t="shared" si="52"/>
        <v>24</v>
      </c>
      <c r="J1073" s="5">
        <v>494</v>
      </c>
      <c r="K1073" s="18">
        <f t="shared" si="51"/>
        <v>20.583333333333332</v>
      </c>
      <c r="O1073">
        <v>21</v>
      </c>
    </row>
    <row r="1074" spans="1:15" x14ac:dyDescent="0.3">
      <c r="A1074" s="14">
        <v>2022</v>
      </c>
      <c r="B1074" s="14">
        <f t="shared" si="50"/>
        <v>44</v>
      </c>
      <c r="C1074" s="9">
        <v>44865</v>
      </c>
      <c r="D1074" s="9">
        <v>44869</v>
      </c>
      <c r="E1074" s="14">
        <f>VLOOKUP(F1074,CarrierID!A:B,2,0)</f>
        <v>3</v>
      </c>
      <c r="F1074" s="15" t="s">
        <v>6</v>
      </c>
      <c r="G1074" t="str">
        <f>VLOOKUP(F1074,Carrier_Category!A:B,2,0)</f>
        <v>Commuter</v>
      </c>
      <c r="H1074" s="5">
        <v>147</v>
      </c>
      <c r="I1074" s="7">
        <f t="shared" si="52"/>
        <v>148</v>
      </c>
      <c r="J1074" s="5">
        <v>5033</v>
      </c>
      <c r="K1074" s="18">
        <f t="shared" si="51"/>
        <v>34.238095238095241</v>
      </c>
      <c r="O1074">
        <v>2213</v>
      </c>
    </row>
    <row r="1075" spans="1:15" x14ac:dyDescent="0.3">
      <c r="A1075" s="14">
        <v>2022</v>
      </c>
      <c r="B1075" s="14">
        <f t="shared" si="50"/>
        <v>44</v>
      </c>
      <c r="C1075" s="9">
        <v>44865</v>
      </c>
      <c r="D1075" s="9">
        <v>44869</v>
      </c>
      <c r="E1075" s="14">
        <f>VLOOKUP(F1075,CarrierID!A:B,2,0)</f>
        <v>12</v>
      </c>
      <c r="F1075" s="15" t="s">
        <v>25</v>
      </c>
      <c r="G1075" t="str">
        <f>VLOOKUP(F1075,Carrier_Category!A:B,2,0)</f>
        <v>Commuter</v>
      </c>
      <c r="H1075" s="5">
        <v>18</v>
      </c>
      <c r="I1075" s="7">
        <f t="shared" si="52"/>
        <v>17</v>
      </c>
      <c r="J1075" s="5">
        <v>554</v>
      </c>
      <c r="K1075" s="18">
        <f t="shared" si="51"/>
        <v>30.777777777777779</v>
      </c>
      <c r="O1075">
        <v>29</v>
      </c>
    </row>
    <row r="1076" spans="1:15" x14ac:dyDescent="0.3">
      <c r="A1076" s="14">
        <v>2022</v>
      </c>
      <c r="B1076" s="14">
        <f t="shared" si="50"/>
        <v>44</v>
      </c>
      <c r="C1076" s="9">
        <v>44865</v>
      </c>
      <c r="D1076" s="9">
        <v>44869</v>
      </c>
      <c r="E1076" s="14">
        <f>VLOOKUP(F1076,CarrierID!A:B,2,0)</f>
        <v>10</v>
      </c>
      <c r="F1076" s="15" t="s">
        <v>8</v>
      </c>
      <c r="G1076" t="str">
        <f>VLOOKUP(F1076,Carrier_Category!A:B,2,0)</f>
        <v>Intercity</v>
      </c>
      <c r="H1076" s="5">
        <v>23</v>
      </c>
      <c r="I1076" s="7">
        <f t="shared" si="52"/>
        <v>24</v>
      </c>
      <c r="J1076" s="5">
        <v>759</v>
      </c>
      <c r="K1076" s="18">
        <f t="shared" si="51"/>
        <v>33</v>
      </c>
      <c r="O1076">
        <v>24</v>
      </c>
    </row>
    <row r="1077" spans="1:15" x14ac:dyDescent="0.3">
      <c r="A1077" s="14">
        <v>2022</v>
      </c>
      <c r="B1077" s="14">
        <f t="shared" si="50"/>
        <v>44</v>
      </c>
      <c r="C1077" s="9">
        <v>44865</v>
      </c>
      <c r="D1077" s="9">
        <v>44869</v>
      </c>
      <c r="E1077" s="14">
        <f>VLOOKUP(F1077,CarrierID!A:B,2,0)</f>
        <v>4</v>
      </c>
      <c r="F1077" s="15" t="s">
        <v>24</v>
      </c>
      <c r="G1077" t="str">
        <f>VLOOKUP(F1077,Carrier_Category!A:B,2,0)</f>
        <v>Commuter</v>
      </c>
      <c r="H1077" s="5">
        <v>36</v>
      </c>
      <c r="I1077" s="7">
        <f t="shared" si="52"/>
        <v>36</v>
      </c>
      <c r="J1077" s="5">
        <v>620</v>
      </c>
      <c r="K1077" s="18">
        <f t="shared" si="51"/>
        <v>17.222222222222221</v>
      </c>
    </row>
    <row r="1078" spans="1:15" x14ac:dyDescent="0.3">
      <c r="A1078" s="14">
        <v>2022</v>
      </c>
      <c r="B1078" s="14">
        <f t="shared" si="50"/>
        <v>44</v>
      </c>
      <c r="C1078" s="9">
        <v>44865</v>
      </c>
      <c r="D1078" s="9">
        <v>44869</v>
      </c>
      <c r="E1078" s="14">
        <f>VLOOKUP(F1078,CarrierID!A:B,2,0)</f>
        <v>6</v>
      </c>
      <c r="F1078" s="15" t="s">
        <v>9</v>
      </c>
      <c r="G1078" t="str">
        <f>VLOOKUP(F1078,Carrier_Category!A:B,2,0)</f>
        <v>Commuter</v>
      </c>
      <c r="H1078" s="5">
        <v>82</v>
      </c>
      <c r="I1078" s="7">
        <f t="shared" si="52"/>
        <v>87</v>
      </c>
      <c r="J1078" s="5">
        <v>1416</v>
      </c>
      <c r="K1078" s="18">
        <f t="shared" si="51"/>
        <v>17.26829268292683</v>
      </c>
      <c r="O1078">
        <v>17</v>
      </c>
    </row>
    <row r="1079" spans="1:15" x14ac:dyDescent="0.3">
      <c r="A1079" s="14">
        <v>2022</v>
      </c>
      <c r="B1079" s="14">
        <f t="shared" si="50"/>
        <v>45</v>
      </c>
      <c r="C1079" s="9">
        <v>44872</v>
      </c>
      <c r="D1079" s="9">
        <v>44876</v>
      </c>
      <c r="E1079" s="14">
        <f>VLOOKUP(F1079,CarrierID!A:B,2,0)</f>
        <v>1</v>
      </c>
      <c r="F1079" s="15" t="s">
        <v>0</v>
      </c>
      <c r="G1079" t="str">
        <f>VLOOKUP(F1079,Carrier_Category!A:B,2,0)</f>
        <v>Commuter</v>
      </c>
      <c r="H1079" s="5">
        <v>34</v>
      </c>
      <c r="I1079" s="7">
        <f t="shared" si="52"/>
        <v>35</v>
      </c>
      <c r="J1079" s="5">
        <v>1140</v>
      </c>
      <c r="K1079" s="18">
        <f t="shared" si="51"/>
        <v>33.529411764705884</v>
      </c>
      <c r="O1079">
        <v>24</v>
      </c>
    </row>
    <row r="1080" spans="1:15" x14ac:dyDescent="0.3">
      <c r="A1080" s="14">
        <v>2022</v>
      </c>
      <c r="B1080" s="14">
        <f t="shared" si="50"/>
        <v>45</v>
      </c>
      <c r="C1080" s="9">
        <v>44872</v>
      </c>
      <c r="D1080" s="9">
        <v>44876</v>
      </c>
      <c r="E1080" s="14">
        <f>VLOOKUP(F1080,CarrierID!A:B,2,0)</f>
        <v>5</v>
      </c>
      <c r="F1080" s="15" t="s">
        <v>1</v>
      </c>
      <c r="G1080" t="str">
        <f>VLOOKUP(F1080,Carrier_Category!A:B,2,0)</f>
        <v>Intercity</v>
      </c>
      <c r="H1080" s="5">
        <v>51</v>
      </c>
      <c r="I1080" s="7">
        <f t="shared" si="52"/>
        <v>52</v>
      </c>
      <c r="J1080" s="5">
        <v>1355</v>
      </c>
      <c r="K1080" s="18">
        <f t="shared" si="51"/>
        <v>26.568627450980394</v>
      </c>
      <c r="O1080">
        <v>36</v>
      </c>
    </row>
    <row r="1081" spans="1:15" x14ac:dyDescent="0.3">
      <c r="A1081" s="14">
        <v>2022</v>
      </c>
      <c r="B1081" s="14">
        <f t="shared" si="50"/>
        <v>45</v>
      </c>
      <c r="C1081" s="9">
        <v>44872</v>
      </c>
      <c r="D1081" s="9">
        <v>44876</v>
      </c>
      <c r="E1081" s="14">
        <f>VLOOKUP(F1081,CarrierID!A:B,2,0)</f>
        <v>8</v>
      </c>
      <c r="F1081" s="15" t="s">
        <v>2</v>
      </c>
      <c r="G1081" t="str">
        <f>VLOOKUP(F1081,Carrier_Category!A:B,2,0)</f>
        <v>Commuter</v>
      </c>
      <c r="H1081" s="5">
        <v>20</v>
      </c>
      <c r="I1081" s="7">
        <f t="shared" si="52"/>
        <v>21</v>
      </c>
      <c r="J1081" s="5">
        <v>809</v>
      </c>
      <c r="K1081" s="18">
        <f t="shared" si="51"/>
        <v>40.450000000000003</v>
      </c>
      <c r="O1081">
        <v>87</v>
      </c>
    </row>
    <row r="1082" spans="1:15" x14ac:dyDescent="0.3">
      <c r="A1082" s="14">
        <v>2022</v>
      </c>
      <c r="B1082" s="14">
        <f t="shared" si="50"/>
        <v>45</v>
      </c>
      <c r="C1082" s="9">
        <v>44872</v>
      </c>
      <c r="D1082" s="9">
        <v>44876</v>
      </c>
      <c r="E1082" s="14">
        <f>VLOOKUP(F1082,CarrierID!A:B,2,0)</f>
        <v>9</v>
      </c>
      <c r="F1082" s="15" t="s">
        <v>3</v>
      </c>
      <c r="G1082" t="str">
        <f>VLOOKUP(F1082,Carrier_Category!A:B,2,0)</f>
        <v>NJT</v>
      </c>
      <c r="H1082" s="5">
        <v>2213</v>
      </c>
      <c r="I1082" s="7">
        <f t="shared" si="52"/>
        <v>2213</v>
      </c>
      <c r="J1082" s="5">
        <v>66871</v>
      </c>
      <c r="K1082" s="18">
        <f t="shared" si="51"/>
        <v>30.217352010845008</v>
      </c>
    </row>
    <row r="1083" spans="1:15" x14ac:dyDescent="0.3">
      <c r="A1083" s="14">
        <v>2022</v>
      </c>
      <c r="B1083" s="14">
        <f t="shared" si="50"/>
        <v>45</v>
      </c>
      <c r="C1083" s="9">
        <v>44872</v>
      </c>
      <c r="D1083" s="9">
        <v>44876</v>
      </c>
      <c r="E1083" s="14">
        <f>VLOOKUP(F1083,CarrierID!A:B,2,0)</f>
        <v>7</v>
      </c>
      <c r="F1083" s="15" t="s">
        <v>4</v>
      </c>
      <c r="G1083" t="str">
        <f>VLOOKUP(F1083,Carrier_Category!A:B,2,0)</f>
        <v>Commuter</v>
      </c>
      <c r="H1083" s="5">
        <v>29</v>
      </c>
      <c r="I1083" s="7">
        <f t="shared" si="52"/>
        <v>28</v>
      </c>
      <c r="J1083" s="5">
        <v>1182</v>
      </c>
      <c r="K1083" s="18">
        <f t="shared" si="51"/>
        <v>40.758620689655174</v>
      </c>
    </row>
    <row r="1084" spans="1:15" x14ac:dyDescent="0.3">
      <c r="A1084" s="14">
        <v>2022</v>
      </c>
      <c r="B1084" s="14">
        <f t="shared" si="50"/>
        <v>45</v>
      </c>
      <c r="C1084" s="9">
        <v>44872</v>
      </c>
      <c r="D1084" s="9">
        <v>44876</v>
      </c>
      <c r="E1084" s="14">
        <f>VLOOKUP(F1084,CarrierID!A:B,2,0)</f>
        <v>11</v>
      </c>
      <c r="F1084" s="15" t="s">
        <v>5</v>
      </c>
      <c r="G1084" t="str">
        <f>VLOOKUP(F1084,Carrier_Category!A:B,2,0)</f>
        <v>Intercity</v>
      </c>
      <c r="H1084" s="5">
        <v>24</v>
      </c>
      <c r="I1084" s="7">
        <f t="shared" si="52"/>
        <v>24</v>
      </c>
      <c r="J1084" s="5">
        <v>445</v>
      </c>
      <c r="K1084" s="18">
        <f t="shared" si="51"/>
        <v>18.541666666666668</v>
      </c>
    </row>
    <row r="1085" spans="1:15" x14ac:dyDescent="0.3">
      <c r="A1085" s="14">
        <v>2022</v>
      </c>
      <c r="B1085" s="14">
        <f t="shared" si="50"/>
        <v>45</v>
      </c>
      <c r="C1085" s="9">
        <v>44872</v>
      </c>
      <c r="D1085" s="9">
        <v>44876</v>
      </c>
      <c r="E1085" s="14">
        <f>VLOOKUP(F1085,CarrierID!A:B,2,0)</f>
        <v>3</v>
      </c>
      <c r="F1085" s="15" t="s">
        <v>6</v>
      </c>
      <c r="G1085" t="str">
        <f>VLOOKUP(F1085,Carrier_Category!A:B,2,0)</f>
        <v>Commuter</v>
      </c>
      <c r="H1085" s="5">
        <v>148</v>
      </c>
      <c r="I1085" s="7">
        <f t="shared" si="52"/>
        <v>147</v>
      </c>
      <c r="J1085" s="5">
        <v>4922</v>
      </c>
      <c r="K1085" s="18">
        <f t="shared" si="51"/>
        <v>33.256756756756758</v>
      </c>
    </row>
    <row r="1086" spans="1:15" x14ac:dyDescent="0.3">
      <c r="A1086" s="14">
        <v>2022</v>
      </c>
      <c r="B1086" s="14">
        <f t="shared" si="50"/>
        <v>45</v>
      </c>
      <c r="C1086" s="9">
        <v>44872</v>
      </c>
      <c r="D1086" s="9">
        <v>44876</v>
      </c>
      <c r="E1086" s="14">
        <f>VLOOKUP(F1086,CarrierID!A:B,2,0)</f>
        <v>12</v>
      </c>
      <c r="F1086" s="15" t="s">
        <v>25</v>
      </c>
      <c r="G1086" t="str">
        <f>VLOOKUP(F1086,Carrier_Category!A:B,2,0)</f>
        <v>Commuter</v>
      </c>
      <c r="H1086" s="5">
        <v>18</v>
      </c>
      <c r="I1086" s="7">
        <f t="shared" si="52"/>
        <v>18</v>
      </c>
      <c r="J1086" s="5">
        <v>596</v>
      </c>
      <c r="K1086" s="18">
        <f t="shared" si="51"/>
        <v>33.111111111111114</v>
      </c>
    </row>
    <row r="1087" spans="1:15" x14ac:dyDescent="0.3">
      <c r="A1087" s="14">
        <v>2022</v>
      </c>
      <c r="B1087" s="14">
        <f t="shared" si="50"/>
        <v>45</v>
      </c>
      <c r="C1087" s="9">
        <v>44872</v>
      </c>
      <c r="D1087" s="9">
        <v>44876</v>
      </c>
      <c r="E1087" s="14">
        <f>VLOOKUP(F1087,CarrierID!A:B,2,0)</f>
        <v>10</v>
      </c>
      <c r="F1087" s="15" t="s">
        <v>8</v>
      </c>
      <c r="G1087" t="str">
        <f>VLOOKUP(F1087,Carrier_Category!A:B,2,0)</f>
        <v>Intercity</v>
      </c>
      <c r="H1087" s="5">
        <v>24</v>
      </c>
      <c r="I1087" s="7">
        <f t="shared" si="52"/>
        <v>23</v>
      </c>
      <c r="J1087" s="5">
        <v>771</v>
      </c>
      <c r="K1087" s="18">
        <f t="shared" si="51"/>
        <v>32.125</v>
      </c>
    </row>
    <row r="1088" spans="1:15" x14ac:dyDescent="0.3">
      <c r="A1088" s="14">
        <v>2022</v>
      </c>
      <c r="B1088" s="14">
        <f t="shared" si="50"/>
        <v>45</v>
      </c>
      <c r="C1088" s="9">
        <v>44872</v>
      </c>
      <c r="D1088" s="9">
        <v>44876</v>
      </c>
      <c r="E1088" s="14">
        <f>VLOOKUP(F1088,CarrierID!A:B,2,0)</f>
        <v>4</v>
      </c>
      <c r="F1088" s="15" t="s">
        <v>24</v>
      </c>
      <c r="G1088" t="str">
        <f>VLOOKUP(F1088,Carrier_Category!A:B,2,0)</f>
        <v>Commuter</v>
      </c>
      <c r="H1088" s="5">
        <v>36</v>
      </c>
      <c r="I1088" s="7">
        <f t="shared" si="52"/>
        <v>36</v>
      </c>
      <c r="J1088" s="5">
        <v>643</v>
      </c>
      <c r="K1088" s="18">
        <f t="shared" si="51"/>
        <v>17.861111111111111</v>
      </c>
    </row>
    <row r="1089" spans="1:11" x14ac:dyDescent="0.3">
      <c r="A1089" s="14">
        <v>2022</v>
      </c>
      <c r="B1089" s="14">
        <f t="shared" si="50"/>
        <v>45</v>
      </c>
      <c r="C1089" s="9">
        <v>44872</v>
      </c>
      <c r="D1089" s="9">
        <v>44876</v>
      </c>
      <c r="E1089" s="14">
        <f>VLOOKUP(F1089,CarrierID!A:B,2,0)</f>
        <v>6</v>
      </c>
      <c r="F1089" s="15" t="s">
        <v>9</v>
      </c>
      <c r="G1089" t="str">
        <f>VLOOKUP(F1089,Carrier_Category!A:B,2,0)</f>
        <v>Commuter</v>
      </c>
      <c r="H1089" s="5">
        <v>87</v>
      </c>
      <c r="I1089" s="7">
        <f t="shared" si="52"/>
        <v>82</v>
      </c>
      <c r="J1089" s="5">
        <v>1711</v>
      </c>
      <c r="K1089" s="18">
        <f t="shared" si="51"/>
        <v>19.666666666666668</v>
      </c>
    </row>
    <row r="1090" spans="1:11" x14ac:dyDescent="0.3">
      <c r="A1090" s="14">
        <v>2022</v>
      </c>
      <c r="B1090" s="14">
        <f t="shared" si="50"/>
        <v>46</v>
      </c>
      <c r="C1090" s="9">
        <v>44879</v>
      </c>
      <c r="D1090" s="9">
        <v>44883</v>
      </c>
      <c r="E1090" s="14">
        <f>VLOOKUP(F1090,CarrierID!A:B,2,0)</f>
        <v>1</v>
      </c>
      <c r="F1090" s="15" t="s">
        <v>0</v>
      </c>
      <c r="G1090" t="str">
        <f>VLOOKUP(F1090,Carrier_Category!A:B,2,0)</f>
        <v>Commuter</v>
      </c>
      <c r="H1090" s="5">
        <v>34</v>
      </c>
      <c r="I1090" s="7">
        <f t="shared" si="52"/>
        <v>34</v>
      </c>
      <c r="J1090" s="5">
        <v>1137</v>
      </c>
      <c r="K1090" s="18">
        <f t="shared" si="51"/>
        <v>33.441176470588232</v>
      </c>
    </row>
    <row r="1091" spans="1:11" x14ac:dyDescent="0.3">
      <c r="A1091" s="14">
        <v>2022</v>
      </c>
      <c r="B1091" s="14">
        <f t="shared" si="50"/>
        <v>46</v>
      </c>
      <c r="C1091" s="9">
        <v>44879</v>
      </c>
      <c r="D1091" s="9">
        <v>44883</v>
      </c>
      <c r="E1091" s="14">
        <f>VLOOKUP(F1091,CarrierID!A:B,2,0)</f>
        <v>5</v>
      </c>
      <c r="F1091" s="15" t="s">
        <v>1</v>
      </c>
      <c r="G1091" t="str">
        <f>VLOOKUP(F1091,Carrier_Category!A:B,2,0)</f>
        <v>Intercity</v>
      </c>
      <c r="H1091" s="5">
        <v>50</v>
      </c>
      <c r="I1091" s="7">
        <f t="shared" si="52"/>
        <v>51</v>
      </c>
      <c r="J1091" s="5">
        <v>1268</v>
      </c>
      <c r="K1091" s="18">
        <f t="shared" si="51"/>
        <v>25.36</v>
      </c>
    </row>
    <row r="1092" spans="1:11" x14ac:dyDescent="0.3">
      <c r="A1092" s="14">
        <v>2022</v>
      </c>
      <c r="B1092" s="14">
        <f t="shared" si="50"/>
        <v>46</v>
      </c>
      <c r="C1092" s="9">
        <v>44879</v>
      </c>
      <c r="D1092" s="9">
        <v>44883</v>
      </c>
      <c r="E1092" s="14">
        <f>VLOOKUP(F1092,CarrierID!A:B,2,0)</f>
        <v>8</v>
      </c>
      <c r="F1092" s="15" t="s">
        <v>2</v>
      </c>
      <c r="G1092" t="str">
        <f>VLOOKUP(F1092,Carrier_Category!A:B,2,0)</f>
        <v>Commuter</v>
      </c>
      <c r="H1092" s="5">
        <v>20</v>
      </c>
      <c r="I1092" s="7">
        <f t="shared" si="52"/>
        <v>20</v>
      </c>
      <c r="J1092" s="5">
        <v>750</v>
      </c>
      <c r="K1092" s="18">
        <f t="shared" si="51"/>
        <v>37.5</v>
      </c>
    </row>
    <row r="1093" spans="1:11" x14ac:dyDescent="0.3">
      <c r="A1093" s="14">
        <v>2022</v>
      </c>
      <c r="B1093" s="14">
        <f t="shared" ref="B1093:B1156" si="53">_xlfn.ISOWEEKNUM(C1093)</f>
        <v>46</v>
      </c>
      <c r="C1093" s="9">
        <v>44879</v>
      </c>
      <c r="D1093" s="9">
        <v>44883</v>
      </c>
      <c r="E1093" s="14">
        <f>VLOOKUP(F1093,CarrierID!A:B,2,0)</f>
        <v>9</v>
      </c>
      <c r="F1093" s="15" t="s">
        <v>3</v>
      </c>
      <c r="G1093" t="str">
        <f>VLOOKUP(F1093,Carrier_Category!A:B,2,0)</f>
        <v>NJT</v>
      </c>
      <c r="H1093" s="5">
        <v>2205</v>
      </c>
      <c r="I1093" s="7">
        <f t="shared" si="52"/>
        <v>2213</v>
      </c>
      <c r="J1093" s="5">
        <v>65587</v>
      </c>
      <c r="K1093" s="18">
        <f t="shared" ref="K1093:K1156" si="54">J1093/H1093</f>
        <v>29.744671201814057</v>
      </c>
    </row>
    <row r="1094" spans="1:11" x14ac:dyDescent="0.3">
      <c r="A1094" s="14">
        <v>2022</v>
      </c>
      <c r="B1094" s="14">
        <f t="shared" si="53"/>
        <v>46</v>
      </c>
      <c r="C1094" s="9">
        <v>44879</v>
      </c>
      <c r="D1094" s="9">
        <v>44883</v>
      </c>
      <c r="E1094" s="14">
        <f>VLOOKUP(F1094,CarrierID!A:B,2,0)</f>
        <v>7</v>
      </c>
      <c r="F1094" s="15" t="s">
        <v>4</v>
      </c>
      <c r="G1094" t="str">
        <f>VLOOKUP(F1094,Carrier_Category!A:B,2,0)</f>
        <v>Commuter</v>
      </c>
      <c r="H1094" s="5">
        <v>29</v>
      </c>
      <c r="I1094" s="7">
        <f t="shared" si="52"/>
        <v>29</v>
      </c>
      <c r="J1094" s="5">
        <v>1178</v>
      </c>
      <c r="K1094" s="18">
        <f t="shared" si="54"/>
        <v>40.620689655172413</v>
      </c>
    </row>
    <row r="1095" spans="1:11" x14ac:dyDescent="0.3">
      <c r="A1095" s="14">
        <v>2022</v>
      </c>
      <c r="B1095" s="14">
        <f t="shared" si="53"/>
        <v>46</v>
      </c>
      <c r="C1095" s="9">
        <v>44879</v>
      </c>
      <c r="D1095" s="9">
        <v>44883</v>
      </c>
      <c r="E1095" s="14">
        <f>VLOOKUP(F1095,CarrierID!A:B,2,0)</f>
        <v>11</v>
      </c>
      <c r="F1095" s="15" t="s">
        <v>5</v>
      </c>
      <c r="G1095" t="str">
        <f>VLOOKUP(F1095,Carrier_Category!A:B,2,0)</f>
        <v>Intercity</v>
      </c>
      <c r="H1095" s="5">
        <v>24</v>
      </c>
      <c r="I1095" s="7">
        <f t="shared" si="52"/>
        <v>24</v>
      </c>
      <c r="J1095" s="5">
        <v>428</v>
      </c>
      <c r="K1095" s="18">
        <f t="shared" si="54"/>
        <v>17.833333333333332</v>
      </c>
    </row>
    <row r="1096" spans="1:11" x14ac:dyDescent="0.3">
      <c r="A1096" s="14">
        <v>2022</v>
      </c>
      <c r="B1096" s="14">
        <f t="shared" si="53"/>
        <v>46</v>
      </c>
      <c r="C1096" s="9">
        <v>44879</v>
      </c>
      <c r="D1096" s="9">
        <v>44883</v>
      </c>
      <c r="E1096" s="14">
        <f>VLOOKUP(F1096,CarrierID!A:B,2,0)</f>
        <v>3</v>
      </c>
      <c r="F1096" s="15" t="s">
        <v>6</v>
      </c>
      <c r="G1096" t="str">
        <f>VLOOKUP(F1096,Carrier_Category!A:B,2,0)</f>
        <v>Commuter</v>
      </c>
      <c r="H1096" s="5">
        <v>147</v>
      </c>
      <c r="I1096" s="7">
        <f t="shared" si="52"/>
        <v>148</v>
      </c>
      <c r="J1096" s="5">
        <v>4754</v>
      </c>
      <c r="K1096" s="18">
        <f t="shared" si="54"/>
        <v>32.34013605442177</v>
      </c>
    </row>
    <row r="1097" spans="1:11" x14ac:dyDescent="0.3">
      <c r="A1097" s="14">
        <v>2022</v>
      </c>
      <c r="B1097" s="14">
        <f t="shared" si="53"/>
        <v>46</v>
      </c>
      <c r="C1097" s="9">
        <v>44879</v>
      </c>
      <c r="D1097" s="9">
        <v>44883</v>
      </c>
      <c r="E1097" s="14">
        <f>VLOOKUP(F1097,CarrierID!A:B,2,0)</f>
        <v>12</v>
      </c>
      <c r="F1097" s="15" t="s">
        <v>25</v>
      </c>
      <c r="G1097" t="str">
        <f>VLOOKUP(F1097,Carrier_Category!A:B,2,0)</f>
        <v>Commuter</v>
      </c>
      <c r="H1097" s="5">
        <v>18</v>
      </c>
      <c r="I1097" s="7">
        <f t="shared" si="52"/>
        <v>18</v>
      </c>
      <c r="J1097" s="5">
        <v>631</v>
      </c>
      <c r="K1097" s="18">
        <f t="shared" si="54"/>
        <v>35.055555555555557</v>
      </c>
    </row>
    <row r="1098" spans="1:11" x14ac:dyDescent="0.3">
      <c r="A1098" s="14">
        <v>2022</v>
      </c>
      <c r="B1098" s="14">
        <f t="shared" si="53"/>
        <v>46</v>
      </c>
      <c r="C1098" s="9">
        <v>44879</v>
      </c>
      <c r="D1098" s="9">
        <v>44883</v>
      </c>
      <c r="E1098" s="14">
        <f>VLOOKUP(F1098,CarrierID!A:B,2,0)</f>
        <v>10</v>
      </c>
      <c r="F1098" s="15" t="s">
        <v>8</v>
      </c>
      <c r="G1098" t="str">
        <f>VLOOKUP(F1098,Carrier_Category!A:B,2,0)</f>
        <v>Intercity</v>
      </c>
      <c r="H1098" s="5">
        <v>24</v>
      </c>
      <c r="I1098" s="7">
        <f t="shared" si="52"/>
        <v>24</v>
      </c>
      <c r="J1098" s="5">
        <v>732</v>
      </c>
      <c r="K1098" s="18">
        <f t="shared" si="54"/>
        <v>30.5</v>
      </c>
    </row>
    <row r="1099" spans="1:11" x14ac:dyDescent="0.3">
      <c r="A1099" s="14">
        <v>2022</v>
      </c>
      <c r="B1099" s="14">
        <f t="shared" si="53"/>
        <v>46</v>
      </c>
      <c r="C1099" s="9">
        <v>44879</v>
      </c>
      <c r="D1099" s="9">
        <v>44883</v>
      </c>
      <c r="E1099" s="14">
        <f>VLOOKUP(F1099,CarrierID!A:B,2,0)</f>
        <v>4</v>
      </c>
      <c r="F1099" s="15" t="s">
        <v>24</v>
      </c>
      <c r="G1099" t="str">
        <f>VLOOKUP(F1099,Carrier_Category!A:B,2,0)</f>
        <v>Commuter</v>
      </c>
      <c r="H1099" s="5">
        <v>36</v>
      </c>
      <c r="I1099" s="7">
        <f t="shared" si="52"/>
        <v>36</v>
      </c>
      <c r="J1099" s="5">
        <v>623</v>
      </c>
      <c r="K1099" s="18">
        <f t="shared" si="54"/>
        <v>17.305555555555557</v>
      </c>
    </row>
    <row r="1100" spans="1:11" x14ac:dyDescent="0.3">
      <c r="A1100" s="14">
        <v>2022</v>
      </c>
      <c r="B1100" s="14">
        <f t="shared" si="53"/>
        <v>46</v>
      </c>
      <c r="C1100" s="9">
        <v>44879</v>
      </c>
      <c r="D1100" s="9">
        <v>44883</v>
      </c>
      <c r="E1100" s="14">
        <f>VLOOKUP(F1100,CarrierID!A:B,2,0)</f>
        <v>6</v>
      </c>
      <c r="F1100" s="15" t="s">
        <v>9</v>
      </c>
      <c r="G1100" t="str">
        <f>VLOOKUP(F1100,Carrier_Category!A:B,2,0)</f>
        <v>Commuter</v>
      </c>
      <c r="H1100" s="5">
        <v>87</v>
      </c>
      <c r="I1100" s="7">
        <f t="shared" si="52"/>
        <v>87</v>
      </c>
      <c r="J1100" s="5">
        <v>1532</v>
      </c>
      <c r="K1100" s="18">
        <f t="shared" si="54"/>
        <v>17.609195402298852</v>
      </c>
    </row>
    <row r="1101" spans="1:11" x14ac:dyDescent="0.3">
      <c r="A1101" s="14">
        <v>2022</v>
      </c>
      <c r="B1101" s="14">
        <f t="shared" si="53"/>
        <v>48</v>
      </c>
      <c r="C1101" s="9">
        <v>44893</v>
      </c>
      <c r="D1101" s="9">
        <v>44897</v>
      </c>
      <c r="E1101" s="14">
        <f>VLOOKUP(F1101,CarrierID!A:B,2,0)</f>
        <v>1</v>
      </c>
      <c r="F1101" s="15" t="s">
        <v>0</v>
      </c>
      <c r="G1101" t="str">
        <f>VLOOKUP(F1101,Carrier_Category!A:B,2,0)</f>
        <v>Commuter</v>
      </c>
      <c r="H1101" s="5">
        <v>37</v>
      </c>
      <c r="I1101" s="7">
        <f t="shared" ref="I1101:I1164" si="55">H1090</f>
        <v>34</v>
      </c>
      <c r="J1101" s="5">
        <v>1272</v>
      </c>
      <c r="K1101" s="18">
        <f t="shared" si="54"/>
        <v>34.378378378378379</v>
      </c>
    </row>
    <row r="1102" spans="1:11" x14ac:dyDescent="0.3">
      <c r="A1102" s="14">
        <v>2022</v>
      </c>
      <c r="B1102" s="14">
        <f t="shared" si="53"/>
        <v>48</v>
      </c>
      <c r="C1102" s="9">
        <v>44893</v>
      </c>
      <c r="D1102" s="9">
        <v>44897</v>
      </c>
      <c r="E1102" s="14">
        <f>VLOOKUP(F1102,CarrierID!A:B,2,0)</f>
        <v>5</v>
      </c>
      <c r="F1102" s="15" t="s">
        <v>1</v>
      </c>
      <c r="G1102" t="str">
        <f>VLOOKUP(F1102,Carrier_Category!A:B,2,0)</f>
        <v>Intercity</v>
      </c>
      <c r="H1102" s="5">
        <v>53</v>
      </c>
      <c r="I1102" s="7">
        <f t="shared" si="55"/>
        <v>50</v>
      </c>
      <c r="J1102" s="5">
        <v>1330</v>
      </c>
      <c r="K1102" s="18">
        <f t="shared" si="54"/>
        <v>25.09433962264151</v>
      </c>
    </row>
    <row r="1103" spans="1:11" x14ac:dyDescent="0.3">
      <c r="A1103" s="14">
        <v>2022</v>
      </c>
      <c r="B1103" s="14">
        <f t="shared" si="53"/>
        <v>48</v>
      </c>
      <c r="C1103" s="9">
        <v>44893</v>
      </c>
      <c r="D1103" s="9">
        <v>44897</v>
      </c>
      <c r="E1103" s="14">
        <f>VLOOKUP(F1103,CarrierID!A:B,2,0)</f>
        <v>8</v>
      </c>
      <c r="F1103" s="15" t="s">
        <v>2</v>
      </c>
      <c r="G1103" t="str">
        <f>VLOOKUP(F1103,Carrier_Category!A:B,2,0)</f>
        <v>Commuter</v>
      </c>
      <c r="H1103" s="5">
        <v>20</v>
      </c>
      <c r="I1103" s="7">
        <f t="shared" si="55"/>
        <v>20</v>
      </c>
      <c r="J1103" s="5">
        <v>770</v>
      </c>
      <c r="K1103" s="18">
        <f t="shared" si="54"/>
        <v>38.5</v>
      </c>
    </row>
    <row r="1104" spans="1:11" x14ac:dyDescent="0.3">
      <c r="A1104" s="14">
        <v>2022</v>
      </c>
      <c r="B1104" s="14">
        <f t="shared" si="53"/>
        <v>48</v>
      </c>
      <c r="C1104" s="9">
        <v>44893</v>
      </c>
      <c r="D1104" s="9">
        <v>44897</v>
      </c>
      <c r="E1104" s="14">
        <f>VLOOKUP(F1104,CarrierID!A:B,2,0)</f>
        <v>9</v>
      </c>
      <c r="F1104" s="15" t="s">
        <v>3</v>
      </c>
      <c r="G1104" t="str">
        <f>VLOOKUP(F1104,Carrier_Category!A:B,2,0)</f>
        <v>NJT</v>
      </c>
      <c r="H1104" s="5">
        <v>2216</v>
      </c>
      <c r="I1104" s="7">
        <f t="shared" si="55"/>
        <v>2205</v>
      </c>
      <c r="J1104" s="5">
        <v>64582</v>
      </c>
      <c r="K1104" s="18">
        <f t="shared" si="54"/>
        <v>29.14350180505415</v>
      </c>
    </row>
    <row r="1105" spans="1:11" x14ac:dyDescent="0.3">
      <c r="A1105" s="14">
        <v>2022</v>
      </c>
      <c r="B1105" s="14">
        <f t="shared" si="53"/>
        <v>48</v>
      </c>
      <c r="C1105" s="9">
        <v>44893</v>
      </c>
      <c r="D1105" s="9">
        <v>44897</v>
      </c>
      <c r="E1105" s="14">
        <f>VLOOKUP(F1105,CarrierID!A:B,2,0)</f>
        <v>7</v>
      </c>
      <c r="F1105" s="15" t="s">
        <v>4</v>
      </c>
      <c r="G1105" t="str">
        <f>VLOOKUP(F1105,Carrier_Category!A:B,2,0)</f>
        <v>Commuter</v>
      </c>
      <c r="H1105" s="5">
        <v>30</v>
      </c>
      <c r="I1105" s="7">
        <f t="shared" si="55"/>
        <v>29</v>
      </c>
      <c r="J1105" s="5">
        <v>1280</v>
      </c>
      <c r="K1105" s="18">
        <f t="shared" si="54"/>
        <v>42.666666666666664</v>
      </c>
    </row>
    <row r="1106" spans="1:11" x14ac:dyDescent="0.3">
      <c r="A1106" s="14">
        <v>2022</v>
      </c>
      <c r="B1106" s="14">
        <f t="shared" si="53"/>
        <v>48</v>
      </c>
      <c r="C1106" s="9">
        <v>44893</v>
      </c>
      <c r="D1106" s="9">
        <v>44897</v>
      </c>
      <c r="E1106" s="14">
        <f>VLOOKUP(F1106,CarrierID!A:B,2,0)</f>
        <v>11</v>
      </c>
      <c r="F1106" s="15" t="s">
        <v>5</v>
      </c>
      <c r="G1106" t="str">
        <f>VLOOKUP(F1106,Carrier_Category!A:B,2,0)</f>
        <v>Intercity</v>
      </c>
      <c r="H1106" s="5">
        <v>24</v>
      </c>
      <c r="I1106" s="7">
        <f t="shared" si="55"/>
        <v>24</v>
      </c>
      <c r="J1106" s="5">
        <v>557</v>
      </c>
      <c r="K1106" s="18">
        <f t="shared" si="54"/>
        <v>23.208333333333332</v>
      </c>
    </row>
    <row r="1107" spans="1:11" x14ac:dyDescent="0.3">
      <c r="A1107" s="14">
        <v>2022</v>
      </c>
      <c r="B1107" s="14">
        <f t="shared" si="53"/>
        <v>48</v>
      </c>
      <c r="C1107" s="9">
        <v>44893</v>
      </c>
      <c r="D1107" s="9">
        <v>44897</v>
      </c>
      <c r="E1107" s="14">
        <f>VLOOKUP(F1107,CarrierID!A:B,2,0)</f>
        <v>3</v>
      </c>
      <c r="F1107" s="15" t="s">
        <v>6</v>
      </c>
      <c r="G1107" t="str">
        <f>VLOOKUP(F1107,Carrier_Category!A:B,2,0)</f>
        <v>Commuter</v>
      </c>
      <c r="H1107" s="5">
        <v>151</v>
      </c>
      <c r="I1107" s="7">
        <f t="shared" si="55"/>
        <v>147</v>
      </c>
      <c r="J1107" s="5">
        <v>5095</v>
      </c>
      <c r="K1107" s="18">
        <f t="shared" si="54"/>
        <v>33.741721854304636</v>
      </c>
    </row>
    <row r="1108" spans="1:11" x14ac:dyDescent="0.3">
      <c r="A1108" s="14">
        <v>2022</v>
      </c>
      <c r="B1108" s="14">
        <f t="shared" si="53"/>
        <v>48</v>
      </c>
      <c r="C1108" s="9">
        <v>44893</v>
      </c>
      <c r="D1108" s="9">
        <v>44897</v>
      </c>
      <c r="E1108" s="14">
        <f>VLOOKUP(F1108,CarrierID!A:B,2,0)</f>
        <v>12</v>
      </c>
      <c r="F1108" s="15" t="s">
        <v>25</v>
      </c>
      <c r="G1108" t="str">
        <f>VLOOKUP(F1108,Carrier_Category!A:B,2,0)</f>
        <v>Commuter</v>
      </c>
      <c r="H1108" s="5">
        <v>19</v>
      </c>
      <c r="I1108" s="7">
        <f t="shared" si="55"/>
        <v>18</v>
      </c>
      <c r="J1108" s="5">
        <v>572</v>
      </c>
      <c r="K1108" s="18">
        <f t="shared" si="54"/>
        <v>30.105263157894736</v>
      </c>
    </row>
    <row r="1109" spans="1:11" x14ac:dyDescent="0.3">
      <c r="A1109" s="14">
        <v>2022</v>
      </c>
      <c r="B1109" s="14">
        <f t="shared" si="53"/>
        <v>48</v>
      </c>
      <c r="C1109" s="9">
        <v>44893</v>
      </c>
      <c r="D1109" s="9">
        <v>44897</v>
      </c>
      <c r="E1109" s="14">
        <f>VLOOKUP(F1109,CarrierID!A:B,2,0)</f>
        <v>10</v>
      </c>
      <c r="F1109" s="15" t="s">
        <v>8</v>
      </c>
      <c r="G1109" t="str">
        <f>VLOOKUP(F1109,Carrier_Category!A:B,2,0)</f>
        <v>Intercity</v>
      </c>
      <c r="H1109" s="5">
        <v>26</v>
      </c>
      <c r="I1109" s="7">
        <f t="shared" si="55"/>
        <v>24</v>
      </c>
      <c r="J1109" s="5">
        <v>826</v>
      </c>
      <c r="K1109" s="18">
        <f t="shared" si="54"/>
        <v>31.76923076923077</v>
      </c>
    </row>
    <row r="1110" spans="1:11" x14ac:dyDescent="0.3">
      <c r="A1110" s="14">
        <v>2022</v>
      </c>
      <c r="B1110" s="14">
        <f t="shared" si="53"/>
        <v>48</v>
      </c>
      <c r="C1110" s="9">
        <v>44893</v>
      </c>
      <c r="D1110" s="9">
        <v>44897</v>
      </c>
      <c r="E1110" s="14">
        <f>VLOOKUP(F1110,CarrierID!A:B,2,0)</f>
        <v>4</v>
      </c>
      <c r="F1110" s="15" t="s">
        <v>24</v>
      </c>
      <c r="G1110" t="str">
        <f>VLOOKUP(F1110,Carrier_Category!A:B,2,0)</f>
        <v>Commuter</v>
      </c>
      <c r="H1110" s="5">
        <v>37</v>
      </c>
      <c r="I1110" s="7">
        <f t="shared" si="55"/>
        <v>36</v>
      </c>
      <c r="J1110" s="5">
        <v>684</v>
      </c>
      <c r="K1110" s="18">
        <f t="shared" si="54"/>
        <v>18.486486486486488</v>
      </c>
    </row>
    <row r="1111" spans="1:11" x14ac:dyDescent="0.3">
      <c r="A1111" s="14">
        <v>2022</v>
      </c>
      <c r="B1111" s="14">
        <f t="shared" si="53"/>
        <v>48</v>
      </c>
      <c r="C1111" s="9">
        <v>44893</v>
      </c>
      <c r="D1111" s="9">
        <v>44897</v>
      </c>
      <c r="E1111" s="14">
        <f>VLOOKUP(F1111,CarrierID!A:B,2,0)</f>
        <v>6</v>
      </c>
      <c r="F1111" s="15" t="s">
        <v>9</v>
      </c>
      <c r="G1111" t="str">
        <f>VLOOKUP(F1111,Carrier_Category!A:B,2,0)</f>
        <v>Commuter</v>
      </c>
      <c r="H1111" s="5">
        <v>85</v>
      </c>
      <c r="I1111" s="7">
        <f t="shared" si="55"/>
        <v>87</v>
      </c>
      <c r="J1111" s="5">
        <v>1456</v>
      </c>
      <c r="K1111" s="18">
        <f t="shared" si="54"/>
        <v>17.129411764705882</v>
      </c>
    </row>
    <row r="1112" spans="1:11" x14ac:dyDescent="0.3">
      <c r="A1112" s="14">
        <v>2022</v>
      </c>
      <c r="B1112" s="14">
        <f t="shared" si="53"/>
        <v>49</v>
      </c>
      <c r="C1112" s="9">
        <v>44900</v>
      </c>
      <c r="D1112" s="9">
        <v>44904</v>
      </c>
      <c r="E1112" s="14">
        <f>VLOOKUP(F1112,CarrierID!A:B,2,0)</f>
        <v>1</v>
      </c>
      <c r="F1112" s="15" t="s">
        <v>0</v>
      </c>
      <c r="G1112" t="str">
        <f>VLOOKUP(F1112,Carrier_Category!A:B,2,0)</f>
        <v>Commuter</v>
      </c>
      <c r="H1112" s="5">
        <v>35</v>
      </c>
      <c r="I1112" s="7">
        <f t="shared" si="55"/>
        <v>37</v>
      </c>
      <c r="J1112" s="5">
        <v>1186</v>
      </c>
      <c r="K1112" s="18">
        <f t="shared" si="54"/>
        <v>33.885714285714286</v>
      </c>
    </row>
    <row r="1113" spans="1:11" x14ac:dyDescent="0.3">
      <c r="A1113" s="14">
        <v>2022</v>
      </c>
      <c r="B1113" s="14">
        <f t="shared" si="53"/>
        <v>49</v>
      </c>
      <c r="C1113" s="9">
        <v>44900</v>
      </c>
      <c r="D1113" s="9">
        <v>44904</v>
      </c>
      <c r="E1113" s="14">
        <f>VLOOKUP(F1113,CarrierID!A:B,2,0)</f>
        <v>5</v>
      </c>
      <c r="F1113" s="15" t="s">
        <v>1</v>
      </c>
      <c r="G1113" t="str">
        <f>VLOOKUP(F1113,Carrier_Category!A:B,2,0)</f>
        <v>Intercity</v>
      </c>
      <c r="H1113" s="5">
        <v>52</v>
      </c>
      <c r="I1113" s="7">
        <f t="shared" si="55"/>
        <v>53</v>
      </c>
      <c r="J1113" s="5">
        <v>1176</v>
      </c>
      <c r="K1113" s="18">
        <f t="shared" si="54"/>
        <v>22.615384615384617</v>
      </c>
    </row>
    <row r="1114" spans="1:11" x14ac:dyDescent="0.3">
      <c r="A1114" s="14">
        <v>2022</v>
      </c>
      <c r="B1114" s="14">
        <f t="shared" si="53"/>
        <v>49</v>
      </c>
      <c r="C1114" s="9">
        <v>44900</v>
      </c>
      <c r="D1114" s="9">
        <v>44904</v>
      </c>
      <c r="E1114" s="14">
        <f>VLOOKUP(F1114,CarrierID!A:B,2,0)</f>
        <v>8</v>
      </c>
      <c r="F1114" s="15" t="s">
        <v>2</v>
      </c>
      <c r="G1114" t="str">
        <f>VLOOKUP(F1114,Carrier_Category!A:B,2,0)</f>
        <v>Commuter</v>
      </c>
      <c r="H1114" s="5">
        <v>20</v>
      </c>
      <c r="I1114" s="7">
        <f t="shared" si="55"/>
        <v>20</v>
      </c>
      <c r="J1114" s="5">
        <v>823</v>
      </c>
      <c r="K1114" s="18">
        <f t="shared" si="54"/>
        <v>41.15</v>
      </c>
    </row>
    <row r="1115" spans="1:11" x14ac:dyDescent="0.3">
      <c r="A1115" s="14">
        <v>2022</v>
      </c>
      <c r="B1115" s="14">
        <f t="shared" si="53"/>
        <v>49</v>
      </c>
      <c r="C1115" s="9">
        <v>44900</v>
      </c>
      <c r="D1115" s="9">
        <v>44904</v>
      </c>
      <c r="E1115" s="14">
        <f>VLOOKUP(F1115,CarrierID!A:B,2,0)</f>
        <v>9</v>
      </c>
      <c r="F1115" s="15" t="s">
        <v>3</v>
      </c>
      <c r="G1115" t="str">
        <f>VLOOKUP(F1115,Carrier_Category!A:B,2,0)</f>
        <v>NJT</v>
      </c>
      <c r="H1115" s="5">
        <v>2191</v>
      </c>
      <c r="I1115" s="7">
        <f t="shared" si="55"/>
        <v>2216</v>
      </c>
      <c r="J1115" s="5">
        <v>67342</v>
      </c>
      <c r="K1115" s="18">
        <f t="shared" si="54"/>
        <v>30.735737106344136</v>
      </c>
    </row>
    <row r="1116" spans="1:11" x14ac:dyDescent="0.3">
      <c r="A1116" s="14">
        <v>2022</v>
      </c>
      <c r="B1116" s="14">
        <f t="shared" si="53"/>
        <v>49</v>
      </c>
      <c r="C1116" s="9">
        <v>44900</v>
      </c>
      <c r="D1116" s="9">
        <v>44904</v>
      </c>
      <c r="E1116" s="14">
        <f>VLOOKUP(F1116,CarrierID!A:B,2,0)</f>
        <v>7</v>
      </c>
      <c r="F1116" s="15" t="s">
        <v>4</v>
      </c>
      <c r="G1116" t="str">
        <f>VLOOKUP(F1116,Carrier_Category!A:B,2,0)</f>
        <v>Commuter</v>
      </c>
      <c r="H1116" s="5">
        <v>30</v>
      </c>
      <c r="I1116" s="7">
        <f t="shared" si="55"/>
        <v>30</v>
      </c>
      <c r="J1116" s="5">
        <v>1205</v>
      </c>
      <c r="K1116" s="18">
        <f t="shared" si="54"/>
        <v>40.166666666666664</v>
      </c>
    </row>
    <row r="1117" spans="1:11" x14ac:dyDescent="0.3">
      <c r="A1117" s="14">
        <v>2022</v>
      </c>
      <c r="B1117" s="14">
        <f t="shared" si="53"/>
        <v>49</v>
      </c>
      <c r="C1117" s="9">
        <v>44900</v>
      </c>
      <c r="D1117" s="9">
        <v>44904</v>
      </c>
      <c r="E1117" s="14">
        <f>VLOOKUP(F1117,CarrierID!A:B,2,0)</f>
        <v>11</v>
      </c>
      <c r="F1117" s="15" t="s">
        <v>5</v>
      </c>
      <c r="G1117" t="str">
        <f>VLOOKUP(F1117,Carrier_Category!A:B,2,0)</f>
        <v>Intercity</v>
      </c>
      <c r="H1117" s="5">
        <v>24</v>
      </c>
      <c r="I1117" s="7">
        <f t="shared" si="55"/>
        <v>24</v>
      </c>
      <c r="J1117" s="5">
        <v>401</v>
      </c>
      <c r="K1117" s="18">
        <f t="shared" si="54"/>
        <v>16.708333333333332</v>
      </c>
    </row>
    <row r="1118" spans="1:11" x14ac:dyDescent="0.3">
      <c r="A1118" s="14">
        <v>2022</v>
      </c>
      <c r="B1118" s="14">
        <f t="shared" si="53"/>
        <v>49</v>
      </c>
      <c r="C1118" s="9">
        <v>44900</v>
      </c>
      <c r="D1118" s="9">
        <v>44904</v>
      </c>
      <c r="E1118" s="14">
        <f>VLOOKUP(F1118,CarrierID!A:B,2,0)</f>
        <v>3</v>
      </c>
      <c r="F1118" s="15" t="s">
        <v>6</v>
      </c>
      <c r="G1118" t="str">
        <f>VLOOKUP(F1118,Carrier_Category!A:B,2,0)</f>
        <v>Commuter</v>
      </c>
      <c r="H1118" s="5">
        <v>148</v>
      </c>
      <c r="I1118" s="7">
        <f t="shared" si="55"/>
        <v>151</v>
      </c>
      <c r="J1118" s="5">
        <v>4925</v>
      </c>
      <c r="K1118" s="18">
        <f t="shared" si="54"/>
        <v>33.277027027027025</v>
      </c>
    </row>
    <row r="1119" spans="1:11" x14ac:dyDescent="0.3">
      <c r="A1119" s="14">
        <v>2022</v>
      </c>
      <c r="B1119" s="14">
        <f t="shared" si="53"/>
        <v>49</v>
      </c>
      <c r="C1119" s="9">
        <v>44900</v>
      </c>
      <c r="D1119" s="9">
        <v>44904</v>
      </c>
      <c r="E1119" s="14">
        <f>VLOOKUP(F1119,CarrierID!A:B,2,0)</f>
        <v>12</v>
      </c>
      <c r="F1119" s="15" t="s">
        <v>25</v>
      </c>
      <c r="G1119" t="str">
        <f>VLOOKUP(F1119,Carrier_Category!A:B,2,0)</f>
        <v>Commuter</v>
      </c>
      <c r="H1119" s="5">
        <v>18</v>
      </c>
      <c r="I1119" s="7">
        <f t="shared" si="55"/>
        <v>19</v>
      </c>
      <c r="J1119" s="5">
        <v>632</v>
      </c>
      <c r="K1119" s="18">
        <f t="shared" si="54"/>
        <v>35.111111111111114</v>
      </c>
    </row>
    <row r="1120" spans="1:11" x14ac:dyDescent="0.3">
      <c r="A1120" s="14">
        <v>2022</v>
      </c>
      <c r="B1120" s="14">
        <f t="shared" si="53"/>
        <v>49</v>
      </c>
      <c r="C1120" s="9">
        <v>44900</v>
      </c>
      <c r="D1120" s="9">
        <v>44904</v>
      </c>
      <c r="E1120" s="14">
        <f>VLOOKUP(F1120,CarrierID!A:B,2,0)</f>
        <v>10</v>
      </c>
      <c r="F1120" s="15" t="s">
        <v>8</v>
      </c>
      <c r="G1120" t="str">
        <f>VLOOKUP(F1120,Carrier_Category!A:B,2,0)</f>
        <v>Intercity</v>
      </c>
      <c r="H1120" s="5">
        <v>24</v>
      </c>
      <c r="I1120" s="7">
        <f t="shared" si="55"/>
        <v>26</v>
      </c>
      <c r="J1120" s="5">
        <v>649</v>
      </c>
      <c r="K1120" s="18">
        <f t="shared" si="54"/>
        <v>27.041666666666668</v>
      </c>
    </row>
    <row r="1121" spans="1:11" x14ac:dyDescent="0.3">
      <c r="A1121" s="14">
        <v>2022</v>
      </c>
      <c r="B1121" s="14">
        <f t="shared" si="53"/>
        <v>49</v>
      </c>
      <c r="C1121" s="9">
        <v>44900</v>
      </c>
      <c r="D1121" s="9">
        <v>44904</v>
      </c>
      <c r="E1121" s="14">
        <f>VLOOKUP(F1121,CarrierID!A:B,2,0)</f>
        <v>4</v>
      </c>
      <c r="F1121" s="15" t="s">
        <v>24</v>
      </c>
      <c r="G1121" t="str">
        <f>VLOOKUP(F1121,Carrier_Category!A:B,2,0)</f>
        <v>Commuter</v>
      </c>
      <c r="H1121" s="5">
        <v>36</v>
      </c>
      <c r="I1121" s="7">
        <f t="shared" si="55"/>
        <v>37</v>
      </c>
      <c r="J1121" s="5">
        <v>636</v>
      </c>
      <c r="K1121" s="18">
        <f t="shared" si="54"/>
        <v>17.666666666666668</v>
      </c>
    </row>
    <row r="1122" spans="1:11" x14ac:dyDescent="0.3">
      <c r="A1122" s="14">
        <v>2022</v>
      </c>
      <c r="B1122" s="14">
        <f t="shared" si="53"/>
        <v>49</v>
      </c>
      <c r="C1122" s="9">
        <v>44900</v>
      </c>
      <c r="D1122" s="9">
        <v>44904</v>
      </c>
      <c r="E1122" s="14">
        <f>VLOOKUP(F1122,CarrierID!A:B,2,0)</f>
        <v>6</v>
      </c>
      <c r="F1122" s="15" t="s">
        <v>9</v>
      </c>
      <c r="G1122" t="str">
        <f>VLOOKUP(F1122,Carrier_Category!A:B,2,0)</f>
        <v>Commuter</v>
      </c>
      <c r="H1122" s="5">
        <v>82</v>
      </c>
      <c r="I1122" s="7">
        <f t="shared" si="55"/>
        <v>85</v>
      </c>
      <c r="J1122" s="5">
        <v>1552</v>
      </c>
      <c r="K1122" s="18">
        <f t="shared" si="54"/>
        <v>18.926829268292682</v>
      </c>
    </row>
    <row r="1123" spans="1:11" x14ac:dyDescent="0.3">
      <c r="A1123" s="14">
        <v>2022</v>
      </c>
      <c r="B1123" s="14">
        <f t="shared" si="53"/>
        <v>50</v>
      </c>
      <c r="C1123" s="9">
        <v>44907</v>
      </c>
      <c r="D1123" s="9">
        <v>44911</v>
      </c>
      <c r="E1123" s="14">
        <f>VLOOKUP(F1123,CarrierID!A:B,2,0)</f>
        <v>1</v>
      </c>
      <c r="F1123" s="15" t="s">
        <v>0</v>
      </c>
      <c r="G1123" t="str">
        <f>VLOOKUP(F1123,Carrier_Category!A:B,2,0)</f>
        <v>Commuter</v>
      </c>
      <c r="H1123" s="5">
        <v>35</v>
      </c>
      <c r="I1123" s="7">
        <f t="shared" si="55"/>
        <v>35</v>
      </c>
      <c r="J1123" s="5">
        <v>1111</v>
      </c>
      <c r="K1123" s="18">
        <f t="shared" si="54"/>
        <v>31.742857142857144</v>
      </c>
    </row>
    <row r="1124" spans="1:11" x14ac:dyDescent="0.3">
      <c r="A1124" s="14">
        <v>2022</v>
      </c>
      <c r="B1124" s="14">
        <f t="shared" si="53"/>
        <v>50</v>
      </c>
      <c r="C1124" s="9">
        <v>44907</v>
      </c>
      <c r="D1124" s="9">
        <v>44911</v>
      </c>
      <c r="E1124" s="14">
        <f>VLOOKUP(F1124,CarrierID!A:B,2,0)</f>
        <v>5</v>
      </c>
      <c r="F1124" s="15" t="s">
        <v>1</v>
      </c>
      <c r="G1124" t="str">
        <f>VLOOKUP(F1124,Carrier_Category!A:B,2,0)</f>
        <v>Intercity</v>
      </c>
      <c r="H1124" s="5">
        <v>51</v>
      </c>
      <c r="I1124" s="7">
        <f t="shared" si="55"/>
        <v>52</v>
      </c>
      <c r="J1124" s="5">
        <v>1160</v>
      </c>
      <c r="K1124" s="18">
        <f t="shared" si="54"/>
        <v>22.745098039215687</v>
      </c>
    </row>
    <row r="1125" spans="1:11" x14ac:dyDescent="0.3">
      <c r="A1125" s="14">
        <v>2022</v>
      </c>
      <c r="B1125" s="14">
        <f t="shared" si="53"/>
        <v>50</v>
      </c>
      <c r="C1125" s="9">
        <v>44907</v>
      </c>
      <c r="D1125" s="9">
        <v>44911</v>
      </c>
      <c r="E1125" s="14">
        <f>VLOOKUP(F1125,CarrierID!A:B,2,0)</f>
        <v>8</v>
      </c>
      <c r="F1125" s="15" t="s">
        <v>2</v>
      </c>
      <c r="G1125" t="str">
        <f>VLOOKUP(F1125,Carrier_Category!A:B,2,0)</f>
        <v>Commuter</v>
      </c>
      <c r="H1125" s="5">
        <v>19</v>
      </c>
      <c r="I1125" s="7">
        <f t="shared" si="55"/>
        <v>20</v>
      </c>
      <c r="J1125" s="5">
        <v>762</v>
      </c>
      <c r="K1125" s="18">
        <f t="shared" si="54"/>
        <v>40.10526315789474</v>
      </c>
    </row>
    <row r="1126" spans="1:11" x14ac:dyDescent="0.3">
      <c r="A1126" s="14">
        <v>2022</v>
      </c>
      <c r="B1126" s="14">
        <f t="shared" si="53"/>
        <v>50</v>
      </c>
      <c r="C1126" s="9">
        <v>44907</v>
      </c>
      <c r="D1126" s="9">
        <v>44911</v>
      </c>
      <c r="E1126" s="14">
        <f>VLOOKUP(F1126,CarrierID!A:B,2,0)</f>
        <v>9</v>
      </c>
      <c r="F1126" s="15" t="s">
        <v>3</v>
      </c>
      <c r="G1126" t="str">
        <f>VLOOKUP(F1126,Carrier_Category!A:B,2,0)</f>
        <v>NJT</v>
      </c>
      <c r="H1126" s="5">
        <v>2200</v>
      </c>
      <c r="I1126" s="7">
        <f t="shared" si="55"/>
        <v>2191</v>
      </c>
      <c r="J1126" s="5">
        <v>66675</v>
      </c>
      <c r="K1126" s="18">
        <f t="shared" si="54"/>
        <v>30.306818181818183</v>
      </c>
    </row>
    <row r="1127" spans="1:11" x14ac:dyDescent="0.3">
      <c r="A1127" s="14">
        <v>2022</v>
      </c>
      <c r="B1127" s="14">
        <f t="shared" si="53"/>
        <v>50</v>
      </c>
      <c r="C1127" s="9">
        <v>44907</v>
      </c>
      <c r="D1127" s="9">
        <v>44911</v>
      </c>
      <c r="E1127" s="14">
        <f>VLOOKUP(F1127,CarrierID!A:B,2,0)</f>
        <v>7</v>
      </c>
      <c r="F1127" s="15" t="s">
        <v>4</v>
      </c>
      <c r="G1127" t="str">
        <f>VLOOKUP(F1127,Carrier_Category!A:B,2,0)</f>
        <v>Commuter</v>
      </c>
      <c r="H1127" s="5">
        <v>29</v>
      </c>
      <c r="I1127" s="7">
        <f t="shared" si="55"/>
        <v>30</v>
      </c>
      <c r="J1127" s="5">
        <v>1148</v>
      </c>
      <c r="K1127" s="18">
        <f t="shared" si="54"/>
        <v>39.586206896551722</v>
      </c>
    </row>
    <row r="1128" spans="1:11" x14ac:dyDescent="0.3">
      <c r="A1128" s="14">
        <v>2022</v>
      </c>
      <c r="B1128" s="14">
        <f t="shared" si="53"/>
        <v>50</v>
      </c>
      <c r="C1128" s="9">
        <v>44907</v>
      </c>
      <c r="D1128" s="9">
        <v>44911</v>
      </c>
      <c r="E1128" s="14">
        <f>VLOOKUP(F1128,CarrierID!A:B,2,0)</f>
        <v>11</v>
      </c>
      <c r="F1128" s="15" t="s">
        <v>5</v>
      </c>
      <c r="G1128" t="str">
        <f>VLOOKUP(F1128,Carrier_Category!A:B,2,0)</f>
        <v>Intercity</v>
      </c>
      <c r="H1128" s="5">
        <v>23</v>
      </c>
      <c r="I1128" s="7">
        <f t="shared" si="55"/>
        <v>24</v>
      </c>
      <c r="J1128" s="5">
        <v>394</v>
      </c>
      <c r="K1128" s="18">
        <f t="shared" si="54"/>
        <v>17.130434782608695</v>
      </c>
    </row>
    <row r="1129" spans="1:11" x14ac:dyDescent="0.3">
      <c r="A1129" s="14">
        <v>2022</v>
      </c>
      <c r="B1129" s="14">
        <f t="shared" si="53"/>
        <v>50</v>
      </c>
      <c r="C1129" s="9">
        <v>44907</v>
      </c>
      <c r="D1129" s="9">
        <v>44911</v>
      </c>
      <c r="E1129" s="14">
        <f>VLOOKUP(F1129,CarrierID!A:B,2,0)</f>
        <v>3</v>
      </c>
      <c r="F1129" s="15" t="s">
        <v>6</v>
      </c>
      <c r="G1129" t="str">
        <f>VLOOKUP(F1129,Carrier_Category!A:B,2,0)</f>
        <v>Commuter</v>
      </c>
      <c r="H1129" s="5">
        <v>139</v>
      </c>
      <c r="I1129" s="7">
        <f t="shared" si="55"/>
        <v>148</v>
      </c>
      <c r="J1129" s="5">
        <v>4728</v>
      </c>
      <c r="K1129" s="18">
        <f t="shared" si="54"/>
        <v>34.014388489208635</v>
      </c>
    </row>
    <row r="1130" spans="1:11" x14ac:dyDescent="0.3">
      <c r="A1130" s="14">
        <v>2022</v>
      </c>
      <c r="B1130" s="14">
        <f t="shared" si="53"/>
        <v>50</v>
      </c>
      <c r="C1130" s="9">
        <v>44907</v>
      </c>
      <c r="D1130" s="9">
        <v>44911</v>
      </c>
      <c r="E1130" s="14">
        <f>VLOOKUP(F1130,CarrierID!A:B,2,0)</f>
        <v>12</v>
      </c>
      <c r="F1130" s="15" t="s">
        <v>25</v>
      </c>
      <c r="G1130" t="str">
        <f>VLOOKUP(F1130,Carrier_Category!A:B,2,0)</f>
        <v>Commuter</v>
      </c>
      <c r="H1130" s="5">
        <v>18</v>
      </c>
      <c r="I1130" s="7">
        <f t="shared" si="55"/>
        <v>18</v>
      </c>
      <c r="J1130" s="5">
        <v>607</v>
      </c>
      <c r="K1130" s="18">
        <f t="shared" si="54"/>
        <v>33.722222222222221</v>
      </c>
    </row>
    <row r="1131" spans="1:11" x14ac:dyDescent="0.3">
      <c r="A1131" s="14">
        <v>2022</v>
      </c>
      <c r="B1131" s="14">
        <f t="shared" si="53"/>
        <v>50</v>
      </c>
      <c r="C1131" s="9">
        <v>44907</v>
      </c>
      <c r="D1131" s="9">
        <v>44911</v>
      </c>
      <c r="E1131" s="14">
        <f>VLOOKUP(F1131,CarrierID!A:B,2,0)</f>
        <v>10</v>
      </c>
      <c r="F1131" s="15" t="s">
        <v>8</v>
      </c>
      <c r="G1131" t="str">
        <f>VLOOKUP(F1131,Carrier_Category!A:B,2,0)</f>
        <v>Intercity</v>
      </c>
      <c r="H1131" s="5">
        <v>25</v>
      </c>
      <c r="I1131" s="7">
        <f t="shared" si="55"/>
        <v>24</v>
      </c>
      <c r="J1131" s="5">
        <v>861</v>
      </c>
      <c r="K1131" s="18">
        <f t="shared" si="54"/>
        <v>34.44</v>
      </c>
    </row>
    <row r="1132" spans="1:11" x14ac:dyDescent="0.3">
      <c r="A1132" s="14">
        <v>2022</v>
      </c>
      <c r="B1132" s="14">
        <f t="shared" si="53"/>
        <v>50</v>
      </c>
      <c r="C1132" s="9">
        <v>44907</v>
      </c>
      <c r="D1132" s="9">
        <v>44911</v>
      </c>
      <c r="E1132" s="14">
        <f>VLOOKUP(F1132,CarrierID!A:B,2,0)</f>
        <v>4</v>
      </c>
      <c r="F1132" s="15" t="s">
        <v>24</v>
      </c>
      <c r="G1132" t="str">
        <f>VLOOKUP(F1132,Carrier_Category!A:B,2,0)</f>
        <v>Commuter</v>
      </c>
      <c r="H1132" s="5">
        <v>36</v>
      </c>
      <c r="I1132" s="7">
        <f t="shared" si="55"/>
        <v>36</v>
      </c>
      <c r="J1132" s="5">
        <v>615</v>
      </c>
      <c r="K1132" s="18">
        <f t="shared" si="54"/>
        <v>17.083333333333332</v>
      </c>
    </row>
    <row r="1133" spans="1:11" x14ac:dyDescent="0.3">
      <c r="A1133" s="14">
        <v>2022</v>
      </c>
      <c r="B1133" s="14">
        <f t="shared" si="53"/>
        <v>50</v>
      </c>
      <c r="C1133" s="9">
        <v>44907</v>
      </c>
      <c r="D1133" s="9">
        <v>44911</v>
      </c>
      <c r="E1133" s="14">
        <f>VLOOKUP(F1133,CarrierID!A:B,2,0)</f>
        <v>6</v>
      </c>
      <c r="F1133" s="15" t="s">
        <v>9</v>
      </c>
      <c r="G1133" t="str">
        <f>VLOOKUP(F1133,Carrier_Category!A:B,2,0)</f>
        <v>Commuter</v>
      </c>
      <c r="H1133" s="5">
        <v>81</v>
      </c>
      <c r="I1133" s="7">
        <f t="shared" si="55"/>
        <v>82</v>
      </c>
      <c r="J1133" s="5">
        <v>1575</v>
      </c>
      <c r="K1133" s="18">
        <f t="shared" si="54"/>
        <v>19.444444444444443</v>
      </c>
    </row>
    <row r="1134" spans="1:11" x14ac:dyDescent="0.3">
      <c r="A1134" s="14">
        <v>2022</v>
      </c>
      <c r="B1134" s="14">
        <f t="shared" si="53"/>
        <v>51</v>
      </c>
      <c r="C1134" s="9">
        <v>44914</v>
      </c>
      <c r="D1134" s="9">
        <v>44918</v>
      </c>
      <c r="E1134" s="14">
        <f>VLOOKUP(F1134,CarrierID!A:B,2,0)</f>
        <v>1</v>
      </c>
      <c r="F1134" s="15" t="s">
        <v>0</v>
      </c>
      <c r="G1134" t="str">
        <f>VLOOKUP(F1134,Carrier_Category!A:B,2,0)</f>
        <v>Commuter</v>
      </c>
      <c r="H1134" s="5">
        <v>35</v>
      </c>
      <c r="I1134" s="7">
        <f t="shared" si="55"/>
        <v>35</v>
      </c>
      <c r="J1134" s="5">
        <v>954</v>
      </c>
      <c r="K1134" s="18">
        <f t="shared" si="54"/>
        <v>27.257142857142856</v>
      </c>
    </row>
    <row r="1135" spans="1:11" x14ac:dyDescent="0.3">
      <c r="A1135" s="14">
        <v>2022</v>
      </c>
      <c r="B1135" s="14">
        <f t="shared" si="53"/>
        <v>51</v>
      </c>
      <c r="C1135" s="9">
        <v>44914</v>
      </c>
      <c r="D1135" s="9">
        <v>44918</v>
      </c>
      <c r="E1135" s="14">
        <f>VLOOKUP(F1135,CarrierID!A:B,2,0)</f>
        <v>5</v>
      </c>
      <c r="F1135" s="15" t="s">
        <v>1</v>
      </c>
      <c r="G1135" t="str">
        <f>VLOOKUP(F1135,Carrier_Category!A:B,2,0)</f>
        <v>Intercity</v>
      </c>
      <c r="H1135" s="5">
        <v>51</v>
      </c>
      <c r="I1135" s="7">
        <f t="shared" si="55"/>
        <v>51</v>
      </c>
      <c r="J1135" s="5">
        <v>1460</v>
      </c>
      <c r="K1135" s="18">
        <f t="shared" si="54"/>
        <v>28.627450980392158</v>
      </c>
    </row>
    <row r="1136" spans="1:11" x14ac:dyDescent="0.3">
      <c r="A1136" s="14">
        <v>2022</v>
      </c>
      <c r="B1136" s="14">
        <f t="shared" si="53"/>
        <v>51</v>
      </c>
      <c r="C1136" s="9">
        <v>44914</v>
      </c>
      <c r="D1136" s="9">
        <v>44918</v>
      </c>
      <c r="E1136" s="14">
        <f>VLOOKUP(F1136,CarrierID!A:B,2,0)</f>
        <v>8</v>
      </c>
      <c r="F1136" s="15" t="s">
        <v>2</v>
      </c>
      <c r="G1136" t="str">
        <f>VLOOKUP(F1136,Carrier_Category!A:B,2,0)</f>
        <v>Commuter</v>
      </c>
      <c r="H1136" s="5">
        <v>19</v>
      </c>
      <c r="I1136" s="7">
        <f t="shared" si="55"/>
        <v>19</v>
      </c>
      <c r="J1136" s="5">
        <v>821</v>
      </c>
      <c r="K1136" s="18">
        <f t="shared" si="54"/>
        <v>43.210526315789473</v>
      </c>
    </row>
    <row r="1137" spans="1:11" x14ac:dyDescent="0.3">
      <c r="A1137" s="14">
        <v>2022</v>
      </c>
      <c r="B1137" s="14">
        <f t="shared" si="53"/>
        <v>51</v>
      </c>
      <c r="C1137" s="9">
        <v>44914</v>
      </c>
      <c r="D1137" s="9">
        <v>44918</v>
      </c>
      <c r="E1137" s="14">
        <f>VLOOKUP(F1137,CarrierID!A:B,2,0)</f>
        <v>9</v>
      </c>
      <c r="F1137" s="15" t="s">
        <v>3</v>
      </c>
      <c r="G1137" t="str">
        <f>VLOOKUP(F1137,Carrier_Category!A:B,2,0)</f>
        <v>NJT</v>
      </c>
      <c r="H1137" s="5">
        <v>2189</v>
      </c>
      <c r="I1137" s="7">
        <f t="shared" si="55"/>
        <v>2200</v>
      </c>
      <c r="J1137" s="5">
        <v>60735</v>
      </c>
      <c r="K1137" s="18">
        <f t="shared" si="54"/>
        <v>27.745545911375057</v>
      </c>
    </row>
    <row r="1138" spans="1:11" x14ac:dyDescent="0.3">
      <c r="A1138" s="14">
        <v>2022</v>
      </c>
      <c r="B1138" s="14">
        <f t="shared" si="53"/>
        <v>51</v>
      </c>
      <c r="C1138" s="9">
        <v>44914</v>
      </c>
      <c r="D1138" s="9">
        <v>44918</v>
      </c>
      <c r="E1138" s="14">
        <f>VLOOKUP(F1138,CarrierID!A:B,2,0)</f>
        <v>7</v>
      </c>
      <c r="F1138" s="15" t="s">
        <v>4</v>
      </c>
      <c r="G1138" t="str">
        <f>VLOOKUP(F1138,Carrier_Category!A:B,2,0)</f>
        <v>Commuter</v>
      </c>
      <c r="H1138" s="5">
        <v>29</v>
      </c>
      <c r="I1138" s="7">
        <f t="shared" si="55"/>
        <v>29</v>
      </c>
      <c r="J1138" s="5">
        <v>1011</v>
      </c>
      <c r="K1138" s="18">
        <f t="shared" si="54"/>
        <v>34.862068965517238</v>
      </c>
    </row>
    <row r="1139" spans="1:11" x14ac:dyDescent="0.3">
      <c r="A1139" s="14">
        <v>2022</v>
      </c>
      <c r="B1139" s="14">
        <f t="shared" si="53"/>
        <v>51</v>
      </c>
      <c r="C1139" s="9">
        <v>44914</v>
      </c>
      <c r="D1139" s="9">
        <v>44918</v>
      </c>
      <c r="E1139" s="14">
        <f>VLOOKUP(F1139,CarrierID!A:B,2,0)</f>
        <v>11</v>
      </c>
      <c r="F1139" s="15" t="s">
        <v>5</v>
      </c>
      <c r="G1139" t="str">
        <f>VLOOKUP(F1139,Carrier_Category!A:B,2,0)</f>
        <v>Intercity</v>
      </c>
      <c r="H1139" s="5">
        <v>23</v>
      </c>
      <c r="I1139" s="7">
        <f t="shared" si="55"/>
        <v>23</v>
      </c>
      <c r="J1139" s="5">
        <v>515</v>
      </c>
      <c r="K1139" s="18">
        <f t="shared" si="54"/>
        <v>22.391304347826086</v>
      </c>
    </row>
    <row r="1140" spans="1:11" x14ac:dyDescent="0.3">
      <c r="A1140" s="14">
        <v>2022</v>
      </c>
      <c r="B1140" s="14">
        <f t="shared" si="53"/>
        <v>51</v>
      </c>
      <c r="C1140" s="9">
        <v>44914</v>
      </c>
      <c r="D1140" s="9">
        <v>44918</v>
      </c>
      <c r="E1140" s="14">
        <f>VLOOKUP(F1140,CarrierID!A:B,2,0)</f>
        <v>3</v>
      </c>
      <c r="F1140" s="15" t="s">
        <v>6</v>
      </c>
      <c r="G1140" t="str">
        <f>VLOOKUP(F1140,Carrier_Category!A:B,2,0)</f>
        <v>Commuter</v>
      </c>
      <c r="H1140" s="5">
        <v>143</v>
      </c>
      <c r="I1140" s="7">
        <f t="shared" si="55"/>
        <v>139</v>
      </c>
      <c r="J1140" s="5">
        <v>4088</v>
      </c>
      <c r="K1140" s="18">
        <f t="shared" si="54"/>
        <v>28.587412587412587</v>
      </c>
    </row>
    <row r="1141" spans="1:11" x14ac:dyDescent="0.3">
      <c r="A1141" s="14">
        <v>2022</v>
      </c>
      <c r="B1141" s="14">
        <f t="shared" si="53"/>
        <v>51</v>
      </c>
      <c r="C1141" s="9">
        <v>44914</v>
      </c>
      <c r="D1141" s="9">
        <v>44918</v>
      </c>
      <c r="E1141" s="14">
        <f>VLOOKUP(F1141,CarrierID!A:B,2,0)</f>
        <v>12</v>
      </c>
      <c r="F1141" s="15" t="s">
        <v>25</v>
      </c>
      <c r="G1141" t="str">
        <f>VLOOKUP(F1141,Carrier_Category!A:B,2,0)</f>
        <v>Commuter</v>
      </c>
      <c r="H1141" s="5">
        <v>19</v>
      </c>
      <c r="I1141" s="7">
        <f t="shared" si="55"/>
        <v>18</v>
      </c>
      <c r="J1141" s="5">
        <v>665</v>
      </c>
      <c r="K1141" s="18">
        <f t="shared" si="54"/>
        <v>35</v>
      </c>
    </row>
    <row r="1142" spans="1:11" x14ac:dyDescent="0.3">
      <c r="A1142" s="14">
        <v>2022</v>
      </c>
      <c r="B1142" s="14">
        <f t="shared" si="53"/>
        <v>51</v>
      </c>
      <c r="C1142" s="9">
        <v>44914</v>
      </c>
      <c r="D1142" s="9">
        <v>44918</v>
      </c>
      <c r="E1142" s="14">
        <f>VLOOKUP(F1142,CarrierID!A:B,2,0)</f>
        <v>10</v>
      </c>
      <c r="F1142" s="15" t="s">
        <v>8</v>
      </c>
      <c r="G1142" t="str">
        <f>VLOOKUP(F1142,Carrier_Category!A:B,2,0)</f>
        <v>Intercity</v>
      </c>
      <c r="H1142" s="5">
        <v>33</v>
      </c>
      <c r="I1142" s="7">
        <f t="shared" si="55"/>
        <v>25</v>
      </c>
      <c r="J1142" s="5">
        <v>1449</v>
      </c>
      <c r="K1142" s="18">
        <f t="shared" si="54"/>
        <v>43.909090909090907</v>
      </c>
    </row>
    <row r="1143" spans="1:11" x14ac:dyDescent="0.3">
      <c r="A1143" s="14">
        <v>2022</v>
      </c>
      <c r="B1143" s="14">
        <f t="shared" si="53"/>
        <v>51</v>
      </c>
      <c r="C1143" s="9">
        <v>44914</v>
      </c>
      <c r="D1143" s="9">
        <v>44918</v>
      </c>
      <c r="E1143" s="14">
        <f>VLOOKUP(F1143,CarrierID!A:B,2,0)</f>
        <v>4</v>
      </c>
      <c r="F1143" s="15" t="s">
        <v>24</v>
      </c>
      <c r="G1143" t="str">
        <f>VLOOKUP(F1143,Carrier_Category!A:B,2,0)</f>
        <v>Commuter</v>
      </c>
      <c r="H1143" s="5">
        <v>36</v>
      </c>
      <c r="I1143" s="7">
        <f t="shared" si="55"/>
        <v>36</v>
      </c>
      <c r="J1143" s="5">
        <v>511</v>
      </c>
      <c r="K1143" s="18">
        <f t="shared" si="54"/>
        <v>14.194444444444445</v>
      </c>
    </row>
    <row r="1144" spans="1:11" x14ac:dyDescent="0.3">
      <c r="A1144" s="14">
        <v>2022</v>
      </c>
      <c r="B1144" s="14">
        <f t="shared" si="53"/>
        <v>51</v>
      </c>
      <c r="C1144" s="9">
        <v>44914</v>
      </c>
      <c r="D1144" s="9">
        <v>44918</v>
      </c>
      <c r="E1144" s="14">
        <f>VLOOKUP(F1144,CarrierID!A:B,2,0)</f>
        <v>6</v>
      </c>
      <c r="F1144" s="15" t="s">
        <v>9</v>
      </c>
      <c r="G1144" t="str">
        <f>VLOOKUP(F1144,Carrier_Category!A:B,2,0)</f>
        <v>Commuter</v>
      </c>
      <c r="H1144" s="5">
        <v>84</v>
      </c>
      <c r="I1144" s="7">
        <f t="shared" si="55"/>
        <v>81</v>
      </c>
      <c r="J1144" s="5">
        <v>1542</v>
      </c>
      <c r="K1144" s="18">
        <f t="shared" si="54"/>
        <v>18.357142857142858</v>
      </c>
    </row>
    <row r="1145" spans="1:11" x14ac:dyDescent="0.3">
      <c r="A1145" s="14">
        <v>2022</v>
      </c>
      <c r="B1145" s="14">
        <f t="shared" si="53"/>
        <v>52</v>
      </c>
      <c r="C1145" s="9">
        <v>44921</v>
      </c>
      <c r="D1145" s="9">
        <v>44925</v>
      </c>
      <c r="E1145" s="14">
        <f>VLOOKUP(F1145,CarrierID!A:B,2,0)</f>
        <v>1</v>
      </c>
      <c r="F1145" s="15" t="s">
        <v>0</v>
      </c>
      <c r="G1145" t="str">
        <f>VLOOKUP(F1145,Carrier_Category!A:B,2,0)</f>
        <v>Commuter</v>
      </c>
      <c r="H1145" s="5">
        <v>21</v>
      </c>
      <c r="I1145" s="7">
        <f t="shared" si="55"/>
        <v>35</v>
      </c>
      <c r="J1145" s="5">
        <v>563</v>
      </c>
      <c r="K1145" s="18">
        <f t="shared" si="54"/>
        <v>26.80952380952381</v>
      </c>
    </row>
    <row r="1146" spans="1:11" x14ac:dyDescent="0.3">
      <c r="A1146" s="14">
        <v>2022</v>
      </c>
      <c r="B1146" s="14">
        <f t="shared" si="53"/>
        <v>52</v>
      </c>
      <c r="C1146" s="9">
        <v>44921</v>
      </c>
      <c r="D1146" s="9">
        <v>44925</v>
      </c>
      <c r="E1146" s="14">
        <f>VLOOKUP(F1146,CarrierID!A:B,2,0)</f>
        <v>5</v>
      </c>
      <c r="F1146" s="15" t="s">
        <v>1</v>
      </c>
      <c r="G1146" t="str">
        <f>VLOOKUP(F1146,Carrier_Category!A:B,2,0)</f>
        <v>Intercity</v>
      </c>
      <c r="H1146" s="5">
        <v>53</v>
      </c>
      <c r="I1146" s="7">
        <f t="shared" si="55"/>
        <v>51</v>
      </c>
      <c r="J1146" s="5">
        <v>1668</v>
      </c>
      <c r="K1146" s="18">
        <f t="shared" si="54"/>
        <v>31.471698113207548</v>
      </c>
    </row>
    <row r="1147" spans="1:11" x14ac:dyDescent="0.3">
      <c r="A1147" s="14">
        <v>2022</v>
      </c>
      <c r="B1147" s="14">
        <f t="shared" si="53"/>
        <v>52</v>
      </c>
      <c r="C1147" s="9">
        <v>44921</v>
      </c>
      <c r="D1147" s="9">
        <v>44925</v>
      </c>
      <c r="E1147" s="14">
        <f>VLOOKUP(F1147,CarrierID!A:B,2,0)</f>
        <v>8</v>
      </c>
      <c r="F1147" s="15" t="s">
        <v>2</v>
      </c>
      <c r="G1147" t="str">
        <f>VLOOKUP(F1147,Carrier_Category!A:B,2,0)</f>
        <v>Commuter</v>
      </c>
      <c r="H1147" s="5" t="s">
        <v>30</v>
      </c>
      <c r="I1147" s="7">
        <f t="shared" si="55"/>
        <v>19</v>
      </c>
      <c r="J1147" s="5">
        <v>718</v>
      </c>
      <c r="K1147" s="18" t="e">
        <f t="shared" si="54"/>
        <v>#VALUE!</v>
      </c>
    </row>
    <row r="1148" spans="1:11" x14ac:dyDescent="0.3">
      <c r="A1148" s="14">
        <v>2022</v>
      </c>
      <c r="B1148" s="14">
        <f t="shared" si="53"/>
        <v>52</v>
      </c>
      <c r="C1148" s="9">
        <v>44921</v>
      </c>
      <c r="D1148" s="9">
        <v>44925</v>
      </c>
      <c r="E1148" s="14">
        <f>VLOOKUP(F1148,CarrierID!A:B,2,0)</f>
        <v>9</v>
      </c>
      <c r="F1148" s="15" t="s">
        <v>3</v>
      </c>
      <c r="G1148" t="str">
        <f>VLOOKUP(F1148,Carrier_Category!A:B,2,0)</f>
        <v>NJT</v>
      </c>
      <c r="H1148" s="5">
        <v>2161</v>
      </c>
      <c r="I1148" s="7">
        <f t="shared" si="55"/>
        <v>2189</v>
      </c>
      <c r="J1148" s="5">
        <v>56206</v>
      </c>
      <c r="K1148" s="18">
        <f t="shared" si="54"/>
        <v>26.009254974548821</v>
      </c>
    </row>
    <row r="1149" spans="1:11" x14ac:dyDescent="0.3">
      <c r="A1149" s="14">
        <v>2022</v>
      </c>
      <c r="B1149" s="14">
        <f t="shared" si="53"/>
        <v>52</v>
      </c>
      <c r="C1149" s="9">
        <v>44921</v>
      </c>
      <c r="D1149" s="9">
        <v>44925</v>
      </c>
      <c r="E1149" s="14">
        <f>VLOOKUP(F1149,CarrierID!A:B,2,0)</f>
        <v>7</v>
      </c>
      <c r="F1149" s="15" t="s">
        <v>4</v>
      </c>
      <c r="G1149" t="str">
        <f>VLOOKUP(F1149,Carrier_Category!A:B,2,0)</f>
        <v>Commuter</v>
      </c>
      <c r="H1149" s="5">
        <v>29</v>
      </c>
      <c r="I1149" s="7">
        <f t="shared" si="55"/>
        <v>29</v>
      </c>
      <c r="J1149" s="5">
        <v>804</v>
      </c>
      <c r="K1149" s="18">
        <f t="shared" si="54"/>
        <v>27.724137931034484</v>
      </c>
    </row>
    <row r="1150" spans="1:11" x14ac:dyDescent="0.3">
      <c r="A1150" s="14">
        <v>2022</v>
      </c>
      <c r="B1150" s="14">
        <f t="shared" si="53"/>
        <v>52</v>
      </c>
      <c r="C1150" s="9">
        <v>44921</v>
      </c>
      <c r="D1150" s="9">
        <v>44925</v>
      </c>
      <c r="E1150" s="14">
        <f>VLOOKUP(F1150,CarrierID!A:B,2,0)</f>
        <v>11</v>
      </c>
      <c r="F1150" s="15" t="s">
        <v>5</v>
      </c>
      <c r="G1150" t="str">
        <f>VLOOKUP(F1150,Carrier_Category!A:B,2,0)</f>
        <v>Intercity</v>
      </c>
      <c r="H1150" s="5">
        <v>27</v>
      </c>
      <c r="I1150" s="7">
        <f t="shared" si="55"/>
        <v>23</v>
      </c>
      <c r="J1150" s="5">
        <v>703</v>
      </c>
      <c r="K1150" s="18">
        <f t="shared" si="54"/>
        <v>26.037037037037038</v>
      </c>
    </row>
    <row r="1151" spans="1:11" x14ac:dyDescent="0.3">
      <c r="A1151" s="14">
        <v>2022</v>
      </c>
      <c r="B1151" s="14">
        <f t="shared" si="53"/>
        <v>52</v>
      </c>
      <c r="C1151" s="9">
        <v>44921</v>
      </c>
      <c r="D1151" s="9">
        <v>44925</v>
      </c>
      <c r="E1151" s="14">
        <f>VLOOKUP(F1151,CarrierID!A:B,2,0)</f>
        <v>3</v>
      </c>
      <c r="F1151" s="15" t="s">
        <v>6</v>
      </c>
      <c r="G1151" t="str">
        <f>VLOOKUP(F1151,Carrier_Category!A:B,2,0)</f>
        <v>Commuter</v>
      </c>
      <c r="H1151" s="5">
        <v>137</v>
      </c>
      <c r="I1151" s="7">
        <f t="shared" si="55"/>
        <v>143</v>
      </c>
      <c r="J1151" s="5">
        <v>2750</v>
      </c>
      <c r="K1151" s="18">
        <f t="shared" si="54"/>
        <v>20.072992700729927</v>
      </c>
    </row>
    <row r="1152" spans="1:11" x14ac:dyDescent="0.3">
      <c r="A1152" s="14">
        <v>2022</v>
      </c>
      <c r="B1152" s="14">
        <f t="shared" si="53"/>
        <v>52</v>
      </c>
      <c r="C1152" s="9">
        <v>44921</v>
      </c>
      <c r="D1152" s="9">
        <v>44925</v>
      </c>
      <c r="E1152" s="14">
        <f>VLOOKUP(F1152,CarrierID!A:B,2,0)</f>
        <v>12</v>
      </c>
      <c r="F1152" s="15" t="s">
        <v>25</v>
      </c>
      <c r="G1152" t="str">
        <f>VLOOKUP(F1152,Carrier_Category!A:B,2,0)</f>
        <v>Commuter</v>
      </c>
      <c r="H1152" s="5">
        <v>19</v>
      </c>
      <c r="I1152" s="7">
        <f t="shared" si="55"/>
        <v>19</v>
      </c>
      <c r="J1152" s="5">
        <v>528</v>
      </c>
      <c r="K1152" s="18">
        <f t="shared" si="54"/>
        <v>27.789473684210527</v>
      </c>
    </row>
    <row r="1153" spans="1:11" x14ac:dyDescent="0.3">
      <c r="A1153" s="14">
        <v>2022</v>
      </c>
      <c r="B1153" s="14">
        <f t="shared" si="53"/>
        <v>52</v>
      </c>
      <c r="C1153" s="9">
        <v>44921</v>
      </c>
      <c r="D1153" s="9">
        <v>44925</v>
      </c>
      <c r="E1153" s="14">
        <f>VLOOKUP(F1153,CarrierID!A:B,2,0)</f>
        <v>10</v>
      </c>
      <c r="F1153" s="15" t="s">
        <v>8</v>
      </c>
      <c r="G1153" t="str">
        <f>VLOOKUP(F1153,Carrier_Category!A:B,2,0)</f>
        <v>Intercity</v>
      </c>
      <c r="H1153" s="5">
        <v>42</v>
      </c>
      <c r="I1153" s="7">
        <f t="shared" si="55"/>
        <v>33</v>
      </c>
      <c r="J1153" s="5">
        <v>2050</v>
      </c>
      <c r="K1153" s="18">
        <f t="shared" si="54"/>
        <v>48.80952380952381</v>
      </c>
    </row>
    <row r="1154" spans="1:11" x14ac:dyDescent="0.3">
      <c r="A1154" s="14">
        <v>2022</v>
      </c>
      <c r="B1154" s="14">
        <f t="shared" si="53"/>
        <v>52</v>
      </c>
      <c r="C1154" s="9">
        <v>44921</v>
      </c>
      <c r="D1154" s="9">
        <v>44925</v>
      </c>
      <c r="E1154" s="14">
        <f>VLOOKUP(F1154,CarrierID!A:B,2,0)</f>
        <v>4</v>
      </c>
      <c r="F1154" s="15" t="s">
        <v>24</v>
      </c>
      <c r="G1154" t="str">
        <f>VLOOKUP(F1154,Carrier_Category!A:B,2,0)</f>
        <v>Commuter</v>
      </c>
      <c r="H1154" s="5">
        <v>34</v>
      </c>
      <c r="I1154" s="7">
        <f t="shared" si="55"/>
        <v>36</v>
      </c>
      <c r="J1154" s="5">
        <v>382</v>
      </c>
      <c r="K1154" s="18">
        <f t="shared" si="54"/>
        <v>11.235294117647058</v>
      </c>
    </row>
    <row r="1155" spans="1:11" x14ac:dyDescent="0.3">
      <c r="A1155" s="14">
        <v>2022</v>
      </c>
      <c r="B1155" s="14">
        <f t="shared" si="53"/>
        <v>52</v>
      </c>
      <c r="C1155" s="9">
        <v>44921</v>
      </c>
      <c r="D1155" s="9">
        <v>44925</v>
      </c>
      <c r="E1155" s="14">
        <f>VLOOKUP(F1155,CarrierID!A:B,2,0)</f>
        <v>6</v>
      </c>
      <c r="F1155" s="15" t="s">
        <v>9</v>
      </c>
      <c r="G1155" t="str">
        <f>VLOOKUP(F1155,Carrier_Category!A:B,2,0)</f>
        <v>Commuter</v>
      </c>
      <c r="H1155" s="5">
        <v>81</v>
      </c>
      <c r="I1155" s="7">
        <f t="shared" si="55"/>
        <v>84</v>
      </c>
      <c r="J1155" s="5">
        <v>1440</v>
      </c>
      <c r="K1155" s="18">
        <f t="shared" si="54"/>
        <v>17.777777777777779</v>
      </c>
    </row>
    <row r="1156" spans="1:11" x14ac:dyDescent="0.3">
      <c r="A1156" s="14">
        <v>2023</v>
      </c>
      <c r="B1156" s="14">
        <f t="shared" si="53"/>
        <v>1</v>
      </c>
      <c r="C1156" s="9">
        <v>44928</v>
      </c>
      <c r="D1156" s="9">
        <v>44932</v>
      </c>
      <c r="E1156" s="14">
        <f>VLOOKUP(F1156,CarrierID!A:B,2,0)</f>
        <v>1</v>
      </c>
      <c r="F1156" s="15" t="s">
        <v>0</v>
      </c>
      <c r="G1156" t="str">
        <f>VLOOKUP(F1156,Carrier_Category!A:B,2,0)</f>
        <v>Commuter</v>
      </c>
      <c r="H1156" s="5">
        <v>32</v>
      </c>
      <c r="I1156" s="7">
        <f t="shared" si="55"/>
        <v>21</v>
      </c>
      <c r="J1156" s="5">
        <v>1085</v>
      </c>
      <c r="K1156" s="18">
        <f t="shared" si="54"/>
        <v>33.90625</v>
      </c>
    </row>
    <row r="1157" spans="1:11" x14ac:dyDescent="0.3">
      <c r="A1157" s="14">
        <v>2023</v>
      </c>
      <c r="B1157" s="14">
        <f t="shared" ref="B1157:B1220" si="56">_xlfn.ISOWEEKNUM(C1157)</f>
        <v>1</v>
      </c>
      <c r="C1157" s="9">
        <v>44928</v>
      </c>
      <c r="D1157" s="9">
        <v>44932</v>
      </c>
      <c r="E1157" s="14">
        <f>VLOOKUP(F1157,CarrierID!A:B,2,0)</f>
        <v>5</v>
      </c>
      <c r="F1157" s="15" t="s">
        <v>1</v>
      </c>
      <c r="G1157" t="str">
        <f>VLOOKUP(F1157,Carrier_Category!A:B,2,0)</f>
        <v>Intercity</v>
      </c>
      <c r="H1157" s="5">
        <v>52</v>
      </c>
      <c r="I1157" s="7">
        <f t="shared" si="55"/>
        <v>53</v>
      </c>
      <c r="J1157" s="5">
        <v>1450</v>
      </c>
      <c r="K1157" s="18">
        <f t="shared" ref="K1157:K1220" si="57">J1157/H1157</f>
        <v>27.884615384615383</v>
      </c>
    </row>
    <row r="1158" spans="1:11" x14ac:dyDescent="0.3">
      <c r="A1158" s="14">
        <v>2023</v>
      </c>
      <c r="B1158" s="14">
        <f t="shared" si="56"/>
        <v>1</v>
      </c>
      <c r="C1158" s="9">
        <v>44928</v>
      </c>
      <c r="D1158" s="9">
        <v>44932</v>
      </c>
      <c r="E1158" s="14">
        <f>VLOOKUP(F1158,CarrierID!A:B,2,0)</f>
        <v>8</v>
      </c>
      <c r="F1158" s="15" t="s">
        <v>2</v>
      </c>
      <c r="G1158" t="str">
        <f>VLOOKUP(F1158,Carrier_Category!A:B,2,0)</f>
        <v>Commuter</v>
      </c>
      <c r="H1158" s="5">
        <v>19</v>
      </c>
      <c r="I1158" s="7" t="str">
        <f t="shared" si="55"/>
        <v>d re</v>
      </c>
      <c r="J1158" s="5">
        <v>743</v>
      </c>
      <c r="K1158" s="18">
        <f t="shared" si="57"/>
        <v>39.10526315789474</v>
      </c>
    </row>
    <row r="1159" spans="1:11" x14ac:dyDescent="0.3">
      <c r="A1159" s="14">
        <v>2023</v>
      </c>
      <c r="B1159" s="14">
        <f t="shared" si="56"/>
        <v>1</v>
      </c>
      <c r="C1159" s="9">
        <v>44928</v>
      </c>
      <c r="D1159" s="9">
        <v>44932</v>
      </c>
      <c r="E1159" s="14">
        <f>VLOOKUP(F1159,CarrierID!A:B,2,0)</f>
        <v>9</v>
      </c>
      <c r="F1159" s="15" t="s">
        <v>3</v>
      </c>
      <c r="G1159" t="str">
        <f>VLOOKUP(F1159,Carrier_Category!A:B,2,0)</f>
        <v>NJT</v>
      </c>
      <c r="H1159" s="5">
        <v>2197</v>
      </c>
      <c r="I1159" s="7">
        <f t="shared" si="55"/>
        <v>2161</v>
      </c>
      <c r="J1159" s="5">
        <v>64872</v>
      </c>
      <c r="K1159" s="18">
        <f t="shared" si="57"/>
        <v>29.527537551206191</v>
      </c>
    </row>
    <row r="1160" spans="1:11" x14ac:dyDescent="0.3">
      <c r="A1160" s="14">
        <v>2023</v>
      </c>
      <c r="B1160" s="14">
        <f t="shared" si="56"/>
        <v>1</v>
      </c>
      <c r="C1160" s="9">
        <v>44928</v>
      </c>
      <c r="D1160" s="9">
        <v>44932</v>
      </c>
      <c r="E1160" s="14">
        <f>VLOOKUP(F1160,CarrierID!A:B,2,0)</f>
        <v>7</v>
      </c>
      <c r="F1160" s="15" t="s">
        <v>4</v>
      </c>
      <c r="G1160" t="str">
        <f>VLOOKUP(F1160,Carrier_Category!A:B,2,0)</f>
        <v>Commuter</v>
      </c>
      <c r="H1160" s="5">
        <v>29</v>
      </c>
      <c r="I1160" s="7">
        <f t="shared" si="55"/>
        <v>29</v>
      </c>
      <c r="J1160" s="5">
        <v>1240</v>
      </c>
      <c r="K1160" s="18">
        <f t="shared" si="57"/>
        <v>42.758620689655174</v>
      </c>
    </row>
    <row r="1161" spans="1:11" x14ac:dyDescent="0.3">
      <c r="A1161" s="14">
        <v>2023</v>
      </c>
      <c r="B1161" s="14">
        <f t="shared" si="56"/>
        <v>1</v>
      </c>
      <c r="C1161" s="9">
        <v>44928</v>
      </c>
      <c r="D1161" s="9">
        <v>44932</v>
      </c>
      <c r="E1161" s="14">
        <f>VLOOKUP(F1161,CarrierID!A:B,2,0)</f>
        <v>11</v>
      </c>
      <c r="F1161" s="15" t="s">
        <v>5</v>
      </c>
      <c r="G1161" t="str">
        <f>VLOOKUP(F1161,Carrier_Category!A:B,2,0)</f>
        <v>Intercity</v>
      </c>
      <c r="H1161" s="5">
        <v>24</v>
      </c>
      <c r="I1161" s="7">
        <f t="shared" si="55"/>
        <v>27</v>
      </c>
      <c r="J1161" s="5">
        <v>577</v>
      </c>
      <c r="K1161" s="18">
        <f t="shared" si="57"/>
        <v>24.041666666666668</v>
      </c>
    </row>
    <row r="1162" spans="1:11" x14ac:dyDescent="0.3">
      <c r="A1162" s="14">
        <v>2023</v>
      </c>
      <c r="B1162" s="14">
        <f t="shared" si="56"/>
        <v>1</v>
      </c>
      <c r="C1162" s="9">
        <v>44928</v>
      </c>
      <c r="D1162" s="9">
        <v>44932</v>
      </c>
      <c r="E1162" s="14">
        <f>VLOOKUP(F1162,CarrierID!A:B,2,0)</f>
        <v>3</v>
      </c>
      <c r="F1162" s="15" t="s">
        <v>6</v>
      </c>
      <c r="G1162" t="str">
        <f>VLOOKUP(F1162,Carrier_Category!A:B,2,0)</f>
        <v>Commuter</v>
      </c>
      <c r="H1162" s="5">
        <v>138</v>
      </c>
      <c r="I1162" s="7">
        <f t="shared" si="55"/>
        <v>137</v>
      </c>
      <c r="J1162" s="5">
        <v>4560</v>
      </c>
      <c r="K1162" s="18">
        <f t="shared" si="57"/>
        <v>33.043478260869563</v>
      </c>
    </row>
    <row r="1163" spans="1:11" x14ac:dyDescent="0.3">
      <c r="A1163" s="14">
        <v>2023</v>
      </c>
      <c r="B1163" s="14">
        <f t="shared" si="56"/>
        <v>1</v>
      </c>
      <c r="C1163" s="9">
        <v>44928</v>
      </c>
      <c r="D1163" s="9">
        <v>44932</v>
      </c>
      <c r="E1163" s="14">
        <f>VLOOKUP(F1163,CarrierID!A:B,2,0)</f>
        <v>12</v>
      </c>
      <c r="F1163" s="15" t="s">
        <v>25</v>
      </c>
      <c r="G1163" t="str">
        <f>VLOOKUP(F1163,Carrier_Category!A:B,2,0)</f>
        <v>Commuter</v>
      </c>
      <c r="H1163" s="5">
        <v>18</v>
      </c>
      <c r="I1163" s="7">
        <f t="shared" si="55"/>
        <v>19</v>
      </c>
      <c r="J1163" s="5">
        <v>601</v>
      </c>
      <c r="K1163" s="18">
        <f t="shared" si="57"/>
        <v>33.388888888888886</v>
      </c>
    </row>
    <row r="1164" spans="1:11" x14ac:dyDescent="0.3">
      <c r="A1164" s="14">
        <v>2023</v>
      </c>
      <c r="B1164" s="14">
        <f t="shared" si="56"/>
        <v>1</v>
      </c>
      <c r="C1164" s="9">
        <v>44928</v>
      </c>
      <c r="D1164" s="9">
        <v>44932</v>
      </c>
      <c r="E1164" s="14">
        <f>VLOOKUP(F1164,CarrierID!A:B,2,0)</f>
        <v>10</v>
      </c>
      <c r="F1164" s="15" t="s">
        <v>8</v>
      </c>
      <c r="G1164" t="str">
        <f>VLOOKUP(F1164,Carrier_Category!A:B,2,0)</f>
        <v>Intercity</v>
      </c>
      <c r="H1164" s="5">
        <v>28</v>
      </c>
      <c r="I1164" s="7">
        <f t="shared" si="55"/>
        <v>42</v>
      </c>
      <c r="J1164" s="5">
        <v>1183</v>
      </c>
      <c r="K1164" s="18">
        <f t="shared" si="57"/>
        <v>42.25</v>
      </c>
    </row>
    <row r="1165" spans="1:11" x14ac:dyDescent="0.3">
      <c r="A1165" s="14">
        <v>2023</v>
      </c>
      <c r="B1165" s="14">
        <f t="shared" si="56"/>
        <v>1</v>
      </c>
      <c r="C1165" s="9">
        <v>44928</v>
      </c>
      <c r="D1165" s="9">
        <v>44932</v>
      </c>
      <c r="E1165" s="14">
        <f>VLOOKUP(F1165,CarrierID!A:B,2,0)</f>
        <v>4</v>
      </c>
      <c r="F1165" s="15" t="s">
        <v>24</v>
      </c>
      <c r="G1165" t="str">
        <f>VLOOKUP(F1165,Carrier_Category!A:B,2,0)</f>
        <v>Commuter</v>
      </c>
      <c r="H1165" s="5">
        <v>36</v>
      </c>
      <c r="I1165" s="7">
        <f t="shared" ref="I1165:I1228" si="58">H1154</f>
        <v>34</v>
      </c>
      <c r="J1165" s="5">
        <v>601</v>
      </c>
      <c r="K1165" s="18">
        <f t="shared" si="57"/>
        <v>16.694444444444443</v>
      </c>
    </row>
    <row r="1166" spans="1:11" x14ac:dyDescent="0.3">
      <c r="A1166" s="14">
        <v>2023</v>
      </c>
      <c r="B1166" s="14">
        <f t="shared" si="56"/>
        <v>1</v>
      </c>
      <c r="C1166" s="9">
        <v>44928</v>
      </c>
      <c r="D1166" s="9">
        <v>44932</v>
      </c>
      <c r="E1166" s="14">
        <f>VLOOKUP(F1166,CarrierID!A:B,2,0)</f>
        <v>6</v>
      </c>
      <c r="F1166" s="15" t="s">
        <v>9</v>
      </c>
      <c r="G1166" t="str">
        <f>VLOOKUP(F1166,Carrier_Category!A:B,2,0)</f>
        <v>Commuter</v>
      </c>
      <c r="H1166" s="5">
        <v>81</v>
      </c>
      <c r="I1166" s="7">
        <f t="shared" si="58"/>
        <v>81</v>
      </c>
      <c r="J1166" s="5">
        <v>1440</v>
      </c>
      <c r="K1166" s="18">
        <f t="shared" si="57"/>
        <v>17.777777777777779</v>
      </c>
    </row>
    <row r="1167" spans="1:11" x14ac:dyDescent="0.3">
      <c r="A1167" s="14">
        <v>2023</v>
      </c>
      <c r="B1167" s="14">
        <f t="shared" si="56"/>
        <v>2</v>
      </c>
      <c r="C1167" s="9">
        <v>44935</v>
      </c>
      <c r="D1167" s="9">
        <v>44939</v>
      </c>
      <c r="E1167" s="14">
        <f>VLOOKUP(F1167,CarrierID!A:B,2,0)</f>
        <v>1</v>
      </c>
      <c r="F1167" s="15" t="s">
        <v>0</v>
      </c>
      <c r="G1167" t="str">
        <f>VLOOKUP(F1167,Carrier_Category!A:B,2,0)</f>
        <v>Commuter</v>
      </c>
      <c r="H1167" s="5">
        <v>34</v>
      </c>
      <c r="I1167" s="7">
        <f t="shared" si="58"/>
        <v>32</v>
      </c>
      <c r="J1167" s="5">
        <v>1237</v>
      </c>
      <c r="K1167" s="18">
        <f t="shared" si="57"/>
        <v>36.382352941176471</v>
      </c>
    </row>
    <row r="1168" spans="1:11" x14ac:dyDescent="0.3">
      <c r="A1168" s="14">
        <v>2023</v>
      </c>
      <c r="B1168" s="14">
        <f t="shared" si="56"/>
        <v>2</v>
      </c>
      <c r="C1168" s="9">
        <v>44935</v>
      </c>
      <c r="D1168" s="9">
        <v>44939</v>
      </c>
      <c r="E1168" s="14">
        <f>VLOOKUP(F1168,CarrierID!A:B,2,0)</f>
        <v>5</v>
      </c>
      <c r="F1168" s="15" t="s">
        <v>1</v>
      </c>
      <c r="G1168" t="str">
        <f>VLOOKUP(F1168,Carrier_Category!A:B,2,0)</f>
        <v>Intercity</v>
      </c>
      <c r="H1168" s="5">
        <v>51</v>
      </c>
      <c r="I1168" s="7">
        <f t="shared" si="58"/>
        <v>52</v>
      </c>
      <c r="J1168" s="5">
        <v>1166</v>
      </c>
      <c r="K1168" s="18">
        <f t="shared" si="57"/>
        <v>22.862745098039216</v>
      </c>
    </row>
    <row r="1169" spans="1:11" x14ac:dyDescent="0.3">
      <c r="A1169" s="14">
        <v>2023</v>
      </c>
      <c r="B1169" s="14">
        <f t="shared" si="56"/>
        <v>2</v>
      </c>
      <c r="C1169" s="9">
        <v>44935</v>
      </c>
      <c r="D1169" s="9">
        <v>44939</v>
      </c>
      <c r="E1169" s="14">
        <f>VLOOKUP(F1169,CarrierID!A:B,2,0)</f>
        <v>8</v>
      </c>
      <c r="F1169" s="15" t="s">
        <v>2</v>
      </c>
      <c r="G1169" t="str">
        <f>VLOOKUP(F1169,Carrier_Category!A:B,2,0)</f>
        <v>Commuter</v>
      </c>
      <c r="H1169" s="5">
        <v>20</v>
      </c>
      <c r="I1169" s="7">
        <f t="shared" si="58"/>
        <v>19</v>
      </c>
      <c r="J1169" s="5">
        <v>781</v>
      </c>
      <c r="K1169" s="18">
        <f t="shared" si="57"/>
        <v>39.049999999999997</v>
      </c>
    </row>
    <row r="1170" spans="1:11" x14ac:dyDescent="0.3">
      <c r="A1170" s="14">
        <v>2023</v>
      </c>
      <c r="B1170" s="14">
        <f t="shared" si="56"/>
        <v>2</v>
      </c>
      <c r="C1170" s="9">
        <v>44935</v>
      </c>
      <c r="D1170" s="9">
        <v>44939</v>
      </c>
      <c r="E1170" s="14">
        <f>VLOOKUP(F1170,CarrierID!A:B,2,0)</f>
        <v>9</v>
      </c>
      <c r="F1170" s="15" t="s">
        <v>3</v>
      </c>
      <c r="G1170" t="str">
        <f>VLOOKUP(F1170,Carrier_Category!A:B,2,0)</f>
        <v>NJT</v>
      </c>
      <c r="H1170" s="5">
        <v>2199</v>
      </c>
      <c r="I1170" s="7">
        <f t="shared" si="58"/>
        <v>2197</v>
      </c>
      <c r="J1170" s="5">
        <v>65421</v>
      </c>
      <c r="K1170" s="18">
        <f t="shared" si="57"/>
        <v>29.750341064120054</v>
      </c>
    </row>
    <row r="1171" spans="1:11" x14ac:dyDescent="0.3">
      <c r="A1171" s="14">
        <v>2023</v>
      </c>
      <c r="B1171" s="14">
        <f t="shared" si="56"/>
        <v>2</v>
      </c>
      <c r="C1171" s="9">
        <v>44935</v>
      </c>
      <c r="D1171" s="9">
        <v>44939</v>
      </c>
      <c r="E1171" s="14">
        <f>VLOOKUP(F1171,CarrierID!A:B,2,0)</f>
        <v>7</v>
      </c>
      <c r="F1171" s="15" t="s">
        <v>4</v>
      </c>
      <c r="G1171" t="str">
        <f>VLOOKUP(F1171,Carrier_Category!A:B,2,0)</f>
        <v>Commuter</v>
      </c>
      <c r="H1171" s="5">
        <v>29</v>
      </c>
      <c r="I1171" s="7">
        <f t="shared" si="58"/>
        <v>29</v>
      </c>
      <c r="J1171" s="5">
        <v>1237</v>
      </c>
      <c r="K1171" s="18">
        <f t="shared" si="57"/>
        <v>42.655172413793103</v>
      </c>
    </row>
    <row r="1172" spans="1:11" x14ac:dyDescent="0.3">
      <c r="A1172" s="14">
        <v>2023</v>
      </c>
      <c r="B1172" s="14">
        <f t="shared" si="56"/>
        <v>2</v>
      </c>
      <c r="C1172" s="9">
        <v>44935</v>
      </c>
      <c r="D1172" s="9">
        <v>44939</v>
      </c>
      <c r="E1172" s="14">
        <f>VLOOKUP(F1172,CarrierID!A:B,2,0)</f>
        <v>11</v>
      </c>
      <c r="F1172" s="15" t="s">
        <v>5</v>
      </c>
      <c r="G1172" t="str">
        <f>VLOOKUP(F1172,Carrier_Category!A:B,2,0)</f>
        <v>Intercity</v>
      </c>
      <c r="H1172" s="5">
        <v>22</v>
      </c>
      <c r="I1172" s="7">
        <f t="shared" si="58"/>
        <v>24</v>
      </c>
      <c r="J1172" s="5">
        <v>444</v>
      </c>
      <c r="K1172" s="18">
        <f t="shared" si="57"/>
        <v>20.181818181818183</v>
      </c>
    </row>
    <row r="1173" spans="1:11" x14ac:dyDescent="0.3">
      <c r="A1173" s="14">
        <v>2023</v>
      </c>
      <c r="B1173" s="14">
        <f t="shared" si="56"/>
        <v>2</v>
      </c>
      <c r="C1173" s="9">
        <v>44935</v>
      </c>
      <c r="D1173" s="9">
        <v>44939</v>
      </c>
      <c r="E1173" s="14">
        <f>VLOOKUP(F1173,CarrierID!A:B,2,0)</f>
        <v>3</v>
      </c>
      <c r="F1173" s="15" t="s">
        <v>6</v>
      </c>
      <c r="G1173" t="str">
        <f>VLOOKUP(F1173,Carrier_Category!A:B,2,0)</f>
        <v>Commuter</v>
      </c>
      <c r="H1173" s="5">
        <v>149</v>
      </c>
      <c r="I1173" s="7">
        <f t="shared" si="58"/>
        <v>138</v>
      </c>
      <c r="J1173" s="5">
        <v>4939</v>
      </c>
      <c r="K1173" s="18">
        <f t="shared" si="57"/>
        <v>33.147651006711406</v>
      </c>
    </row>
    <row r="1174" spans="1:11" x14ac:dyDescent="0.3">
      <c r="A1174" s="14">
        <v>2023</v>
      </c>
      <c r="B1174" s="14">
        <f t="shared" si="56"/>
        <v>2</v>
      </c>
      <c r="C1174" s="9">
        <v>44935</v>
      </c>
      <c r="D1174" s="9">
        <v>44939</v>
      </c>
      <c r="E1174" s="14">
        <f>VLOOKUP(F1174,CarrierID!A:B,2,0)</f>
        <v>12</v>
      </c>
      <c r="F1174" s="15" t="s">
        <v>25</v>
      </c>
      <c r="G1174" t="str">
        <f>VLOOKUP(F1174,Carrier_Category!A:B,2,0)</f>
        <v>Commuter</v>
      </c>
      <c r="H1174" s="5">
        <v>19</v>
      </c>
      <c r="I1174" s="7">
        <f t="shared" si="58"/>
        <v>18</v>
      </c>
      <c r="J1174" s="5">
        <v>624</v>
      </c>
      <c r="K1174" s="18">
        <f t="shared" si="57"/>
        <v>32.842105263157897</v>
      </c>
    </row>
    <row r="1175" spans="1:11" x14ac:dyDescent="0.3">
      <c r="A1175" s="14">
        <v>2023</v>
      </c>
      <c r="B1175" s="14">
        <f t="shared" si="56"/>
        <v>2</v>
      </c>
      <c r="C1175" s="9">
        <v>44935</v>
      </c>
      <c r="D1175" s="9">
        <v>44939</v>
      </c>
      <c r="E1175" s="14">
        <f>VLOOKUP(F1175,CarrierID!A:B,2,0)</f>
        <v>10</v>
      </c>
      <c r="F1175" s="15" t="s">
        <v>8</v>
      </c>
      <c r="G1175" t="str">
        <f>VLOOKUP(F1175,Carrier_Category!A:B,2,0)</f>
        <v>Intercity</v>
      </c>
      <c r="H1175" s="5">
        <v>25</v>
      </c>
      <c r="I1175" s="7">
        <f t="shared" si="58"/>
        <v>28</v>
      </c>
      <c r="J1175" s="5">
        <v>775</v>
      </c>
      <c r="K1175" s="18">
        <f t="shared" si="57"/>
        <v>31</v>
      </c>
    </row>
    <row r="1176" spans="1:11" x14ac:dyDescent="0.3">
      <c r="A1176" s="14">
        <v>2023</v>
      </c>
      <c r="B1176" s="14">
        <f t="shared" si="56"/>
        <v>2</v>
      </c>
      <c r="C1176" s="9">
        <v>44935</v>
      </c>
      <c r="D1176" s="9">
        <v>44939</v>
      </c>
      <c r="E1176" s="14">
        <f>VLOOKUP(F1176,CarrierID!A:B,2,0)</f>
        <v>4</v>
      </c>
      <c r="F1176" s="15" t="s">
        <v>24</v>
      </c>
      <c r="G1176" t="str">
        <f>VLOOKUP(F1176,Carrier_Category!A:B,2,0)</f>
        <v>Commuter</v>
      </c>
      <c r="H1176" s="5">
        <v>36</v>
      </c>
      <c r="I1176" s="7">
        <f t="shared" si="58"/>
        <v>36</v>
      </c>
      <c r="J1176" s="5">
        <v>637</v>
      </c>
      <c r="K1176" s="18">
        <f t="shared" si="57"/>
        <v>17.694444444444443</v>
      </c>
    </row>
    <row r="1177" spans="1:11" x14ac:dyDescent="0.3">
      <c r="A1177" s="14">
        <v>2023</v>
      </c>
      <c r="B1177" s="14">
        <f t="shared" si="56"/>
        <v>2</v>
      </c>
      <c r="C1177" s="9">
        <v>44935</v>
      </c>
      <c r="D1177" s="9">
        <v>44939</v>
      </c>
      <c r="E1177" s="14">
        <f>VLOOKUP(F1177,CarrierID!A:B,2,0)</f>
        <v>6</v>
      </c>
      <c r="F1177" s="15" t="s">
        <v>9</v>
      </c>
      <c r="G1177" t="str">
        <f>VLOOKUP(F1177,Carrier_Category!A:B,2,0)</f>
        <v>Commuter</v>
      </c>
      <c r="H1177" s="5">
        <v>81</v>
      </c>
      <c r="I1177" s="7">
        <f t="shared" si="58"/>
        <v>81</v>
      </c>
      <c r="J1177" s="5">
        <v>1440</v>
      </c>
      <c r="K1177" s="18">
        <f t="shared" si="57"/>
        <v>17.777777777777779</v>
      </c>
    </row>
    <row r="1178" spans="1:11" x14ac:dyDescent="0.3">
      <c r="A1178" s="14">
        <v>2023</v>
      </c>
      <c r="B1178" s="14">
        <f t="shared" si="56"/>
        <v>3</v>
      </c>
      <c r="C1178" s="9">
        <v>44942</v>
      </c>
      <c r="D1178" s="9">
        <v>44946</v>
      </c>
      <c r="E1178" s="14">
        <f>VLOOKUP(F1178,CarrierID!A:B,2,0)</f>
        <v>1</v>
      </c>
      <c r="F1178" s="15" t="s">
        <v>0</v>
      </c>
      <c r="G1178" t="str">
        <f>VLOOKUP(F1178,Carrier_Category!A:B,2,0)</f>
        <v>Commuter</v>
      </c>
      <c r="H1178" s="5">
        <v>35</v>
      </c>
      <c r="I1178" s="7">
        <f t="shared" si="58"/>
        <v>34</v>
      </c>
      <c r="J1178" s="5">
        <v>1266</v>
      </c>
      <c r="K1178" s="18">
        <f t="shared" si="57"/>
        <v>36.171428571428571</v>
      </c>
    </row>
    <row r="1179" spans="1:11" x14ac:dyDescent="0.3">
      <c r="A1179" s="14">
        <v>2023</v>
      </c>
      <c r="B1179" s="14">
        <f t="shared" si="56"/>
        <v>3</v>
      </c>
      <c r="C1179" s="9">
        <v>44942</v>
      </c>
      <c r="D1179" s="9">
        <v>44946</v>
      </c>
      <c r="E1179" s="14">
        <f>VLOOKUP(F1179,CarrierID!A:B,2,0)</f>
        <v>5</v>
      </c>
      <c r="F1179" s="15" t="s">
        <v>1</v>
      </c>
      <c r="G1179" t="str">
        <f>VLOOKUP(F1179,Carrier_Category!A:B,2,0)</f>
        <v>Intercity</v>
      </c>
      <c r="H1179" s="5">
        <v>51</v>
      </c>
      <c r="I1179" s="7">
        <f t="shared" si="58"/>
        <v>51</v>
      </c>
      <c r="J1179" s="5">
        <v>1139</v>
      </c>
      <c r="K1179" s="18">
        <f t="shared" si="57"/>
        <v>22.333333333333332</v>
      </c>
    </row>
    <row r="1180" spans="1:11" x14ac:dyDescent="0.3">
      <c r="A1180" s="14">
        <v>2023</v>
      </c>
      <c r="B1180" s="14">
        <f t="shared" si="56"/>
        <v>3</v>
      </c>
      <c r="C1180" s="9">
        <v>44942</v>
      </c>
      <c r="D1180" s="9">
        <v>44946</v>
      </c>
      <c r="E1180" s="14">
        <f>VLOOKUP(F1180,CarrierID!A:B,2,0)</f>
        <v>8</v>
      </c>
      <c r="F1180" s="15" t="s">
        <v>2</v>
      </c>
      <c r="G1180" t="str">
        <f>VLOOKUP(F1180,Carrier_Category!A:B,2,0)</f>
        <v>Commuter</v>
      </c>
      <c r="H1180" s="5">
        <v>20</v>
      </c>
      <c r="I1180" s="7">
        <f t="shared" si="58"/>
        <v>20</v>
      </c>
      <c r="J1180" s="5">
        <v>817</v>
      </c>
      <c r="K1180" s="18">
        <f t="shared" si="57"/>
        <v>40.85</v>
      </c>
    </row>
    <row r="1181" spans="1:11" x14ac:dyDescent="0.3">
      <c r="A1181" s="14">
        <v>2023</v>
      </c>
      <c r="B1181" s="14">
        <f t="shared" si="56"/>
        <v>3</v>
      </c>
      <c r="C1181" s="9">
        <v>44942</v>
      </c>
      <c r="D1181" s="9">
        <v>44946</v>
      </c>
      <c r="E1181" s="14">
        <f>VLOOKUP(F1181,CarrierID!A:B,2,0)</f>
        <v>9</v>
      </c>
      <c r="F1181" s="15" t="s">
        <v>3</v>
      </c>
      <c r="G1181" t="str">
        <f>VLOOKUP(F1181,Carrier_Category!A:B,2,0)</f>
        <v>NJT</v>
      </c>
      <c r="H1181" s="5">
        <v>2213</v>
      </c>
      <c r="I1181" s="7">
        <f t="shared" si="58"/>
        <v>2199</v>
      </c>
      <c r="J1181" s="5">
        <v>65994</v>
      </c>
      <c r="K1181" s="18">
        <f t="shared" si="57"/>
        <v>29.821057388160867</v>
      </c>
    </row>
    <row r="1182" spans="1:11" x14ac:dyDescent="0.3">
      <c r="A1182" s="14">
        <v>2023</v>
      </c>
      <c r="B1182" s="14">
        <f t="shared" si="56"/>
        <v>3</v>
      </c>
      <c r="C1182" s="9">
        <v>44942</v>
      </c>
      <c r="D1182" s="9">
        <v>44946</v>
      </c>
      <c r="E1182" s="14">
        <f>VLOOKUP(F1182,CarrierID!A:B,2,0)</f>
        <v>7</v>
      </c>
      <c r="F1182" s="15" t="s">
        <v>4</v>
      </c>
      <c r="G1182" t="str">
        <f>VLOOKUP(F1182,Carrier_Category!A:B,2,0)</f>
        <v>Commuter</v>
      </c>
      <c r="H1182" s="5">
        <v>29</v>
      </c>
      <c r="I1182" s="7">
        <f t="shared" si="58"/>
        <v>29</v>
      </c>
      <c r="J1182" s="5">
        <v>1266</v>
      </c>
      <c r="K1182" s="18">
        <f t="shared" si="57"/>
        <v>43.655172413793103</v>
      </c>
    </row>
    <row r="1183" spans="1:11" x14ac:dyDescent="0.3">
      <c r="A1183" s="14">
        <v>2023</v>
      </c>
      <c r="B1183" s="14">
        <f t="shared" si="56"/>
        <v>3</v>
      </c>
      <c r="C1183" s="9">
        <v>44942</v>
      </c>
      <c r="D1183" s="9">
        <v>44946</v>
      </c>
      <c r="E1183" s="14">
        <f>VLOOKUP(F1183,CarrierID!A:B,2,0)</f>
        <v>11</v>
      </c>
      <c r="F1183" s="15" t="s">
        <v>5</v>
      </c>
      <c r="G1183" t="str">
        <f>VLOOKUP(F1183,Carrier_Category!A:B,2,0)</f>
        <v>Intercity</v>
      </c>
      <c r="H1183" s="5">
        <v>22</v>
      </c>
      <c r="I1183" s="7">
        <f t="shared" si="58"/>
        <v>22</v>
      </c>
      <c r="J1183" s="5">
        <v>473</v>
      </c>
      <c r="K1183" s="18">
        <f t="shared" si="57"/>
        <v>21.5</v>
      </c>
    </row>
    <row r="1184" spans="1:11" x14ac:dyDescent="0.3">
      <c r="A1184" s="14">
        <v>2023</v>
      </c>
      <c r="B1184" s="14">
        <f t="shared" si="56"/>
        <v>3</v>
      </c>
      <c r="C1184" s="9">
        <v>44942</v>
      </c>
      <c r="D1184" s="9">
        <v>44946</v>
      </c>
      <c r="E1184" s="14">
        <f>VLOOKUP(F1184,CarrierID!A:B,2,0)</f>
        <v>3</v>
      </c>
      <c r="F1184" s="15" t="s">
        <v>6</v>
      </c>
      <c r="G1184" t="str">
        <f>VLOOKUP(F1184,Carrier_Category!A:B,2,0)</f>
        <v>Commuter</v>
      </c>
      <c r="H1184" s="5">
        <v>146</v>
      </c>
      <c r="I1184" s="7">
        <f t="shared" si="58"/>
        <v>149</v>
      </c>
      <c r="J1184" s="5">
        <v>5102</v>
      </c>
      <c r="K1184" s="18">
        <f t="shared" si="57"/>
        <v>34.945205479452056</v>
      </c>
    </row>
    <row r="1185" spans="1:11" x14ac:dyDescent="0.3">
      <c r="A1185" s="14">
        <v>2023</v>
      </c>
      <c r="B1185" s="14">
        <f t="shared" si="56"/>
        <v>3</v>
      </c>
      <c r="C1185" s="9">
        <v>44942</v>
      </c>
      <c r="D1185" s="9">
        <v>44946</v>
      </c>
      <c r="E1185" s="14">
        <f>VLOOKUP(F1185,CarrierID!A:B,2,0)</f>
        <v>12</v>
      </c>
      <c r="F1185" s="15" t="s">
        <v>25</v>
      </c>
      <c r="G1185" t="str">
        <f>VLOOKUP(F1185,Carrier_Category!A:B,2,0)</f>
        <v>Commuter</v>
      </c>
      <c r="H1185" s="5">
        <v>18</v>
      </c>
      <c r="I1185" s="7">
        <f t="shared" si="58"/>
        <v>19</v>
      </c>
      <c r="J1185" s="5">
        <v>659</v>
      </c>
      <c r="K1185" s="18">
        <f t="shared" si="57"/>
        <v>36.611111111111114</v>
      </c>
    </row>
    <row r="1186" spans="1:11" x14ac:dyDescent="0.3">
      <c r="A1186" s="14">
        <v>2023</v>
      </c>
      <c r="B1186" s="14">
        <f t="shared" si="56"/>
        <v>3</v>
      </c>
      <c r="C1186" s="9">
        <v>44942</v>
      </c>
      <c r="D1186" s="9">
        <v>44946</v>
      </c>
      <c r="E1186" s="14">
        <f>VLOOKUP(F1186,CarrierID!A:B,2,0)</f>
        <v>10</v>
      </c>
      <c r="F1186" s="15" t="s">
        <v>8</v>
      </c>
      <c r="G1186" t="str">
        <f>VLOOKUP(F1186,Carrier_Category!A:B,2,0)</f>
        <v>Intercity</v>
      </c>
      <c r="H1186" s="5">
        <v>26</v>
      </c>
      <c r="I1186" s="7">
        <f t="shared" si="58"/>
        <v>25</v>
      </c>
      <c r="J1186" s="5">
        <v>811</v>
      </c>
      <c r="K1186" s="18">
        <f t="shared" si="57"/>
        <v>31.192307692307693</v>
      </c>
    </row>
    <row r="1187" spans="1:11" x14ac:dyDescent="0.3">
      <c r="A1187" s="14">
        <v>2023</v>
      </c>
      <c r="B1187" s="14">
        <f t="shared" si="56"/>
        <v>3</v>
      </c>
      <c r="C1187" s="9">
        <v>44942</v>
      </c>
      <c r="D1187" s="9">
        <v>44946</v>
      </c>
      <c r="E1187" s="14">
        <f>VLOOKUP(F1187,CarrierID!A:B,2,0)</f>
        <v>4</v>
      </c>
      <c r="F1187" s="15" t="s">
        <v>24</v>
      </c>
      <c r="G1187" t="str">
        <f>VLOOKUP(F1187,Carrier_Category!A:B,2,0)</f>
        <v>Commuter</v>
      </c>
      <c r="H1187" s="5">
        <v>36</v>
      </c>
      <c r="I1187" s="7">
        <f t="shared" si="58"/>
        <v>36</v>
      </c>
      <c r="J1187" s="5">
        <v>658</v>
      </c>
      <c r="K1187" s="18">
        <f t="shared" si="57"/>
        <v>18.277777777777779</v>
      </c>
    </row>
    <row r="1188" spans="1:11" x14ac:dyDescent="0.3">
      <c r="A1188" s="14">
        <v>2023</v>
      </c>
      <c r="B1188" s="14">
        <f t="shared" si="56"/>
        <v>3</v>
      </c>
      <c r="C1188" s="9">
        <v>44942</v>
      </c>
      <c r="D1188" s="9">
        <v>44946</v>
      </c>
      <c r="E1188" s="14">
        <f>VLOOKUP(F1188,CarrierID!A:B,2,0)</f>
        <v>6</v>
      </c>
      <c r="F1188" s="15" t="s">
        <v>9</v>
      </c>
      <c r="G1188" t="str">
        <f>VLOOKUP(F1188,Carrier_Category!A:B,2,0)</f>
        <v>Commuter</v>
      </c>
      <c r="H1188" s="5">
        <v>81</v>
      </c>
      <c r="I1188" s="7">
        <f t="shared" si="58"/>
        <v>81</v>
      </c>
      <c r="J1188" s="5">
        <v>1440</v>
      </c>
      <c r="K1188" s="18">
        <f t="shared" si="57"/>
        <v>17.777777777777779</v>
      </c>
    </row>
    <row r="1189" spans="1:11" x14ac:dyDescent="0.3">
      <c r="A1189" s="14">
        <v>2023</v>
      </c>
      <c r="B1189" s="14">
        <f t="shared" si="56"/>
        <v>4</v>
      </c>
      <c r="C1189" s="9">
        <v>44949</v>
      </c>
      <c r="D1189" s="9">
        <v>44953</v>
      </c>
      <c r="E1189" s="14">
        <f>VLOOKUP(F1189,CarrierID!A:B,2,0)</f>
        <v>1</v>
      </c>
      <c r="F1189" s="15" t="s">
        <v>0</v>
      </c>
      <c r="G1189" t="str">
        <f>VLOOKUP(F1189,Carrier_Category!A:B,2,0)</f>
        <v>Commuter</v>
      </c>
      <c r="H1189" s="5">
        <v>35</v>
      </c>
      <c r="I1189" s="7">
        <f t="shared" si="58"/>
        <v>35</v>
      </c>
      <c r="J1189" s="5">
        <v>1228</v>
      </c>
      <c r="K1189" s="18">
        <f t="shared" si="57"/>
        <v>35.085714285714289</v>
      </c>
    </row>
    <row r="1190" spans="1:11" x14ac:dyDescent="0.3">
      <c r="A1190" s="14">
        <v>2023</v>
      </c>
      <c r="B1190" s="14">
        <f t="shared" si="56"/>
        <v>4</v>
      </c>
      <c r="C1190" s="9">
        <v>44949</v>
      </c>
      <c r="D1190" s="9">
        <v>44953</v>
      </c>
      <c r="E1190" s="14">
        <f>VLOOKUP(F1190,CarrierID!A:B,2,0)</f>
        <v>5</v>
      </c>
      <c r="F1190" s="15" t="s">
        <v>1</v>
      </c>
      <c r="G1190" t="str">
        <f>VLOOKUP(F1190,Carrier_Category!A:B,2,0)</f>
        <v>Intercity</v>
      </c>
      <c r="H1190" s="5">
        <v>50</v>
      </c>
      <c r="I1190" s="7">
        <f t="shared" si="58"/>
        <v>51</v>
      </c>
      <c r="J1190" s="5">
        <v>1078.4000000000001</v>
      </c>
      <c r="K1190" s="18">
        <f t="shared" si="57"/>
        <v>21.568000000000001</v>
      </c>
    </row>
    <row r="1191" spans="1:11" x14ac:dyDescent="0.3">
      <c r="A1191" s="14">
        <v>2023</v>
      </c>
      <c r="B1191" s="14">
        <f t="shared" si="56"/>
        <v>4</v>
      </c>
      <c r="C1191" s="9">
        <v>44949</v>
      </c>
      <c r="D1191" s="9">
        <v>44953</v>
      </c>
      <c r="E1191" s="14">
        <f>VLOOKUP(F1191,CarrierID!A:B,2,0)</f>
        <v>8</v>
      </c>
      <c r="F1191" s="15" t="s">
        <v>2</v>
      </c>
      <c r="G1191" t="str">
        <f>VLOOKUP(F1191,Carrier_Category!A:B,2,0)</f>
        <v>Commuter</v>
      </c>
      <c r="H1191" s="5">
        <v>20</v>
      </c>
      <c r="I1191" s="7">
        <f t="shared" si="58"/>
        <v>20</v>
      </c>
      <c r="J1191" s="5">
        <v>739</v>
      </c>
      <c r="K1191" s="18">
        <f t="shared" si="57"/>
        <v>36.950000000000003</v>
      </c>
    </row>
    <row r="1192" spans="1:11" x14ac:dyDescent="0.3">
      <c r="A1192" s="14">
        <v>2023</v>
      </c>
      <c r="B1192" s="14">
        <f t="shared" si="56"/>
        <v>4</v>
      </c>
      <c r="C1192" s="9">
        <v>44949</v>
      </c>
      <c r="D1192" s="9">
        <v>44953</v>
      </c>
      <c r="E1192" s="14">
        <f>VLOOKUP(F1192,CarrierID!A:B,2,0)</f>
        <v>9</v>
      </c>
      <c r="F1192" s="15" t="s">
        <v>3</v>
      </c>
      <c r="G1192" t="str">
        <f>VLOOKUP(F1192,Carrier_Category!A:B,2,0)</f>
        <v>NJT</v>
      </c>
      <c r="H1192" s="5">
        <v>2229</v>
      </c>
      <c r="I1192" s="7">
        <f t="shared" si="58"/>
        <v>2213</v>
      </c>
      <c r="J1192" s="5">
        <v>63190</v>
      </c>
      <c r="K1192" s="18">
        <f t="shared" si="57"/>
        <v>28.349035441902199</v>
      </c>
    </row>
    <row r="1193" spans="1:11" x14ac:dyDescent="0.3">
      <c r="A1193" s="14">
        <v>2023</v>
      </c>
      <c r="B1193" s="14">
        <f t="shared" si="56"/>
        <v>4</v>
      </c>
      <c r="C1193" s="9">
        <v>44949</v>
      </c>
      <c r="D1193" s="9">
        <v>44953</v>
      </c>
      <c r="E1193" s="14">
        <f>VLOOKUP(F1193,CarrierID!A:B,2,0)</f>
        <v>7</v>
      </c>
      <c r="F1193" s="15" t="s">
        <v>4</v>
      </c>
      <c r="G1193" t="str">
        <f>VLOOKUP(F1193,Carrier_Category!A:B,2,0)</f>
        <v>Commuter</v>
      </c>
      <c r="H1193" s="5">
        <v>29</v>
      </c>
      <c r="I1193" s="7">
        <f t="shared" si="58"/>
        <v>29</v>
      </c>
      <c r="J1193" s="5">
        <v>1188</v>
      </c>
      <c r="K1193" s="18">
        <f t="shared" si="57"/>
        <v>40.96551724137931</v>
      </c>
    </row>
    <row r="1194" spans="1:11" x14ac:dyDescent="0.3">
      <c r="A1194" s="14">
        <v>2023</v>
      </c>
      <c r="B1194" s="14">
        <f t="shared" si="56"/>
        <v>4</v>
      </c>
      <c r="C1194" s="9">
        <v>44949</v>
      </c>
      <c r="D1194" s="9">
        <v>44953</v>
      </c>
      <c r="E1194" s="14">
        <f>VLOOKUP(F1194,CarrierID!A:B,2,0)</f>
        <v>11</v>
      </c>
      <c r="F1194" s="15" t="s">
        <v>5</v>
      </c>
      <c r="G1194" t="str">
        <f>VLOOKUP(F1194,Carrier_Category!A:B,2,0)</f>
        <v>Intercity</v>
      </c>
      <c r="H1194" s="5">
        <v>22</v>
      </c>
      <c r="I1194" s="7">
        <f t="shared" si="58"/>
        <v>22</v>
      </c>
      <c r="J1194" s="5">
        <v>424</v>
      </c>
      <c r="K1194" s="18">
        <f t="shared" si="57"/>
        <v>19.272727272727273</v>
      </c>
    </row>
    <row r="1195" spans="1:11" x14ac:dyDescent="0.3">
      <c r="A1195" s="14">
        <v>2023</v>
      </c>
      <c r="B1195" s="14">
        <f t="shared" si="56"/>
        <v>4</v>
      </c>
      <c r="C1195" s="9">
        <v>44949</v>
      </c>
      <c r="D1195" s="9">
        <v>44953</v>
      </c>
      <c r="E1195" s="14">
        <f>VLOOKUP(F1195,CarrierID!A:B,2,0)</f>
        <v>3</v>
      </c>
      <c r="F1195" s="15" t="s">
        <v>6</v>
      </c>
      <c r="G1195" t="str">
        <f>VLOOKUP(F1195,Carrier_Category!A:B,2,0)</f>
        <v>Commuter</v>
      </c>
      <c r="H1195" s="5">
        <v>146</v>
      </c>
      <c r="I1195" s="7">
        <f t="shared" si="58"/>
        <v>146</v>
      </c>
      <c r="J1195" s="5">
        <v>4670</v>
      </c>
      <c r="K1195" s="18">
        <f t="shared" si="57"/>
        <v>31.986301369863014</v>
      </c>
    </row>
    <row r="1196" spans="1:11" x14ac:dyDescent="0.3">
      <c r="A1196" s="14">
        <v>2023</v>
      </c>
      <c r="B1196" s="14">
        <f t="shared" si="56"/>
        <v>4</v>
      </c>
      <c r="C1196" s="9">
        <v>44949</v>
      </c>
      <c r="D1196" s="9">
        <v>44953</v>
      </c>
      <c r="E1196" s="14">
        <f>VLOOKUP(F1196,CarrierID!A:B,2,0)</f>
        <v>12</v>
      </c>
      <c r="F1196" s="15" t="s">
        <v>25</v>
      </c>
      <c r="G1196" t="str">
        <f>VLOOKUP(F1196,Carrier_Category!A:B,2,0)</f>
        <v>Commuter</v>
      </c>
      <c r="H1196" s="5">
        <v>20</v>
      </c>
      <c r="I1196" s="7">
        <f t="shared" si="58"/>
        <v>18</v>
      </c>
      <c r="J1196" s="5">
        <v>672</v>
      </c>
      <c r="K1196" s="18">
        <f t="shared" si="57"/>
        <v>33.6</v>
      </c>
    </row>
    <row r="1197" spans="1:11" x14ac:dyDescent="0.3">
      <c r="A1197" s="14">
        <v>2023</v>
      </c>
      <c r="B1197" s="14">
        <f t="shared" si="56"/>
        <v>4</v>
      </c>
      <c r="C1197" s="9">
        <v>44949</v>
      </c>
      <c r="D1197" s="9">
        <v>44953</v>
      </c>
      <c r="E1197" s="14">
        <f>VLOOKUP(F1197,CarrierID!A:B,2,0)</f>
        <v>10</v>
      </c>
      <c r="F1197" s="15" t="s">
        <v>8</v>
      </c>
      <c r="G1197" t="str">
        <f>VLOOKUP(F1197,Carrier_Category!A:B,2,0)</f>
        <v>Intercity</v>
      </c>
      <c r="H1197" s="5">
        <v>26</v>
      </c>
      <c r="I1197" s="7">
        <f t="shared" si="58"/>
        <v>26</v>
      </c>
      <c r="J1197" s="5">
        <v>811</v>
      </c>
      <c r="K1197" s="18">
        <f t="shared" si="57"/>
        <v>31.192307692307693</v>
      </c>
    </row>
    <row r="1198" spans="1:11" x14ac:dyDescent="0.3">
      <c r="A1198" s="14">
        <v>2023</v>
      </c>
      <c r="B1198" s="14">
        <f t="shared" si="56"/>
        <v>4</v>
      </c>
      <c r="C1198" s="9">
        <v>44949</v>
      </c>
      <c r="D1198" s="9">
        <v>44953</v>
      </c>
      <c r="E1198" s="14">
        <f>VLOOKUP(F1198,CarrierID!A:B,2,0)</f>
        <v>4</v>
      </c>
      <c r="F1198" s="15" t="s">
        <v>24</v>
      </c>
      <c r="G1198" t="str">
        <f>VLOOKUP(F1198,Carrier_Category!A:B,2,0)</f>
        <v>Commuter</v>
      </c>
      <c r="H1198" s="5">
        <v>36</v>
      </c>
      <c r="I1198" s="7">
        <f t="shared" si="58"/>
        <v>36</v>
      </c>
      <c r="J1198" s="5">
        <v>646</v>
      </c>
      <c r="K1198" s="18">
        <f t="shared" si="57"/>
        <v>17.944444444444443</v>
      </c>
    </row>
    <row r="1199" spans="1:11" x14ac:dyDescent="0.3">
      <c r="A1199" s="14">
        <v>2023</v>
      </c>
      <c r="B1199" s="14">
        <f t="shared" si="56"/>
        <v>4</v>
      </c>
      <c r="C1199" s="9">
        <v>44949</v>
      </c>
      <c r="D1199" s="9">
        <v>44953</v>
      </c>
      <c r="E1199" s="14">
        <f>VLOOKUP(F1199,CarrierID!A:B,2,0)</f>
        <v>6</v>
      </c>
      <c r="F1199" s="15" t="s">
        <v>9</v>
      </c>
      <c r="G1199" t="str">
        <f>VLOOKUP(F1199,Carrier_Category!A:B,2,0)</f>
        <v>Commuter</v>
      </c>
      <c r="H1199" s="5">
        <v>89</v>
      </c>
      <c r="I1199" s="7">
        <f t="shared" si="58"/>
        <v>81</v>
      </c>
      <c r="J1199" s="5">
        <v>1804</v>
      </c>
      <c r="K1199" s="18">
        <f t="shared" si="57"/>
        <v>20.269662921348313</v>
      </c>
    </row>
    <row r="1200" spans="1:11" x14ac:dyDescent="0.3">
      <c r="A1200" s="14">
        <v>2023</v>
      </c>
      <c r="B1200" s="14">
        <f t="shared" si="56"/>
        <v>5</v>
      </c>
      <c r="C1200" s="9">
        <v>44956</v>
      </c>
      <c r="D1200" s="9">
        <v>44960</v>
      </c>
      <c r="E1200" s="14">
        <f>VLOOKUP(F1200,CarrierID!A:B,2,0)</f>
        <v>1</v>
      </c>
      <c r="F1200" s="15" t="s">
        <v>0</v>
      </c>
      <c r="G1200" t="str">
        <f>VLOOKUP(F1200,Carrier_Category!A:B,2,0)</f>
        <v>Commuter</v>
      </c>
      <c r="H1200" s="5">
        <v>35</v>
      </c>
      <c r="I1200" s="7">
        <f t="shared" si="58"/>
        <v>35</v>
      </c>
      <c r="J1200" s="5">
        <v>1263</v>
      </c>
      <c r="K1200" s="18">
        <f t="shared" si="57"/>
        <v>36.085714285714289</v>
      </c>
    </row>
    <row r="1201" spans="1:11" x14ac:dyDescent="0.3">
      <c r="A1201" s="14">
        <v>2023</v>
      </c>
      <c r="B1201" s="14">
        <f t="shared" si="56"/>
        <v>5</v>
      </c>
      <c r="C1201" s="9">
        <v>44956</v>
      </c>
      <c r="D1201" s="9">
        <v>44960</v>
      </c>
      <c r="E1201" s="14">
        <f>VLOOKUP(F1201,CarrierID!A:B,2,0)</f>
        <v>5</v>
      </c>
      <c r="F1201" s="15" t="s">
        <v>1</v>
      </c>
      <c r="G1201" t="str">
        <f>VLOOKUP(F1201,Carrier_Category!A:B,2,0)</f>
        <v>Intercity</v>
      </c>
      <c r="H1201" s="5">
        <v>48</v>
      </c>
      <c r="I1201" s="7">
        <f t="shared" si="58"/>
        <v>50</v>
      </c>
      <c r="J1201" s="5">
        <v>1015</v>
      </c>
      <c r="K1201" s="18">
        <f t="shared" si="57"/>
        <v>21.145833333333332</v>
      </c>
    </row>
    <row r="1202" spans="1:11" x14ac:dyDescent="0.3">
      <c r="A1202" s="14">
        <v>2023</v>
      </c>
      <c r="B1202" s="14">
        <f t="shared" si="56"/>
        <v>5</v>
      </c>
      <c r="C1202" s="9">
        <v>44956</v>
      </c>
      <c r="D1202" s="9">
        <v>44960</v>
      </c>
      <c r="E1202" s="14">
        <f>VLOOKUP(F1202,CarrierID!A:B,2,0)</f>
        <v>8</v>
      </c>
      <c r="F1202" s="15" t="s">
        <v>2</v>
      </c>
      <c r="G1202" t="str">
        <f>VLOOKUP(F1202,Carrier_Category!A:B,2,0)</f>
        <v>Commuter</v>
      </c>
      <c r="H1202" s="5">
        <v>20</v>
      </c>
      <c r="I1202" s="7">
        <f t="shared" si="58"/>
        <v>20</v>
      </c>
      <c r="J1202" s="5">
        <v>791</v>
      </c>
      <c r="K1202" s="18">
        <f t="shared" si="57"/>
        <v>39.549999999999997</v>
      </c>
    </row>
    <row r="1203" spans="1:11" x14ac:dyDescent="0.3">
      <c r="A1203" s="14">
        <v>2023</v>
      </c>
      <c r="B1203" s="14">
        <f t="shared" si="56"/>
        <v>5</v>
      </c>
      <c r="C1203" s="9">
        <v>44956</v>
      </c>
      <c r="D1203" s="9">
        <v>44960</v>
      </c>
      <c r="E1203" s="14">
        <f>VLOOKUP(F1203,CarrierID!A:B,2,0)</f>
        <v>9</v>
      </c>
      <c r="F1203" s="15" t="s">
        <v>3</v>
      </c>
      <c r="G1203" t="str">
        <f>VLOOKUP(F1203,Carrier_Category!A:B,2,0)</f>
        <v>NJT</v>
      </c>
      <c r="H1203" s="5">
        <v>2218</v>
      </c>
      <c r="I1203" s="7">
        <f t="shared" si="58"/>
        <v>2229</v>
      </c>
      <c r="J1203" s="5">
        <v>66135</v>
      </c>
      <c r="K1203" s="18">
        <f t="shared" si="57"/>
        <v>29.817403065825069</v>
      </c>
    </row>
    <row r="1204" spans="1:11" x14ac:dyDescent="0.3">
      <c r="A1204" s="14">
        <v>2023</v>
      </c>
      <c r="B1204" s="14">
        <f t="shared" si="56"/>
        <v>5</v>
      </c>
      <c r="C1204" s="9">
        <v>44956</v>
      </c>
      <c r="D1204" s="9">
        <v>44960</v>
      </c>
      <c r="E1204" s="14">
        <f>VLOOKUP(F1204,CarrierID!A:B,2,0)</f>
        <v>7</v>
      </c>
      <c r="F1204" s="15" t="s">
        <v>4</v>
      </c>
      <c r="G1204" t="str">
        <f>VLOOKUP(F1204,Carrier_Category!A:B,2,0)</f>
        <v>Commuter</v>
      </c>
      <c r="H1204" s="5">
        <v>29</v>
      </c>
      <c r="I1204" s="7">
        <f t="shared" si="58"/>
        <v>29</v>
      </c>
      <c r="J1204" s="5">
        <v>1242</v>
      </c>
      <c r="K1204" s="18">
        <f t="shared" si="57"/>
        <v>42.827586206896555</v>
      </c>
    </row>
    <row r="1205" spans="1:11" x14ac:dyDescent="0.3">
      <c r="A1205" s="14">
        <v>2023</v>
      </c>
      <c r="B1205" s="14">
        <f t="shared" si="56"/>
        <v>5</v>
      </c>
      <c r="C1205" s="9">
        <v>44956</v>
      </c>
      <c r="D1205" s="9">
        <v>44960</v>
      </c>
      <c r="E1205" s="14">
        <f>VLOOKUP(F1205,CarrierID!A:B,2,0)</f>
        <v>11</v>
      </c>
      <c r="F1205" s="15" t="s">
        <v>5</v>
      </c>
      <c r="G1205" t="str">
        <f>VLOOKUP(F1205,Carrier_Category!A:B,2,0)</f>
        <v>Intercity</v>
      </c>
      <c r="H1205" s="5">
        <v>22</v>
      </c>
      <c r="I1205" s="7">
        <f t="shared" si="58"/>
        <v>22</v>
      </c>
      <c r="J1205" s="5">
        <v>424</v>
      </c>
      <c r="K1205" s="18">
        <f t="shared" si="57"/>
        <v>19.272727272727273</v>
      </c>
    </row>
    <row r="1206" spans="1:11" x14ac:dyDescent="0.3">
      <c r="A1206" s="14">
        <v>2023</v>
      </c>
      <c r="B1206" s="14">
        <f t="shared" si="56"/>
        <v>5</v>
      </c>
      <c r="C1206" s="9">
        <v>44956</v>
      </c>
      <c r="D1206" s="9">
        <v>44960</v>
      </c>
      <c r="E1206" s="14">
        <f>VLOOKUP(F1206,CarrierID!A:B,2,0)</f>
        <v>3</v>
      </c>
      <c r="F1206" s="15" t="s">
        <v>6</v>
      </c>
      <c r="G1206" t="str">
        <f>VLOOKUP(F1206,Carrier_Category!A:B,2,0)</f>
        <v>Commuter</v>
      </c>
      <c r="H1206" s="5">
        <v>149</v>
      </c>
      <c r="I1206" s="7">
        <f t="shared" si="58"/>
        <v>146</v>
      </c>
      <c r="J1206" s="5">
        <v>5178</v>
      </c>
      <c r="K1206" s="18">
        <f t="shared" si="57"/>
        <v>34.75167785234899</v>
      </c>
    </row>
    <row r="1207" spans="1:11" x14ac:dyDescent="0.3">
      <c r="A1207" s="14">
        <v>2023</v>
      </c>
      <c r="B1207" s="14">
        <f t="shared" si="56"/>
        <v>5</v>
      </c>
      <c r="C1207" s="9">
        <v>44956</v>
      </c>
      <c r="D1207" s="9">
        <v>44960</v>
      </c>
      <c r="E1207" s="14">
        <f>VLOOKUP(F1207,CarrierID!A:B,2,0)</f>
        <v>12</v>
      </c>
      <c r="F1207" s="15" t="s">
        <v>25</v>
      </c>
      <c r="G1207" t="str">
        <f>VLOOKUP(F1207,Carrier_Category!A:B,2,0)</f>
        <v>Commuter</v>
      </c>
      <c r="H1207" s="5">
        <v>20</v>
      </c>
      <c r="I1207" s="7">
        <f t="shared" si="58"/>
        <v>20</v>
      </c>
      <c r="J1207" s="5">
        <v>665</v>
      </c>
      <c r="K1207" s="18">
        <f t="shared" si="57"/>
        <v>33.25</v>
      </c>
    </row>
    <row r="1208" spans="1:11" x14ac:dyDescent="0.3">
      <c r="A1208" s="14">
        <v>2023</v>
      </c>
      <c r="B1208" s="14">
        <f t="shared" si="56"/>
        <v>5</v>
      </c>
      <c r="C1208" s="9">
        <v>44956</v>
      </c>
      <c r="D1208" s="9">
        <v>44960</v>
      </c>
      <c r="E1208" s="14">
        <f>VLOOKUP(F1208,CarrierID!A:B,2,0)</f>
        <v>10</v>
      </c>
      <c r="F1208" s="15" t="s">
        <v>8</v>
      </c>
      <c r="G1208" t="str">
        <f>VLOOKUP(F1208,Carrier_Category!A:B,2,0)</f>
        <v>Intercity</v>
      </c>
      <c r="H1208" s="5">
        <v>26</v>
      </c>
      <c r="I1208" s="7">
        <f t="shared" si="58"/>
        <v>26</v>
      </c>
      <c r="J1208" s="5">
        <v>811</v>
      </c>
      <c r="K1208" s="18">
        <f t="shared" si="57"/>
        <v>31.192307692307693</v>
      </c>
    </row>
    <row r="1209" spans="1:11" x14ac:dyDescent="0.3">
      <c r="A1209" s="14">
        <v>2023</v>
      </c>
      <c r="B1209" s="14">
        <f t="shared" si="56"/>
        <v>5</v>
      </c>
      <c r="C1209" s="9">
        <v>44956</v>
      </c>
      <c r="D1209" s="9">
        <v>44960</v>
      </c>
      <c r="E1209" s="14">
        <f>VLOOKUP(F1209,CarrierID!A:B,2,0)</f>
        <v>4</v>
      </c>
      <c r="F1209" s="15" t="s">
        <v>24</v>
      </c>
      <c r="G1209" t="str">
        <f>VLOOKUP(F1209,Carrier_Category!A:B,2,0)</f>
        <v>Commuter</v>
      </c>
      <c r="H1209" s="5">
        <v>38</v>
      </c>
      <c r="I1209" s="7">
        <f t="shared" si="58"/>
        <v>36</v>
      </c>
      <c r="J1209" s="5">
        <v>692</v>
      </c>
      <c r="K1209" s="18">
        <f t="shared" si="57"/>
        <v>18.210526315789473</v>
      </c>
    </row>
    <row r="1210" spans="1:11" x14ac:dyDescent="0.3">
      <c r="A1210" s="14">
        <v>2023</v>
      </c>
      <c r="B1210" s="14">
        <f t="shared" si="56"/>
        <v>5</v>
      </c>
      <c r="C1210" s="9">
        <v>44956</v>
      </c>
      <c r="D1210" s="9">
        <v>44960</v>
      </c>
      <c r="E1210" s="14">
        <f>VLOOKUP(F1210,CarrierID!A:B,2,0)</f>
        <v>6</v>
      </c>
      <c r="F1210" s="15" t="s">
        <v>9</v>
      </c>
      <c r="G1210" t="str">
        <f>VLOOKUP(F1210,Carrier_Category!A:B,2,0)</f>
        <v>Commuter</v>
      </c>
      <c r="H1210" s="5">
        <v>89</v>
      </c>
      <c r="I1210" s="7">
        <f t="shared" si="58"/>
        <v>89</v>
      </c>
      <c r="J1210" s="5">
        <v>1804</v>
      </c>
      <c r="K1210" s="18">
        <f t="shared" si="57"/>
        <v>20.269662921348313</v>
      </c>
    </row>
    <row r="1211" spans="1:11" x14ac:dyDescent="0.3">
      <c r="A1211" s="14">
        <v>2023</v>
      </c>
      <c r="B1211" s="14">
        <f t="shared" si="56"/>
        <v>6</v>
      </c>
      <c r="C1211" s="9">
        <v>44963</v>
      </c>
      <c r="D1211" s="9">
        <v>44967</v>
      </c>
      <c r="E1211" s="14">
        <f>VLOOKUP(F1211,CarrierID!A:B,2,0)</f>
        <v>1</v>
      </c>
      <c r="F1211" s="15" t="s">
        <v>0</v>
      </c>
      <c r="G1211" t="str">
        <f>VLOOKUP(F1211,Carrier_Category!A:B,2,0)</f>
        <v>Commuter</v>
      </c>
      <c r="H1211" s="5">
        <v>35</v>
      </c>
      <c r="I1211" s="7">
        <f t="shared" si="58"/>
        <v>35</v>
      </c>
      <c r="J1211" s="5">
        <v>1264</v>
      </c>
      <c r="K1211" s="18">
        <f t="shared" si="57"/>
        <v>36.114285714285714</v>
      </c>
    </row>
    <row r="1212" spans="1:11" x14ac:dyDescent="0.3">
      <c r="A1212" s="14">
        <v>2023</v>
      </c>
      <c r="B1212" s="14">
        <f t="shared" si="56"/>
        <v>6</v>
      </c>
      <c r="C1212" s="9">
        <v>44963</v>
      </c>
      <c r="D1212" s="9">
        <v>44967</v>
      </c>
      <c r="E1212" s="14">
        <f>VLOOKUP(F1212,CarrierID!A:B,2,0)</f>
        <v>5</v>
      </c>
      <c r="F1212" s="15" t="s">
        <v>1</v>
      </c>
      <c r="G1212" t="str">
        <f>VLOOKUP(F1212,Carrier_Category!A:B,2,0)</f>
        <v>Intercity</v>
      </c>
      <c r="H1212" s="5">
        <v>47</v>
      </c>
      <c r="I1212" s="7">
        <f t="shared" si="58"/>
        <v>48</v>
      </c>
      <c r="J1212" s="5">
        <v>997</v>
      </c>
      <c r="K1212" s="18">
        <f t="shared" si="57"/>
        <v>21.212765957446809</v>
      </c>
    </row>
    <row r="1213" spans="1:11" x14ac:dyDescent="0.3">
      <c r="A1213" s="14">
        <v>2023</v>
      </c>
      <c r="B1213" s="14">
        <f t="shared" si="56"/>
        <v>6</v>
      </c>
      <c r="C1213" s="9">
        <v>44963</v>
      </c>
      <c r="D1213" s="9">
        <v>44967</v>
      </c>
      <c r="E1213" s="14">
        <f>VLOOKUP(F1213,CarrierID!A:B,2,0)</f>
        <v>8</v>
      </c>
      <c r="F1213" s="15" t="s">
        <v>2</v>
      </c>
      <c r="G1213" t="str">
        <f>VLOOKUP(F1213,Carrier_Category!A:B,2,0)</f>
        <v>Commuter</v>
      </c>
      <c r="H1213" s="5">
        <v>20</v>
      </c>
      <c r="I1213" s="7">
        <f t="shared" si="58"/>
        <v>20</v>
      </c>
      <c r="J1213" s="5">
        <v>783</v>
      </c>
      <c r="K1213" s="18">
        <f t="shared" si="57"/>
        <v>39.15</v>
      </c>
    </row>
    <row r="1214" spans="1:11" x14ac:dyDescent="0.3">
      <c r="A1214" s="14">
        <v>2023</v>
      </c>
      <c r="B1214" s="14">
        <f t="shared" si="56"/>
        <v>6</v>
      </c>
      <c r="C1214" s="9">
        <v>44963</v>
      </c>
      <c r="D1214" s="9">
        <v>44967</v>
      </c>
      <c r="E1214" s="14">
        <f>VLOOKUP(F1214,CarrierID!A:B,2,0)</f>
        <v>9</v>
      </c>
      <c r="F1214" s="15" t="s">
        <v>3</v>
      </c>
      <c r="G1214" t="str">
        <f>VLOOKUP(F1214,Carrier_Category!A:B,2,0)</f>
        <v>NJT</v>
      </c>
      <c r="H1214" s="5">
        <v>2268</v>
      </c>
      <c r="I1214" s="7">
        <f t="shared" si="58"/>
        <v>2218</v>
      </c>
      <c r="J1214" s="5">
        <v>67549</v>
      </c>
      <c r="K1214" s="18">
        <f t="shared" si="57"/>
        <v>29.783509700176367</v>
      </c>
    </row>
    <row r="1215" spans="1:11" x14ac:dyDescent="0.3">
      <c r="A1215" s="14">
        <v>2023</v>
      </c>
      <c r="B1215" s="14">
        <f t="shared" si="56"/>
        <v>6</v>
      </c>
      <c r="C1215" s="9">
        <v>44963</v>
      </c>
      <c r="D1215" s="9">
        <v>44967</v>
      </c>
      <c r="E1215" s="14">
        <f>VLOOKUP(F1215,CarrierID!A:B,2,0)</f>
        <v>7</v>
      </c>
      <c r="F1215" s="15" t="s">
        <v>4</v>
      </c>
      <c r="G1215" t="str">
        <f>VLOOKUP(F1215,Carrier_Category!A:B,2,0)</f>
        <v>Commuter</v>
      </c>
      <c r="H1215" s="5">
        <v>29</v>
      </c>
      <c r="I1215" s="7">
        <f t="shared" si="58"/>
        <v>29</v>
      </c>
      <c r="J1215" s="5">
        <v>1243</v>
      </c>
      <c r="K1215" s="18">
        <f t="shared" si="57"/>
        <v>42.862068965517238</v>
      </c>
    </row>
    <row r="1216" spans="1:11" x14ac:dyDescent="0.3">
      <c r="A1216" s="14">
        <v>2023</v>
      </c>
      <c r="B1216" s="14">
        <f t="shared" si="56"/>
        <v>6</v>
      </c>
      <c r="C1216" s="9">
        <v>44963</v>
      </c>
      <c r="D1216" s="9">
        <v>44967</v>
      </c>
      <c r="E1216" s="14">
        <f>VLOOKUP(F1216,CarrierID!A:B,2,0)</f>
        <v>11</v>
      </c>
      <c r="F1216" s="15" t="s">
        <v>5</v>
      </c>
      <c r="G1216" t="str">
        <f>VLOOKUP(F1216,Carrier_Category!A:B,2,0)</f>
        <v>Intercity</v>
      </c>
      <c r="H1216" s="5">
        <v>22</v>
      </c>
      <c r="I1216" s="7">
        <f t="shared" si="58"/>
        <v>22</v>
      </c>
      <c r="J1216" s="5">
        <v>406</v>
      </c>
      <c r="K1216" s="18">
        <f t="shared" si="57"/>
        <v>18.454545454545453</v>
      </c>
    </row>
    <row r="1217" spans="1:11" x14ac:dyDescent="0.3">
      <c r="A1217" s="14">
        <v>2023</v>
      </c>
      <c r="B1217" s="14">
        <f t="shared" si="56"/>
        <v>6</v>
      </c>
      <c r="C1217" s="9">
        <v>44963</v>
      </c>
      <c r="D1217" s="9">
        <v>44967</v>
      </c>
      <c r="E1217" s="14">
        <f>VLOOKUP(F1217,CarrierID!A:B,2,0)</f>
        <v>3</v>
      </c>
      <c r="F1217" s="15" t="s">
        <v>6</v>
      </c>
      <c r="G1217" t="str">
        <f>VLOOKUP(F1217,Carrier_Category!A:B,2,0)</f>
        <v>Commuter</v>
      </c>
      <c r="H1217" s="5">
        <v>147</v>
      </c>
      <c r="I1217" s="7">
        <f t="shared" si="58"/>
        <v>149</v>
      </c>
      <c r="J1217" s="5">
        <v>4960</v>
      </c>
      <c r="K1217" s="18">
        <f t="shared" si="57"/>
        <v>33.741496598639458</v>
      </c>
    </row>
    <row r="1218" spans="1:11" x14ac:dyDescent="0.3">
      <c r="A1218" s="14">
        <v>2023</v>
      </c>
      <c r="B1218" s="14">
        <f t="shared" si="56"/>
        <v>6</v>
      </c>
      <c r="C1218" s="9">
        <v>44963</v>
      </c>
      <c r="D1218" s="9">
        <v>44967</v>
      </c>
      <c r="E1218" s="14">
        <f>VLOOKUP(F1218,CarrierID!A:B,2,0)</f>
        <v>12</v>
      </c>
      <c r="F1218" s="15" t="s">
        <v>25</v>
      </c>
      <c r="G1218" t="str">
        <f>VLOOKUP(F1218,Carrier_Category!A:B,2,0)</f>
        <v>Commuter</v>
      </c>
      <c r="H1218" s="5">
        <v>20</v>
      </c>
      <c r="I1218" s="7">
        <f t="shared" si="58"/>
        <v>20</v>
      </c>
      <c r="J1218" s="5">
        <v>627</v>
      </c>
      <c r="K1218" s="18">
        <f t="shared" si="57"/>
        <v>31.35</v>
      </c>
    </row>
    <row r="1219" spans="1:11" x14ac:dyDescent="0.3">
      <c r="A1219" s="14">
        <v>2023</v>
      </c>
      <c r="B1219" s="14">
        <f t="shared" si="56"/>
        <v>6</v>
      </c>
      <c r="C1219" s="9">
        <v>44963</v>
      </c>
      <c r="D1219" s="9">
        <v>44967</v>
      </c>
      <c r="E1219" s="14">
        <f>VLOOKUP(F1219,CarrierID!A:B,2,0)</f>
        <v>10</v>
      </c>
      <c r="F1219" s="15" t="s">
        <v>8</v>
      </c>
      <c r="G1219" t="str">
        <f>VLOOKUP(F1219,Carrier_Category!A:B,2,0)</f>
        <v>Intercity</v>
      </c>
      <c r="H1219" s="5">
        <v>26</v>
      </c>
      <c r="I1219" s="7">
        <f t="shared" si="58"/>
        <v>26</v>
      </c>
      <c r="J1219" s="5">
        <v>746</v>
      </c>
      <c r="K1219" s="18">
        <f t="shared" si="57"/>
        <v>28.692307692307693</v>
      </c>
    </row>
    <row r="1220" spans="1:11" x14ac:dyDescent="0.3">
      <c r="A1220" s="14">
        <v>2023</v>
      </c>
      <c r="B1220" s="14">
        <f t="shared" si="56"/>
        <v>6</v>
      </c>
      <c r="C1220" s="9">
        <v>44963</v>
      </c>
      <c r="D1220" s="9">
        <v>44967</v>
      </c>
      <c r="E1220" s="14">
        <f>VLOOKUP(F1220,CarrierID!A:B,2,0)</f>
        <v>4</v>
      </c>
      <c r="F1220" s="15" t="s">
        <v>24</v>
      </c>
      <c r="G1220" t="str">
        <f>VLOOKUP(F1220,Carrier_Category!A:B,2,0)</f>
        <v>Commuter</v>
      </c>
      <c r="H1220" s="5">
        <v>39</v>
      </c>
      <c r="I1220" s="7">
        <f t="shared" si="58"/>
        <v>38</v>
      </c>
      <c r="J1220" s="5">
        <v>664</v>
      </c>
      <c r="K1220" s="18">
        <f t="shared" si="57"/>
        <v>17.025641025641026</v>
      </c>
    </row>
    <row r="1221" spans="1:11" x14ac:dyDescent="0.3">
      <c r="A1221" s="14">
        <v>2023</v>
      </c>
      <c r="B1221" s="14">
        <f t="shared" ref="B1221:B1284" si="59">_xlfn.ISOWEEKNUM(C1221)</f>
        <v>6</v>
      </c>
      <c r="C1221" s="9">
        <v>44963</v>
      </c>
      <c r="D1221" s="9">
        <v>44967</v>
      </c>
      <c r="E1221" s="14">
        <f>VLOOKUP(F1221,CarrierID!A:B,2,0)</f>
        <v>6</v>
      </c>
      <c r="F1221" s="15" t="s">
        <v>9</v>
      </c>
      <c r="G1221" t="str">
        <f>VLOOKUP(F1221,Carrier_Category!A:B,2,0)</f>
        <v>Commuter</v>
      </c>
      <c r="H1221" s="5">
        <v>85</v>
      </c>
      <c r="I1221" s="7">
        <f t="shared" si="58"/>
        <v>89</v>
      </c>
      <c r="J1221" s="5">
        <v>1450</v>
      </c>
      <c r="K1221" s="18">
        <f t="shared" ref="K1221:K1284" si="60">J1221/H1221</f>
        <v>17.058823529411764</v>
      </c>
    </row>
    <row r="1222" spans="1:11" x14ac:dyDescent="0.3">
      <c r="A1222" s="14">
        <v>2023</v>
      </c>
      <c r="B1222" s="14">
        <f t="shared" si="59"/>
        <v>7</v>
      </c>
      <c r="C1222" s="9">
        <v>44970</v>
      </c>
      <c r="D1222" s="9">
        <v>44974</v>
      </c>
      <c r="E1222" s="14">
        <f>VLOOKUP(F1222,CarrierID!A:B,2,0)</f>
        <v>1</v>
      </c>
      <c r="F1222" s="15" t="s">
        <v>0</v>
      </c>
      <c r="G1222" t="str">
        <f>VLOOKUP(F1222,Carrier_Category!A:B,2,0)</f>
        <v>Commuter</v>
      </c>
      <c r="H1222" s="5">
        <v>35</v>
      </c>
      <c r="I1222" s="7">
        <f t="shared" si="58"/>
        <v>35</v>
      </c>
      <c r="J1222" s="5">
        <v>1217</v>
      </c>
      <c r="K1222" s="18">
        <f t="shared" si="60"/>
        <v>34.771428571428572</v>
      </c>
    </row>
    <row r="1223" spans="1:11" x14ac:dyDescent="0.3">
      <c r="A1223" s="14">
        <v>2023</v>
      </c>
      <c r="B1223" s="14">
        <f t="shared" si="59"/>
        <v>7</v>
      </c>
      <c r="C1223" s="9">
        <v>44970</v>
      </c>
      <c r="D1223" s="9">
        <v>44974</v>
      </c>
      <c r="E1223" s="14">
        <f>VLOOKUP(F1223,CarrierID!A:B,2,0)</f>
        <v>5</v>
      </c>
      <c r="F1223" s="15" t="s">
        <v>1</v>
      </c>
      <c r="G1223" t="str">
        <f>VLOOKUP(F1223,Carrier_Category!A:B,2,0)</f>
        <v>Intercity</v>
      </c>
      <c r="H1223" s="5">
        <v>47</v>
      </c>
      <c r="I1223" s="7">
        <f t="shared" si="58"/>
        <v>47</v>
      </c>
      <c r="J1223" s="5">
        <v>1112</v>
      </c>
      <c r="K1223" s="18">
        <f t="shared" si="60"/>
        <v>23.659574468085108</v>
      </c>
    </row>
    <row r="1224" spans="1:11" x14ac:dyDescent="0.3">
      <c r="A1224" s="14">
        <v>2023</v>
      </c>
      <c r="B1224" s="14">
        <f t="shared" si="59"/>
        <v>7</v>
      </c>
      <c r="C1224" s="9">
        <v>44970</v>
      </c>
      <c r="D1224" s="9">
        <v>44974</v>
      </c>
      <c r="E1224" s="14">
        <f>VLOOKUP(F1224,CarrierID!A:B,2,0)</f>
        <v>8</v>
      </c>
      <c r="F1224" s="15" t="s">
        <v>2</v>
      </c>
      <c r="G1224" t="str">
        <f>VLOOKUP(F1224,Carrier_Category!A:B,2,0)</f>
        <v>Commuter</v>
      </c>
      <c r="H1224" s="5">
        <v>20</v>
      </c>
      <c r="I1224" s="7">
        <f t="shared" si="58"/>
        <v>20</v>
      </c>
      <c r="J1224" s="5">
        <v>755</v>
      </c>
      <c r="K1224" s="18">
        <f t="shared" si="60"/>
        <v>37.75</v>
      </c>
    </row>
    <row r="1225" spans="1:11" x14ac:dyDescent="0.3">
      <c r="A1225" s="14">
        <v>2023</v>
      </c>
      <c r="B1225" s="14">
        <f t="shared" si="59"/>
        <v>7</v>
      </c>
      <c r="C1225" s="9">
        <v>44970</v>
      </c>
      <c r="D1225" s="9">
        <v>44974</v>
      </c>
      <c r="E1225" s="14">
        <f>VLOOKUP(F1225,CarrierID!A:B,2,0)</f>
        <v>9</v>
      </c>
      <c r="F1225" s="15" t="s">
        <v>3</v>
      </c>
      <c r="G1225" t="str">
        <f>VLOOKUP(F1225,Carrier_Category!A:B,2,0)</f>
        <v>NJT</v>
      </c>
      <c r="H1225" s="5">
        <v>2268</v>
      </c>
      <c r="I1225" s="7">
        <f t="shared" si="58"/>
        <v>2268</v>
      </c>
      <c r="J1225" s="5">
        <v>66914</v>
      </c>
      <c r="K1225" s="18">
        <f t="shared" si="60"/>
        <v>29.503527336860671</v>
      </c>
    </row>
    <row r="1226" spans="1:11" x14ac:dyDescent="0.3">
      <c r="A1226" s="14">
        <v>2023</v>
      </c>
      <c r="B1226" s="14">
        <f t="shared" si="59"/>
        <v>7</v>
      </c>
      <c r="C1226" s="9">
        <v>44970</v>
      </c>
      <c r="D1226" s="9">
        <v>44974</v>
      </c>
      <c r="E1226" s="14">
        <f>VLOOKUP(F1226,CarrierID!A:B,2,0)</f>
        <v>7</v>
      </c>
      <c r="F1226" s="15" t="s">
        <v>4</v>
      </c>
      <c r="G1226" t="str">
        <f>VLOOKUP(F1226,Carrier_Category!A:B,2,0)</f>
        <v>Commuter</v>
      </c>
      <c r="H1226" s="5">
        <v>29</v>
      </c>
      <c r="I1226" s="7">
        <f t="shared" si="58"/>
        <v>29</v>
      </c>
      <c r="J1226" s="5">
        <v>1243</v>
      </c>
      <c r="K1226" s="18">
        <f t="shared" si="60"/>
        <v>42.862068965517238</v>
      </c>
    </row>
    <row r="1227" spans="1:11" x14ac:dyDescent="0.3">
      <c r="A1227" s="14">
        <v>2023</v>
      </c>
      <c r="B1227" s="14">
        <f t="shared" si="59"/>
        <v>7</v>
      </c>
      <c r="C1227" s="9">
        <v>44970</v>
      </c>
      <c r="D1227" s="9">
        <v>44974</v>
      </c>
      <c r="E1227" s="14">
        <f>VLOOKUP(F1227,CarrierID!A:B,2,0)</f>
        <v>11</v>
      </c>
      <c r="F1227" s="15" t="s">
        <v>5</v>
      </c>
      <c r="G1227" t="str">
        <f>VLOOKUP(F1227,Carrier_Category!A:B,2,0)</f>
        <v>Intercity</v>
      </c>
      <c r="H1227" s="5">
        <v>22</v>
      </c>
      <c r="I1227" s="7">
        <f t="shared" si="58"/>
        <v>22</v>
      </c>
      <c r="J1227" s="5">
        <v>406</v>
      </c>
      <c r="K1227" s="18">
        <f t="shared" si="60"/>
        <v>18.454545454545453</v>
      </c>
    </row>
    <row r="1228" spans="1:11" x14ac:dyDescent="0.3">
      <c r="A1228" s="14">
        <v>2023</v>
      </c>
      <c r="B1228" s="14">
        <f t="shared" si="59"/>
        <v>7</v>
      </c>
      <c r="C1228" s="9">
        <v>44970</v>
      </c>
      <c r="D1228" s="9">
        <v>44974</v>
      </c>
      <c r="E1228" s="14">
        <f>VLOOKUP(F1228,CarrierID!A:B,2,0)</f>
        <v>3</v>
      </c>
      <c r="F1228" s="15" t="s">
        <v>6</v>
      </c>
      <c r="G1228" t="str">
        <f>VLOOKUP(F1228,Carrier_Category!A:B,2,0)</f>
        <v>Commuter</v>
      </c>
      <c r="H1228" s="5">
        <v>147</v>
      </c>
      <c r="I1228" s="7">
        <f t="shared" si="58"/>
        <v>147</v>
      </c>
      <c r="J1228" s="5">
        <v>4949</v>
      </c>
      <c r="K1228" s="18">
        <f t="shared" si="60"/>
        <v>33.666666666666664</v>
      </c>
    </row>
    <row r="1229" spans="1:11" x14ac:dyDescent="0.3">
      <c r="A1229" s="14">
        <v>2023</v>
      </c>
      <c r="B1229" s="14">
        <f t="shared" si="59"/>
        <v>7</v>
      </c>
      <c r="C1229" s="9">
        <v>44970</v>
      </c>
      <c r="D1229" s="9">
        <v>44974</v>
      </c>
      <c r="E1229" s="14">
        <f>VLOOKUP(F1229,CarrierID!A:B,2,0)</f>
        <v>12</v>
      </c>
      <c r="F1229" s="15" t="s">
        <v>25</v>
      </c>
      <c r="G1229" t="str">
        <f>VLOOKUP(F1229,Carrier_Category!A:B,2,0)</f>
        <v>Commuter</v>
      </c>
      <c r="H1229" s="5">
        <v>20</v>
      </c>
      <c r="I1229" s="7">
        <f t="shared" ref="I1229:I1292" si="61">H1218</f>
        <v>20</v>
      </c>
      <c r="J1229" s="5">
        <v>628</v>
      </c>
      <c r="K1229" s="18">
        <f t="shared" si="60"/>
        <v>31.4</v>
      </c>
    </row>
    <row r="1230" spans="1:11" x14ac:dyDescent="0.3">
      <c r="A1230" s="14">
        <v>2023</v>
      </c>
      <c r="B1230" s="14">
        <f t="shared" si="59"/>
        <v>7</v>
      </c>
      <c r="C1230" s="9">
        <v>44970</v>
      </c>
      <c r="D1230" s="9">
        <v>44974</v>
      </c>
      <c r="E1230" s="14">
        <f>VLOOKUP(F1230,CarrierID!A:B,2,0)</f>
        <v>10</v>
      </c>
      <c r="F1230" s="15" t="s">
        <v>8</v>
      </c>
      <c r="G1230" t="str">
        <f>VLOOKUP(F1230,Carrier_Category!A:B,2,0)</f>
        <v>Intercity</v>
      </c>
      <c r="H1230" s="5">
        <v>27</v>
      </c>
      <c r="I1230" s="7">
        <f t="shared" si="61"/>
        <v>26</v>
      </c>
      <c r="J1230" s="5">
        <v>867</v>
      </c>
      <c r="K1230" s="18">
        <f t="shared" si="60"/>
        <v>32.111111111111114</v>
      </c>
    </row>
    <row r="1231" spans="1:11" x14ac:dyDescent="0.3">
      <c r="A1231" s="14">
        <v>2023</v>
      </c>
      <c r="B1231" s="14">
        <f t="shared" si="59"/>
        <v>7</v>
      </c>
      <c r="C1231" s="9">
        <v>44970</v>
      </c>
      <c r="D1231" s="9">
        <v>44974</v>
      </c>
      <c r="E1231" s="14">
        <f>VLOOKUP(F1231,CarrierID!A:B,2,0)</f>
        <v>4</v>
      </c>
      <c r="F1231" s="15" t="s">
        <v>24</v>
      </c>
      <c r="G1231" t="str">
        <f>VLOOKUP(F1231,Carrier_Category!A:B,2,0)</f>
        <v>Commuter</v>
      </c>
      <c r="H1231" s="5">
        <v>38</v>
      </c>
      <c r="I1231" s="7">
        <f t="shared" si="61"/>
        <v>39</v>
      </c>
      <c r="J1231" s="5">
        <v>654</v>
      </c>
      <c r="K1231" s="18">
        <f t="shared" si="60"/>
        <v>17.210526315789473</v>
      </c>
    </row>
    <row r="1232" spans="1:11" x14ac:dyDescent="0.3">
      <c r="A1232" s="14">
        <v>2023</v>
      </c>
      <c r="B1232" s="14">
        <f t="shared" si="59"/>
        <v>7</v>
      </c>
      <c r="C1232" s="9">
        <v>44970</v>
      </c>
      <c r="D1232" s="9">
        <v>44974</v>
      </c>
      <c r="E1232" s="14">
        <f>VLOOKUP(F1232,CarrierID!A:B,2,0)</f>
        <v>6</v>
      </c>
      <c r="F1232" s="15" t="s">
        <v>9</v>
      </c>
      <c r="G1232" t="str">
        <f>VLOOKUP(F1232,Carrier_Category!A:B,2,0)</f>
        <v>Commuter</v>
      </c>
      <c r="H1232" s="5">
        <v>82</v>
      </c>
      <c r="I1232" s="7">
        <f t="shared" si="61"/>
        <v>85</v>
      </c>
      <c r="J1232" s="5">
        <v>1515</v>
      </c>
      <c r="K1232" s="18">
        <f t="shared" si="60"/>
        <v>18.475609756097562</v>
      </c>
    </row>
    <row r="1233" spans="1:11" x14ac:dyDescent="0.3">
      <c r="A1233" s="14">
        <v>2023</v>
      </c>
      <c r="B1233" s="14">
        <f t="shared" si="59"/>
        <v>8</v>
      </c>
      <c r="C1233" s="9">
        <v>44977</v>
      </c>
      <c r="D1233" s="9">
        <v>44981</v>
      </c>
      <c r="E1233" s="14">
        <f>VLOOKUP(F1233,CarrierID!A:B,2,0)</f>
        <v>1</v>
      </c>
      <c r="F1233" s="15" t="s">
        <v>0</v>
      </c>
      <c r="G1233" t="str">
        <f>VLOOKUP(F1233,Carrier_Category!A:B,2,0)</f>
        <v>Commuter</v>
      </c>
      <c r="H1233" s="5">
        <v>31</v>
      </c>
      <c r="I1233" s="7">
        <f t="shared" si="61"/>
        <v>35</v>
      </c>
      <c r="J1233" s="5">
        <v>1034</v>
      </c>
      <c r="K1233" s="18">
        <f t="shared" si="60"/>
        <v>33.354838709677416</v>
      </c>
    </row>
    <row r="1234" spans="1:11" x14ac:dyDescent="0.3">
      <c r="A1234" s="14">
        <v>2023</v>
      </c>
      <c r="B1234" s="14">
        <f t="shared" si="59"/>
        <v>8</v>
      </c>
      <c r="C1234" s="9">
        <v>44977</v>
      </c>
      <c r="D1234" s="9">
        <v>44981</v>
      </c>
      <c r="E1234" s="14">
        <f>VLOOKUP(F1234,CarrierID!A:B,2,0)</f>
        <v>5</v>
      </c>
      <c r="F1234" s="15" t="s">
        <v>1</v>
      </c>
      <c r="G1234" t="str">
        <f>VLOOKUP(F1234,Carrier_Category!A:B,2,0)</f>
        <v>Intercity</v>
      </c>
      <c r="H1234" s="5">
        <v>47</v>
      </c>
      <c r="I1234" s="7">
        <f t="shared" si="61"/>
        <v>47</v>
      </c>
      <c r="J1234" s="5">
        <v>1043</v>
      </c>
      <c r="K1234" s="18">
        <f t="shared" si="60"/>
        <v>22.191489361702128</v>
      </c>
    </row>
    <row r="1235" spans="1:11" x14ac:dyDescent="0.3">
      <c r="A1235" s="14">
        <v>2023</v>
      </c>
      <c r="B1235" s="14">
        <f t="shared" si="59"/>
        <v>8</v>
      </c>
      <c r="C1235" s="9">
        <v>44977</v>
      </c>
      <c r="D1235" s="9">
        <v>44981</v>
      </c>
      <c r="E1235" s="14">
        <f>VLOOKUP(F1235,CarrierID!A:B,2,0)</f>
        <v>8</v>
      </c>
      <c r="F1235" s="15" t="s">
        <v>2</v>
      </c>
      <c r="G1235" t="str">
        <f>VLOOKUP(F1235,Carrier_Category!A:B,2,0)</f>
        <v>Commuter</v>
      </c>
      <c r="H1235" s="5">
        <v>31</v>
      </c>
      <c r="I1235" s="7">
        <f t="shared" si="61"/>
        <v>20</v>
      </c>
      <c r="J1235" s="5">
        <v>1229</v>
      </c>
      <c r="K1235" s="18">
        <f t="shared" si="60"/>
        <v>39.645161290322584</v>
      </c>
    </row>
    <row r="1236" spans="1:11" x14ac:dyDescent="0.3">
      <c r="A1236" s="14">
        <v>2023</v>
      </c>
      <c r="B1236" s="14">
        <f t="shared" si="59"/>
        <v>8</v>
      </c>
      <c r="C1236" s="9">
        <v>44977</v>
      </c>
      <c r="D1236" s="9">
        <v>44981</v>
      </c>
      <c r="E1236" s="14">
        <f>VLOOKUP(F1236,CarrierID!A:B,2,0)</f>
        <v>9</v>
      </c>
      <c r="F1236" s="15" t="s">
        <v>3</v>
      </c>
      <c r="G1236" t="str">
        <f>VLOOKUP(F1236,Carrier_Category!A:B,2,0)</f>
        <v>NJT</v>
      </c>
      <c r="H1236" s="5">
        <v>2221</v>
      </c>
      <c r="I1236" s="7">
        <f t="shared" si="61"/>
        <v>2268</v>
      </c>
      <c r="J1236" s="5">
        <v>64841</v>
      </c>
      <c r="K1236" s="18">
        <f t="shared" si="60"/>
        <v>29.194506978838362</v>
      </c>
    </row>
    <row r="1237" spans="1:11" x14ac:dyDescent="0.3">
      <c r="A1237" s="14">
        <v>2023</v>
      </c>
      <c r="B1237" s="14">
        <f t="shared" si="59"/>
        <v>8</v>
      </c>
      <c r="C1237" s="9">
        <v>44977</v>
      </c>
      <c r="D1237" s="9">
        <v>44981</v>
      </c>
      <c r="E1237" s="14">
        <f>VLOOKUP(F1237,CarrierID!A:B,2,0)</f>
        <v>7</v>
      </c>
      <c r="F1237" s="15" t="s">
        <v>4</v>
      </c>
      <c r="G1237" t="str">
        <f>VLOOKUP(F1237,Carrier_Category!A:B,2,0)</f>
        <v>Commuter</v>
      </c>
      <c r="H1237" s="5">
        <v>25</v>
      </c>
      <c r="I1237" s="7">
        <f t="shared" si="61"/>
        <v>29</v>
      </c>
      <c r="J1237" s="5">
        <v>1047</v>
      </c>
      <c r="K1237" s="18">
        <f t="shared" si="60"/>
        <v>41.88</v>
      </c>
    </row>
    <row r="1238" spans="1:11" x14ac:dyDescent="0.3">
      <c r="A1238" s="14">
        <v>2023</v>
      </c>
      <c r="B1238" s="14">
        <f t="shared" si="59"/>
        <v>8</v>
      </c>
      <c r="C1238" s="9">
        <v>44977</v>
      </c>
      <c r="D1238" s="9">
        <v>44981</v>
      </c>
      <c r="E1238" s="14">
        <f>VLOOKUP(F1238,CarrierID!A:B,2,0)</f>
        <v>11</v>
      </c>
      <c r="F1238" s="15" t="s">
        <v>5</v>
      </c>
      <c r="G1238" t="str">
        <f>VLOOKUP(F1238,Carrier_Category!A:B,2,0)</f>
        <v>Intercity</v>
      </c>
      <c r="H1238" s="5">
        <v>22</v>
      </c>
      <c r="I1238" s="7">
        <f t="shared" si="61"/>
        <v>22</v>
      </c>
      <c r="J1238" s="5">
        <v>629</v>
      </c>
      <c r="K1238" s="18">
        <f t="shared" si="60"/>
        <v>28.59090909090909</v>
      </c>
    </row>
    <row r="1239" spans="1:11" x14ac:dyDescent="0.3">
      <c r="A1239" s="14">
        <v>2023</v>
      </c>
      <c r="B1239" s="14">
        <f t="shared" si="59"/>
        <v>8</v>
      </c>
      <c r="C1239" s="9">
        <v>44977</v>
      </c>
      <c r="D1239" s="9">
        <v>44981</v>
      </c>
      <c r="E1239" s="14">
        <f>VLOOKUP(F1239,CarrierID!A:B,2,0)</f>
        <v>3</v>
      </c>
      <c r="F1239" s="15" t="s">
        <v>6</v>
      </c>
      <c r="G1239" t="str">
        <f>VLOOKUP(F1239,Carrier_Category!A:B,2,0)</f>
        <v>Commuter</v>
      </c>
      <c r="H1239" s="5">
        <v>128</v>
      </c>
      <c r="I1239" s="7">
        <f t="shared" si="61"/>
        <v>147</v>
      </c>
      <c r="J1239" s="5">
        <v>4057</v>
      </c>
      <c r="K1239" s="18">
        <f t="shared" si="60"/>
        <v>31.6953125</v>
      </c>
    </row>
    <row r="1240" spans="1:11" x14ac:dyDescent="0.3">
      <c r="A1240" s="14">
        <v>2023</v>
      </c>
      <c r="B1240" s="14">
        <f t="shared" si="59"/>
        <v>8</v>
      </c>
      <c r="C1240" s="9">
        <v>44977</v>
      </c>
      <c r="D1240" s="9">
        <v>44981</v>
      </c>
      <c r="E1240" s="14">
        <f>VLOOKUP(F1240,CarrierID!A:B,2,0)</f>
        <v>12</v>
      </c>
      <c r="F1240" s="15" t="s">
        <v>25</v>
      </c>
      <c r="G1240" t="str">
        <f>VLOOKUP(F1240,Carrier_Category!A:B,2,0)</f>
        <v>Commuter</v>
      </c>
      <c r="H1240" s="5">
        <v>20</v>
      </c>
      <c r="I1240" s="7">
        <f t="shared" si="61"/>
        <v>20</v>
      </c>
      <c r="J1240" s="5">
        <v>562</v>
      </c>
      <c r="K1240" s="18">
        <f t="shared" si="60"/>
        <v>28.1</v>
      </c>
    </row>
    <row r="1241" spans="1:11" x14ac:dyDescent="0.3">
      <c r="A1241" s="14">
        <v>2023</v>
      </c>
      <c r="B1241" s="14">
        <f t="shared" si="59"/>
        <v>8</v>
      </c>
      <c r="C1241" s="9">
        <v>44977</v>
      </c>
      <c r="D1241" s="9">
        <v>44981</v>
      </c>
      <c r="E1241" s="14">
        <f>VLOOKUP(F1241,CarrierID!A:B,2,0)</f>
        <v>10</v>
      </c>
      <c r="F1241" s="15" t="s">
        <v>8</v>
      </c>
      <c r="G1241" t="str">
        <f>VLOOKUP(F1241,Carrier_Category!A:B,2,0)</f>
        <v>Intercity</v>
      </c>
      <c r="H1241" s="5">
        <v>35</v>
      </c>
      <c r="I1241" s="7">
        <f t="shared" si="61"/>
        <v>27</v>
      </c>
      <c r="J1241" s="5">
        <v>1416</v>
      </c>
      <c r="K1241" s="18">
        <f t="shared" si="60"/>
        <v>40.457142857142856</v>
      </c>
    </row>
    <row r="1242" spans="1:11" x14ac:dyDescent="0.3">
      <c r="A1242" s="14">
        <v>2023</v>
      </c>
      <c r="B1242" s="14">
        <f t="shared" si="59"/>
        <v>8</v>
      </c>
      <c r="C1242" s="9">
        <v>44977</v>
      </c>
      <c r="D1242" s="9">
        <v>44981</v>
      </c>
      <c r="E1242" s="14">
        <f>VLOOKUP(F1242,CarrierID!A:B,2,0)</f>
        <v>4</v>
      </c>
      <c r="F1242" s="15" t="s">
        <v>24</v>
      </c>
      <c r="G1242" t="str">
        <f>VLOOKUP(F1242,Carrier_Category!A:B,2,0)</f>
        <v>Commuter</v>
      </c>
      <c r="H1242" s="5">
        <v>33</v>
      </c>
      <c r="I1242" s="7">
        <f t="shared" si="61"/>
        <v>38</v>
      </c>
      <c r="J1242" s="5">
        <v>559</v>
      </c>
      <c r="K1242" s="18">
        <f t="shared" si="60"/>
        <v>16.939393939393938</v>
      </c>
    </row>
    <row r="1243" spans="1:11" x14ac:dyDescent="0.3">
      <c r="A1243" s="14">
        <v>2023</v>
      </c>
      <c r="B1243" s="14">
        <f t="shared" si="59"/>
        <v>8</v>
      </c>
      <c r="C1243" s="9">
        <v>44977</v>
      </c>
      <c r="D1243" s="9">
        <v>44981</v>
      </c>
      <c r="E1243" s="14">
        <f>VLOOKUP(F1243,CarrierID!A:B,2,0)</f>
        <v>6</v>
      </c>
      <c r="F1243" s="15" t="s">
        <v>9</v>
      </c>
      <c r="G1243" t="str">
        <f>VLOOKUP(F1243,Carrier_Category!A:B,2,0)</f>
        <v>Commuter</v>
      </c>
      <c r="H1243" s="5">
        <v>82</v>
      </c>
      <c r="I1243" s="7">
        <f t="shared" si="61"/>
        <v>82</v>
      </c>
      <c r="J1243" s="5">
        <v>1681</v>
      </c>
      <c r="K1243" s="18">
        <f t="shared" si="60"/>
        <v>20.5</v>
      </c>
    </row>
    <row r="1244" spans="1:11" x14ac:dyDescent="0.3">
      <c r="A1244" s="14">
        <v>2023</v>
      </c>
      <c r="B1244" s="14">
        <f t="shared" si="59"/>
        <v>9</v>
      </c>
      <c r="C1244" s="9">
        <v>44984</v>
      </c>
      <c r="D1244" s="9">
        <v>44988</v>
      </c>
      <c r="E1244" s="14">
        <f>VLOOKUP(F1244,CarrierID!A:B,2,0)</f>
        <v>1</v>
      </c>
      <c r="F1244" s="15" t="s">
        <v>0</v>
      </c>
      <c r="G1244" t="str">
        <f>VLOOKUP(F1244,Carrier_Category!A:B,2,0)</f>
        <v>Commuter</v>
      </c>
      <c r="H1244" s="5">
        <v>31</v>
      </c>
      <c r="I1244" s="7">
        <f t="shared" si="61"/>
        <v>31</v>
      </c>
      <c r="J1244" s="5">
        <v>1034</v>
      </c>
      <c r="K1244" s="18">
        <f t="shared" si="60"/>
        <v>33.354838709677416</v>
      </c>
    </row>
    <row r="1245" spans="1:11" x14ac:dyDescent="0.3">
      <c r="A1245" s="14">
        <v>2023</v>
      </c>
      <c r="B1245" s="14">
        <f t="shared" si="59"/>
        <v>9</v>
      </c>
      <c r="C1245" s="9">
        <v>44984</v>
      </c>
      <c r="D1245" s="9">
        <v>44988</v>
      </c>
      <c r="E1245" s="14">
        <f>VLOOKUP(F1245,CarrierID!A:B,2,0)</f>
        <v>5</v>
      </c>
      <c r="F1245" s="15" t="s">
        <v>1</v>
      </c>
      <c r="G1245" t="str">
        <f>VLOOKUP(F1245,Carrier_Category!A:B,2,0)</f>
        <v>Intercity</v>
      </c>
      <c r="H1245" s="5">
        <v>44</v>
      </c>
      <c r="I1245" s="7">
        <f t="shared" si="61"/>
        <v>47</v>
      </c>
      <c r="J1245" s="5">
        <v>722</v>
      </c>
      <c r="K1245" s="18">
        <f t="shared" si="60"/>
        <v>16.40909090909091</v>
      </c>
    </row>
    <row r="1246" spans="1:11" x14ac:dyDescent="0.3">
      <c r="A1246" s="14">
        <v>2023</v>
      </c>
      <c r="B1246" s="14">
        <f t="shared" si="59"/>
        <v>9</v>
      </c>
      <c r="C1246" s="9">
        <v>44984</v>
      </c>
      <c r="D1246" s="9">
        <v>44988</v>
      </c>
      <c r="E1246" s="14">
        <f>VLOOKUP(F1246,CarrierID!A:B,2,0)</f>
        <v>8</v>
      </c>
      <c r="F1246" s="15" t="s">
        <v>2</v>
      </c>
      <c r="G1246" t="str">
        <f>VLOOKUP(F1246,Carrier_Category!A:B,2,0)</f>
        <v>Commuter</v>
      </c>
      <c r="H1246" s="5">
        <v>18</v>
      </c>
      <c r="I1246" s="7">
        <f t="shared" si="61"/>
        <v>31</v>
      </c>
      <c r="J1246" s="5">
        <v>658</v>
      </c>
      <c r="K1246" s="18">
        <f t="shared" si="60"/>
        <v>36.555555555555557</v>
      </c>
    </row>
    <row r="1247" spans="1:11" x14ac:dyDescent="0.3">
      <c r="A1247" s="14">
        <v>2023</v>
      </c>
      <c r="B1247" s="14">
        <f t="shared" si="59"/>
        <v>9</v>
      </c>
      <c r="C1247" s="9">
        <v>44984</v>
      </c>
      <c r="D1247" s="9">
        <v>44988</v>
      </c>
      <c r="E1247" s="14">
        <f>VLOOKUP(F1247,CarrierID!A:B,2,0)</f>
        <v>9</v>
      </c>
      <c r="F1247" s="15" t="s">
        <v>3</v>
      </c>
      <c r="G1247" t="str">
        <f>VLOOKUP(F1247,Carrier_Category!A:B,2,0)</f>
        <v>NJT</v>
      </c>
      <c r="H1247" s="5">
        <v>2261</v>
      </c>
      <c r="I1247" s="7">
        <f t="shared" si="61"/>
        <v>2221</v>
      </c>
      <c r="J1247" s="5">
        <v>68070</v>
      </c>
      <c r="K1247" s="18">
        <f t="shared" si="60"/>
        <v>30.106147722246792</v>
      </c>
    </row>
    <row r="1248" spans="1:11" x14ac:dyDescent="0.3">
      <c r="A1248" s="14">
        <v>2023</v>
      </c>
      <c r="B1248" s="14">
        <f t="shared" si="59"/>
        <v>9</v>
      </c>
      <c r="C1248" s="9">
        <v>44984</v>
      </c>
      <c r="D1248" s="9">
        <v>44988</v>
      </c>
      <c r="E1248" s="14">
        <f>VLOOKUP(F1248,CarrierID!A:B,2,0)</f>
        <v>7</v>
      </c>
      <c r="F1248" s="15" t="s">
        <v>4</v>
      </c>
      <c r="G1248" t="str">
        <f>VLOOKUP(F1248,Carrier_Category!A:B,2,0)</f>
        <v>Commuter</v>
      </c>
      <c r="H1248" s="5">
        <v>29</v>
      </c>
      <c r="I1248" s="7">
        <f t="shared" si="61"/>
        <v>25</v>
      </c>
      <c r="J1248" s="5">
        <v>1129</v>
      </c>
      <c r="K1248" s="18">
        <f t="shared" si="60"/>
        <v>38.931034482758619</v>
      </c>
    </row>
    <row r="1249" spans="1:11" x14ac:dyDescent="0.3">
      <c r="A1249" s="14">
        <v>2023</v>
      </c>
      <c r="B1249" s="14">
        <f t="shared" si="59"/>
        <v>9</v>
      </c>
      <c r="C1249" s="9">
        <v>44984</v>
      </c>
      <c r="D1249" s="9">
        <v>44988</v>
      </c>
      <c r="E1249" s="14">
        <f>VLOOKUP(F1249,CarrierID!A:B,2,0)</f>
        <v>11</v>
      </c>
      <c r="F1249" s="15" t="s">
        <v>5</v>
      </c>
      <c r="G1249" t="str">
        <f>VLOOKUP(F1249,Carrier_Category!A:B,2,0)</f>
        <v>Intercity</v>
      </c>
      <c r="H1249" s="5">
        <v>21</v>
      </c>
      <c r="I1249" s="7">
        <f t="shared" si="61"/>
        <v>22</v>
      </c>
      <c r="J1249" s="5">
        <v>459</v>
      </c>
      <c r="K1249" s="18">
        <f t="shared" si="60"/>
        <v>21.857142857142858</v>
      </c>
    </row>
    <row r="1250" spans="1:11" x14ac:dyDescent="0.3">
      <c r="A1250" s="14">
        <v>2023</v>
      </c>
      <c r="B1250" s="14">
        <f t="shared" si="59"/>
        <v>9</v>
      </c>
      <c r="C1250" s="9">
        <v>44984</v>
      </c>
      <c r="D1250" s="9">
        <v>44988</v>
      </c>
      <c r="E1250" s="14">
        <f>VLOOKUP(F1250,CarrierID!A:B,2,0)</f>
        <v>3</v>
      </c>
      <c r="F1250" s="15" t="s">
        <v>6</v>
      </c>
      <c r="G1250" t="str">
        <f>VLOOKUP(F1250,Carrier_Category!A:B,2,0)</f>
        <v>Commuter</v>
      </c>
      <c r="H1250" s="5">
        <v>142</v>
      </c>
      <c r="I1250" s="7">
        <f t="shared" si="61"/>
        <v>128</v>
      </c>
      <c r="J1250" s="5">
        <v>4510</v>
      </c>
      <c r="K1250" s="18">
        <f t="shared" si="60"/>
        <v>31.760563380281692</v>
      </c>
    </row>
    <row r="1251" spans="1:11" x14ac:dyDescent="0.3">
      <c r="A1251" s="14">
        <v>2023</v>
      </c>
      <c r="B1251" s="14">
        <f t="shared" si="59"/>
        <v>9</v>
      </c>
      <c r="C1251" s="9">
        <v>44984</v>
      </c>
      <c r="D1251" s="9">
        <v>44988</v>
      </c>
      <c r="E1251" s="14">
        <f>VLOOKUP(F1251,CarrierID!A:B,2,0)</f>
        <v>12</v>
      </c>
      <c r="F1251" s="15" t="s">
        <v>25</v>
      </c>
      <c r="G1251" t="str">
        <f>VLOOKUP(F1251,Carrier_Category!A:B,2,0)</f>
        <v>Commuter</v>
      </c>
      <c r="H1251" s="5">
        <v>20</v>
      </c>
      <c r="I1251" s="7">
        <f t="shared" si="61"/>
        <v>20</v>
      </c>
      <c r="J1251" s="5">
        <v>607</v>
      </c>
      <c r="K1251" s="18">
        <f t="shared" si="60"/>
        <v>30.35</v>
      </c>
    </row>
    <row r="1252" spans="1:11" x14ac:dyDescent="0.3">
      <c r="A1252" s="14">
        <v>2023</v>
      </c>
      <c r="B1252" s="14">
        <f t="shared" si="59"/>
        <v>9</v>
      </c>
      <c r="C1252" s="9">
        <v>44984</v>
      </c>
      <c r="D1252" s="9">
        <v>44988</v>
      </c>
      <c r="E1252" s="14">
        <f>VLOOKUP(F1252,CarrierID!A:B,2,0)</f>
        <v>10</v>
      </c>
      <c r="F1252" s="15" t="s">
        <v>8</v>
      </c>
      <c r="G1252" t="str">
        <f>VLOOKUP(F1252,Carrier_Category!A:B,2,0)</f>
        <v>Intercity</v>
      </c>
      <c r="H1252" s="5">
        <v>26</v>
      </c>
      <c r="I1252" s="7">
        <f t="shared" si="61"/>
        <v>35</v>
      </c>
      <c r="J1252" s="5">
        <v>795</v>
      </c>
      <c r="K1252" s="18">
        <f t="shared" si="60"/>
        <v>30.576923076923077</v>
      </c>
    </row>
    <row r="1253" spans="1:11" x14ac:dyDescent="0.3">
      <c r="A1253" s="14">
        <v>2023</v>
      </c>
      <c r="B1253" s="14">
        <f t="shared" si="59"/>
        <v>9</v>
      </c>
      <c r="C1253" s="9">
        <v>44984</v>
      </c>
      <c r="D1253" s="9">
        <v>44988</v>
      </c>
      <c r="E1253" s="14">
        <f>VLOOKUP(F1253,CarrierID!A:B,2,0)</f>
        <v>4</v>
      </c>
      <c r="F1253" s="15" t="s">
        <v>24</v>
      </c>
      <c r="G1253" t="str">
        <f>VLOOKUP(F1253,Carrier_Category!A:B,2,0)</f>
        <v>Commuter</v>
      </c>
      <c r="H1253" s="5">
        <v>38</v>
      </c>
      <c r="I1253" s="7">
        <f t="shared" si="61"/>
        <v>33</v>
      </c>
      <c r="J1253" s="5">
        <v>606</v>
      </c>
      <c r="K1253" s="18">
        <f t="shared" si="60"/>
        <v>15.947368421052632</v>
      </c>
    </row>
    <row r="1254" spans="1:11" x14ac:dyDescent="0.3">
      <c r="A1254" s="14">
        <v>2023</v>
      </c>
      <c r="B1254" s="14">
        <f t="shared" si="59"/>
        <v>9</v>
      </c>
      <c r="C1254" s="9">
        <v>44984</v>
      </c>
      <c r="D1254" s="9">
        <v>44988</v>
      </c>
      <c r="E1254" s="14">
        <f>VLOOKUP(F1254,CarrierID!A:B,2,0)</f>
        <v>6</v>
      </c>
      <c r="F1254" s="15" t="s">
        <v>9</v>
      </c>
      <c r="G1254" t="str">
        <f>VLOOKUP(F1254,Carrier_Category!A:B,2,0)</f>
        <v>Commuter</v>
      </c>
      <c r="H1254" s="5">
        <v>82</v>
      </c>
      <c r="I1254" s="7">
        <f t="shared" si="61"/>
        <v>82</v>
      </c>
      <c r="J1254" s="5">
        <v>1681</v>
      </c>
      <c r="K1254" s="18">
        <f t="shared" si="60"/>
        <v>20.5</v>
      </c>
    </row>
    <row r="1255" spans="1:11" x14ac:dyDescent="0.3">
      <c r="A1255" s="14">
        <v>2023</v>
      </c>
      <c r="B1255" s="14">
        <f t="shared" si="59"/>
        <v>10</v>
      </c>
      <c r="C1255" s="9">
        <v>44991</v>
      </c>
      <c r="D1255" s="9">
        <v>44995</v>
      </c>
      <c r="E1255" s="14">
        <f>VLOOKUP(F1255,CarrierID!A:B,2,0)</f>
        <v>1</v>
      </c>
      <c r="F1255" s="15" t="s">
        <v>0</v>
      </c>
      <c r="G1255" t="str">
        <f>VLOOKUP(F1255,Carrier_Category!A:B,2,0)</f>
        <v>Commuter</v>
      </c>
      <c r="H1255" s="5">
        <v>35</v>
      </c>
      <c r="I1255" s="7">
        <f t="shared" si="61"/>
        <v>31</v>
      </c>
      <c r="J1255" s="5">
        <v>1265</v>
      </c>
      <c r="K1255" s="18">
        <f t="shared" si="60"/>
        <v>36.142857142857146</v>
      </c>
    </row>
    <row r="1256" spans="1:11" x14ac:dyDescent="0.3">
      <c r="A1256" s="14">
        <v>2023</v>
      </c>
      <c r="B1256" s="14">
        <f t="shared" si="59"/>
        <v>10</v>
      </c>
      <c r="C1256" s="9">
        <v>44991</v>
      </c>
      <c r="D1256" s="9">
        <v>44995</v>
      </c>
      <c r="E1256" s="14">
        <f>VLOOKUP(F1256,CarrierID!A:B,2,0)</f>
        <v>5</v>
      </c>
      <c r="F1256" s="15" t="s">
        <v>1</v>
      </c>
      <c r="G1256" t="str">
        <f>VLOOKUP(F1256,Carrier_Category!A:B,2,0)</f>
        <v>Intercity</v>
      </c>
      <c r="H1256" s="5">
        <v>48</v>
      </c>
      <c r="I1256" s="7">
        <f t="shared" si="61"/>
        <v>44</v>
      </c>
      <c r="J1256" s="5">
        <v>540</v>
      </c>
      <c r="K1256" s="18">
        <f t="shared" si="60"/>
        <v>11.25</v>
      </c>
    </row>
    <row r="1257" spans="1:11" x14ac:dyDescent="0.3">
      <c r="A1257" s="14">
        <v>2023</v>
      </c>
      <c r="B1257" s="14">
        <f t="shared" si="59"/>
        <v>10</v>
      </c>
      <c r="C1257" s="9">
        <v>44991</v>
      </c>
      <c r="D1257" s="9">
        <v>44995</v>
      </c>
      <c r="E1257" s="14">
        <f>VLOOKUP(F1257,CarrierID!A:B,2,0)</f>
        <v>8</v>
      </c>
      <c r="F1257" s="15" t="s">
        <v>2</v>
      </c>
      <c r="G1257" t="str">
        <f>VLOOKUP(F1257,Carrier_Category!A:B,2,0)</f>
        <v>Commuter</v>
      </c>
      <c r="H1257" s="5">
        <v>19</v>
      </c>
      <c r="I1257" s="7">
        <f t="shared" si="61"/>
        <v>18</v>
      </c>
      <c r="J1257" s="5">
        <v>769</v>
      </c>
      <c r="K1257" s="18">
        <f t="shared" si="60"/>
        <v>40.473684210526315</v>
      </c>
    </row>
    <row r="1258" spans="1:11" x14ac:dyDescent="0.3">
      <c r="A1258" s="14">
        <v>2023</v>
      </c>
      <c r="B1258" s="14">
        <f t="shared" si="59"/>
        <v>10</v>
      </c>
      <c r="C1258" s="9">
        <v>44991</v>
      </c>
      <c r="D1258" s="9">
        <v>44995</v>
      </c>
      <c r="E1258" s="14">
        <f>VLOOKUP(F1258,CarrierID!A:B,2,0)</f>
        <v>9</v>
      </c>
      <c r="F1258" s="15" t="s">
        <v>3</v>
      </c>
      <c r="G1258" t="str">
        <f>VLOOKUP(F1258,Carrier_Category!A:B,2,0)</f>
        <v>NJT</v>
      </c>
      <c r="H1258" s="5">
        <v>2251</v>
      </c>
      <c r="I1258" s="7">
        <f t="shared" si="61"/>
        <v>2261</v>
      </c>
      <c r="J1258" s="5">
        <v>68545</v>
      </c>
      <c r="K1258" s="18">
        <f t="shared" si="60"/>
        <v>30.450910706352733</v>
      </c>
    </row>
    <row r="1259" spans="1:11" x14ac:dyDescent="0.3">
      <c r="A1259" s="14">
        <v>2023</v>
      </c>
      <c r="B1259" s="14">
        <f t="shared" si="59"/>
        <v>10</v>
      </c>
      <c r="C1259" s="9">
        <v>44991</v>
      </c>
      <c r="D1259" s="9">
        <v>44995</v>
      </c>
      <c r="E1259" s="14">
        <f>VLOOKUP(F1259,CarrierID!A:B,2,0)</f>
        <v>7</v>
      </c>
      <c r="F1259" s="15" t="s">
        <v>4</v>
      </c>
      <c r="G1259" t="str">
        <f>VLOOKUP(F1259,Carrier_Category!A:B,2,0)</f>
        <v>Commuter</v>
      </c>
      <c r="H1259" s="5">
        <v>29</v>
      </c>
      <c r="I1259" s="7">
        <f t="shared" si="61"/>
        <v>29</v>
      </c>
      <c r="J1259" s="5">
        <v>1279</v>
      </c>
      <c r="K1259" s="18">
        <f t="shared" si="60"/>
        <v>44.103448275862071</v>
      </c>
    </row>
    <row r="1260" spans="1:11" x14ac:dyDescent="0.3">
      <c r="A1260" s="14">
        <v>2023</v>
      </c>
      <c r="B1260" s="14">
        <f t="shared" si="59"/>
        <v>10</v>
      </c>
      <c r="C1260" s="9">
        <v>44991</v>
      </c>
      <c r="D1260" s="9">
        <v>44995</v>
      </c>
      <c r="E1260" s="14">
        <f>VLOOKUP(F1260,CarrierID!A:B,2,0)</f>
        <v>11</v>
      </c>
      <c r="F1260" s="15" t="s">
        <v>5</v>
      </c>
      <c r="G1260" t="str">
        <f>VLOOKUP(F1260,Carrier_Category!A:B,2,0)</f>
        <v>Intercity</v>
      </c>
      <c r="H1260" s="5">
        <v>22</v>
      </c>
      <c r="I1260" s="7">
        <f t="shared" si="61"/>
        <v>21</v>
      </c>
      <c r="J1260" s="5">
        <v>527</v>
      </c>
      <c r="K1260" s="18">
        <f t="shared" si="60"/>
        <v>23.954545454545453</v>
      </c>
    </row>
    <row r="1261" spans="1:11" x14ac:dyDescent="0.3">
      <c r="A1261" s="14">
        <v>2023</v>
      </c>
      <c r="B1261" s="14">
        <f t="shared" si="59"/>
        <v>10</v>
      </c>
      <c r="C1261" s="9">
        <v>44991</v>
      </c>
      <c r="D1261" s="9">
        <v>44995</v>
      </c>
      <c r="E1261" s="14">
        <f>VLOOKUP(F1261,CarrierID!A:B,2,0)</f>
        <v>3</v>
      </c>
      <c r="F1261" s="15" t="s">
        <v>6</v>
      </c>
      <c r="G1261" t="str">
        <f>VLOOKUP(F1261,Carrier_Category!A:B,2,0)</f>
        <v>Commuter</v>
      </c>
      <c r="H1261" s="5">
        <v>146</v>
      </c>
      <c r="I1261" s="7">
        <f t="shared" si="61"/>
        <v>142</v>
      </c>
      <c r="J1261" s="5">
        <v>5086</v>
      </c>
      <c r="K1261" s="18">
        <f t="shared" si="60"/>
        <v>34.835616438356162</v>
      </c>
    </row>
    <row r="1262" spans="1:11" x14ac:dyDescent="0.3">
      <c r="A1262" s="14">
        <v>2023</v>
      </c>
      <c r="B1262" s="14">
        <f t="shared" si="59"/>
        <v>10</v>
      </c>
      <c r="C1262" s="9">
        <v>44991</v>
      </c>
      <c r="D1262" s="9">
        <v>44995</v>
      </c>
      <c r="E1262" s="14">
        <f>VLOOKUP(F1262,CarrierID!A:B,2,0)</f>
        <v>12</v>
      </c>
      <c r="F1262" s="15" t="s">
        <v>25</v>
      </c>
      <c r="G1262" t="str">
        <f>VLOOKUP(F1262,Carrier_Category!A:B,2,0)</f>
        <v>Commuter</v>
      </c>
      <c r="H1262" s="5">
        <v>21</v>
      </c>
      <c r="I1262" s="7">
        <f t="shared" si="61"/>
        <v>20</v>
      </c>
      <c r="J1262" s="5">
        <v>667</v>
      </c>
      <c r="K1262" s="18">
        <f t="shared" si="60"/>
        <v>31.761904761904763</v>
      </c>
    </row>
    <row r="1263" spans="1:11" x14ac:dyDescent="0.3">
      <c r="A1263" s="14">
        <v>2023</v>
      </c>
      <c r="B1263" s="14">
        <f t="shared" si="59"/>
        <v>10</v>
      </c>
      <c r="C1263" s="9">
        <v>44991</v>
      </c>
      <c r="D1263" s="9">
        <v>44995</v>
      </c>
      <c r="E1263" s="14">
        <f>VLOOKUP(F1263,CarrierID!A:B,2,0)</f>
        <v>10</v>
      </c>
      <c r="F1263" s="15" t="s">
        <v>8</v>
      </c>
      <c r="G1263" t="str">
        <f>VLOOKUP(F1263,Carrier_Category!A:B,2,0)</f>
        <v>Intercity</v>
      </c>
      <c r="H1263" s="5">
        <v>27</v>
      </c>
      <c r="I1263" s="7">
        <f t="shared" si="61"/>
        <v>26</v>
      </c>
      <c r="J1263" s="5">
        <v>838</v>
      </c>
      <c r="K1263" s="18">
        <f t="shared" si="60"/>
        <v>31.037037037037038</v>
      </c>
    </row>
    <row r="1264" spans="1:11" x14ac:dyDescent="0.3">
      <c r="A1264" s="14">
        <v>2023</v>
      </c>
      <c r="B1264" s="14">
        <f t="shared" si="59"/>
        <v>10</v>
      </c>
      <c r="C1264" s="9">
        <v>44991</v>
      </c>
      <c r="D1264" s="9">
        <v>44995</v>
      </c>
      <c r="E1264" s="14">
        <f>VLOOKUP(F1264,CarrierID!A:B,2,0)</f>
        <v>4</v>
      </c>
      <c r="F1264" s="15" t="s">
        <v>24</v>
      </c>
      <c r="G1264" t="str">
        <f>VLOOKUP(F1264,Carrier_Category!A:B,2,0)</f>
        <v>Commuter</v>
      </c>
      <c r="H1264" s="5">
        <v>38</v>
      </c>
      <c r="I1264" s="7">
        <f t="shared" si="61"/>
        <v>38</v>
      </c>
      <c r="J1264" s="5">
        <v>686</v>
      </c>
      <c r="K1264" s="18">
        <f t="shared" si="60"/>
        <v>18.05263157894737</v>
      </c>
    </row>
    <row r="1265" spans="1:11" x14ac:dyDescent="0.3">
      <c r="A1265" s="14">
        <v>2023</v>
      </c>
      <c r="B1265" s="14">
        <f t="shared" si="59"/>
        <v>10</v>
      </c>
      <c r="C1265" s="9">
        <v>44991</v>
      </c>
      <c r="D1265" s="9">
        <v>44995</v>
      </c>
      <c r="E1265" s="14">
        <f>VLOOKUP(F1265,CarrierID!A:B,2,0)</f>
        <v>6</v>
      </c>
      <c r="F1265" s="15" t="s">
        <v>9</v>
      </c>
      <c r="G1265" t="str">
        <f>VLOOKUP(F1265,Carrier_Category!A:B,2,0)</f>
        <v>Commuter</v>
      </c>
      <c r="H1265" s="5">
        <v>84</v>
      </c>
      <c r="I1265" s="7">
        <f t="shared" si="61"/>
        <v>82</v>
      </c>
      <c r="J1265" s="5">
        <v>1530</v>
      </c>
      <c r="K1265" s="18">
        <f t="shared" si="60"/>
        <v>18.214285714285715</v>
      </c>
    </row>
    <row r="1266" spans="1:11" x14ac:dyDescent="0.3">
      <c r="A1266" s="14">
        <v>2023</v>
      </c>
      <c r="B1266" s="14">
        <f t="shared" si="59"/>
        <v>11</v>
      </c>
      <c r="C1266" s="9">
        <v>44998</v>
      </c>
      <c r="D1266" s="9">
        <v>45002</v>
      </c>
      <c r="E1266" s="14">
        <f>VLOOKUP(F1266,CarrierID!A:B,2,0)</f>
        <v>1</v>
      </c>
      <c r="F1266" s="15" t="s">
        <v>0</v>
      </c>
      <c r="G1266" t="str">
        <f>VLOOKUP(F1266,Carrier_Category!A:B,2,0)</f>
        <v>Commuter</v>
      </c>
      <c r="H1266" s="5">
        <v>35</v>
      </c>
      <c r="I1266" s="7">
        <f t="shared" si="61"/>
        <v>35</v>
      </c>
      <c r="J1266" s="5">
        <v>1229</v>
      </c>
      <c r="K1266" s="18">
        <f t="shared" si="60"/>
        <v>35.114285714285714</v>
      </c>
    </row>
    <row r="1267" spans="1:11" x14ac:dyDescent="0.3">
      <c r="A1267" s="14">
        <v>2023</v>
      </c>
      <c r="B1267" s="14">
        <f t="shared" si="59"/>
        <v>11</v>
      </c>
      <c r="C1267" s="9">
        <v>44998</v>
      </c>
      <c r="D1267" s="9">
        <v>45002</v>
      </c>
      <c r="E1267" s="14">
        <f>VLOOKUP(F1267,CarrierID!A:B,2,0)</f>
        <v>5</v>
      </c>
      <c r="F1267" s="15" t="s">
        <v>1</v>
      </c>
      <c r="G1267" t="str">
        <f>VLOOKUP(F1267,Carrier_Category!A:B,2,0)</f>
        <v>Intercity</v>
      </c>
      <c r="H1267" s="5">
        <v>43</v>
      </c>
      <c r="I1267" s="7">
        <f t="shared" si="61"/>
        <v>48</v>
      </c>
      <c r="J1267" s="5">
        <v>722</v>
      </c>
      <c r="K1267" s="18">
        <f t="shared" si="60"/>
        <v>16.790697674418606</v>
      </c>
    </row>
    <row r="1268" spans="1:11" x14ac:dyDescent="0.3">
      <c r="A1268" s="14">
        <v>2023</v>
      </c>
      <c r="B1268" s="14">
        <f t="shared" si="59"/>
        <v>11</v>
      </c>
      <c r="C1268" s="9">
        <v>44998</v>
      </c>
      <c r="D1268" s="9">
        <v>45002</v>
      </c>
      <c r="E1268" s="14">
        <f>VLOOKUP(F1268,CarrierID!A:B,2,0)</f>
        <v>8</v>
      </c>
      <c r="F1268" s="15" t="s">
        <v>2</v>
      </c>
      <c r="G1268" t="str">
        <f>VLOOKUP(F1268,Carrier_Category!A:B,2,0)</f>
        <v>Commuter</v>
      </c>
      <c r="H1268" s="5">
        <v>17</v>
      </c>
      <c r="I1268" s="7">
        <f t="shared" si="61"/>
        <v>19</v>
      </c>
      <c r="J1268" s="5">
        <v>713</v>
      </c>
      <c r="K1268" s="18">
        <f t="shared" si="60"/>
        <v>41.941176470588232</v>
      </c>
    </row>
    <row r="1269" spans="1:11" x14ac:dyDescent="0.3">
      <c r="A1269" s="14">
        <v>2023</v>
      </c>
      <c r="B1269" s="14">
        <f t="shared" si="59"/>
        <v>11</v>
      </c>
      <c r="C1269" s="9">
        <v>44998</v>
      </c>
      <c r="D1269" s="9">
        <v>45002</v>
      </c>
      <c r="E1269" s="14">
        <f>VLOOKUP(F1269,CarrierID!A:B,2,0)</f>
        <v>9</v>
      </c>
      <c r="F1269" s="15" t="s">
        <v>3</v>
      </c>
      <c r="G1269" t="str">
        <f>VLOOKUP(F1269,Carrier_Category!A:B,2,0)</f>
        <v>NJT</v>
      </c>
      <c r="H1269" s="5">
        <v>2257</v>
      </c>
      <c r="I1269" s="7">
        <f t="shared" si="61"/>
        <v>2251</v>
      </c>
      <c r="J1269" s="5">
        <v>70286</v>
      </c>
      <c r="K1269" s="18">
        <f t="shared" si="60"/>
        <v>31.141338059370845</v>
      </c>
    </row>
    <row r="1270" spans="1:11" x14ac:dyDescent="0.3">
      <c r="A1270" s="14">
        <v>2023</v>
      </c>
      <c r="B1270" s="14">
        <f t="shared" si="59"/>
        <v>11</v>
      </c>
      <c r="C1270" s="9">
        <v>44998</v>
      </c>
      <c r="D1270" s="9">
        <v>45002</v>
      </c>
      <c r="E1270" s="14">
        <f>VLOOKUP(F1270,CarrierID!A:B,2,0)</f>
        <v>7</v>
      </c>
      <c r="F1270" s="15" t="s">
        <v>4</v>
      </c>
      <c r="G1270" t="str">
        <f>VLOOKUP(F1270,Carrier_Category!A:B,2,0)</f>
        <v>Commuter</v>
      </c>
      <c r="H1270" s="5">
        <v>28</v>
      </c>
      <c r="I1270" s="7">
        <f t="shared" si="61"/>
        <v>29</v>
      </c>
      <c r="J1270" s="5">
        <v>1202</v>
      </c>
      <c r="K1270" s="18">
        <f t="shared" si="60"/>
        <v>42.928571428571431</v>
      </c>
    </row>
    <row r="1271" spans="1:11" x14ac:dyDescent="0.3">
      <c r="A1271" s="14">
        <v>2023</v>
      </c>
      <c r="B1271" s="14">
        <f t="shared" si="59"/>
        <v>11</v>
      </c>
      <c r="C1271" s="9">
        <v>44998</v>
      </c>
      <c r="D1271" s="9">
        <v>45002</v>
      </c>
      <c r="E1271" s="14">
        <f>VLOOKUP(F1271,CarrierID!A:B,2,0)</f>
        <v>11</v>
      </c>
      <c r="F1271" s="15" t="s">
        <v>5</v>
      </c>
      <c r="G1271" t="str">
        <f>VLOOKUP(F1271,Carrier_Category!A:B,2,0)</f>
        <v>Intercity</v>
      </c>
      <c r="H1271" s="5">
        <v>17</v>
      </c>
      <c r="I1271" s="7">
        <f t="shared" si="61"/>
        <v>22</v>
      </c>
      <c r="J1271" s="5">
        <v>391</v>
      </c>
      <c r="K1271" s="18">
        <f t="shared" si="60"/>
        <v>23</v>
      </c>
    </row>
    <row r="1272" spans="1:11" x14ac:dyDescent="0.3">
      <c r="A1272" s="14">
        <v>2023</v>
      </c>
      <c r="B1272" s="14">
        <f t="shared" si="59"/>
        <v>11</v>
      </c>
      <c r="C1272" s="9">
        <v>44998</v>
      </c>
      <c r="D1272" s="9">
        <v>45002</v>
      </c>
      <c r="E1272" s="14">
        <f>VLOOKUP(F1272,CarrierID!A:B,2,0)</f>
        <v>3</v>
      </c>
      <c r="F1272" s="15" t="s">
        <v>6</v>
      </c>
      <c r="G1272" t="str">
        <f>VLOOKUP(F1272,Carrier_Category!A:B,2,0)</f>
        <v>Commuter</v>
      </c>
      <c r="H1272" s="5">
        <v>146</v>
      </c>
      <c r="I1272" s="7">
        <f t="shared" si="61"/>
        <v>146</v>
      </c>
      <c r="J1272" s="5">
        <v>5086</v>
      </c>
      <c r="K1272" s="18">
        <f t="shared" si="60"/>
        <v>34.835616438356162</v>
      </c>
    </row>
    <row r="1273" spans="1:11" x14ac:dyDescent="0.3">
      <c r="A1273" s="14">
        <v>2023</v>
      </c>
      <c r="B1273" s="14">
        <f t="shared" si="59"/>
        <v>11</v>
      </c>
      <c r="C1273" s="9">
        <v>44998</v>
      </c>
      <c r="D1273" s="9">
        <v>45002</v>
      </c>
      <c r="E1273" s="14">
        <f>VLOOKUP(F1273,CarrierID!A:B,2,0)</f>
        <v>12</v>
      </c>
      <c r="F1273" s="15" t="s">
        <v>25</v>
      </c>
      <c r="G1273" t="str">
        <f>VLOOKUP(F1273,Carrier_Category!A:B,2,0)</f>
        <v>Commuter</v>
      </c>
      <c r="H1273" s="5">
        <v>21</v>
      </c>
      <c r="I1273" s="7">
        <f t="shared" si="61"/>
        <v>21</v>
      </c>
      <c r="J1273" s="5">
        <v>651</v>
      </c>
      <c r="K1273" s="18">
        <f t="shared" si="60"/>
        <v>31</v>
      </c>
    </row>
    <row r="1274" spans="1:11" x14ac:dyDescent="0.3">
      <c r="A1274" s="14">
        <v>2023</v>
      </c>
      <c r="B1274" s="14">
        <f t="shared" si="59"/>
        <v>11</v>
      </c>
      <c r="C1274" s="9">
        <v>44998</v>
      </c>
      <c r="D1274" s="9">
        <v>45002</v>
      </c>
      <c r="E1274" s="14">
        <f>VLOOKUP(F1274,CarrierID!A:B,2,0)</f>
        <v>10</v>
      </c>
      <c r="F1274" s="15" t="s">
        <v>8</v>
      </c>
      <c r="G1274" t="str">
        <f>VLOOKUP(F1274,Carrier_Category!A:B,2,0)</f>
        <v>Intercity</v>
      </c>
      <c r="H1274" s="5">
        <v>27</v>
      </c>
      <c r="I1274" s="7">
        <f t="shared" si="61"/>
        <v>27</v>
      </c>
      <c r="J1274" s="5">
        <v>838</v>
      </c>
      <c r="K1274" s="18">
        <f t="shared" si="60"/>
        <v>31.037037037037038</v>
      </c>
    </row>
    <row r="1275" spans="1:11" x14ac:dyDescent="0.3">
      <c r="A1275" s="14">
        <v>2023</v>
      </c>
      <c r="B1275" s="14">
        <f t="shared" si="59"/>
        <v>11</v>
      </c>
      <c r="C1275" s="9">
        <v>44998</v>
      </c>
      <c r="D1275" s="9">
        <v>45002</v>
      </c>
      <c r="E1275" s="14">
        <f>VLOOKUP(F1275,CarrierID!A:B,2,0)</f>
        <v>4</v>
      </c>
      <c r="F1275" s="15" t="s">
        <v>24</v>
      </c>
      <c r="G1275" t="str">
        <f>VLOOKUP(F1275,Carrier_Category!A:B,2,0)</f>
        <v>Commuter</v>
      </c>
      <c r="H1275" s="5">
        <v>39</v>
      </c>
      <c r="I1275" s="7">
        <f t="shared" si="61"/>
        <v>38</v>
      </c>
      <c r="J1275" s="5">
        <v>664</v>
      </c>
      <c r="K1275" s="18">
        <f t="shared" si="60"/>
        <v>17.025641025641026</v>
      </c>
    </row>
    <row r="1276" spans="1:11" x14ac:dyDescent="0.3">
      <c r="A1276" s="14">
        <v>2023</v>
      </c>
      <c r="B1276" s="14">
        <f t="shared" si="59"/>
        <v>11</v>
      </c>
      <c r="C1276" s="9">
        <v>44998</v>
      </c>
      <c r="D1276" s="9">
        <v>45002</v>
      </c>
      <c r="E1276" s="14">
        <f>VLOOKUP(F1276,CarrierID!A:B,2,0)</f>
        <v>6</v>
      </c>
      <c r="F1276" s="15" t="s">
        <v>9</v>
      </c>
      <c r="G1276" t="str">
        <f>VLOOKUP(F1276,Carrier_Category!A:B,2,0)</f>
        <v>Commuter</v>
      </c>
      <c r="H1276" s="5">
        <v>85</v>
      </c>
      <c r="I1276" s="7">
        <f t="shared" si="61"/>
        <v>84</v>
      </c>
      <c r="J1276" s="5">
        <v>1487</v>
      </c>
      <c r="K1276" s="18">
        <f t="shared" si="60"/>
        <v>17.494117647058822</v>
      </c>
    </row>
    <row r="1277" spans="1:11" x14ac:dyDescent="0.3">
      <c r="A1277" s="14">
        <v>2023</v>
      </c>
      <c r="B1277" s="14">
        <f t="shared" si="59"/>
        <v>12</v>
      </c>
      <c r="C1277" s="9">
        <v>45005</v>
      </c>
      <c r="D1277" s="9">
        <v>45009</v>
      </c>
      <c r="E1277" s="14">
        <f>VLOOKUP(F1277,CarrierID!A:B,2,0)</f>
        <v>1</v>
      </c>
      <c r="F1277" s="15" t="s">
        <v>0</v>
      </c>
      <c r="G1277" t="str">
        <f>VLOOKUP(F1277,Carrier_Category!A:B,2,0)</f>
        <v>Commuter</v>
      </c>
      <c r="H1277" s="5">
        <v>35</v>
      </c>
      <c r="I1277" s="7">
        <f t="shared" si="61"/>
        <v>35</v>
      </c>
      <c r="J1277" s="5">
        <v>1277</v>
      </c>
      <c r="K1277" s="18">
        <f t="shared" si="60"/>
        <v>36.485714285714288</v>
      </c>
    </row>
    <row r="1278" spans="1:11" x14ac:dyDescent="0.3">
      <c r="A1278" s="14">
        <v>2023</v>
      </c>
      <c r="B1278" s="14">
        <f t="shared" si="59"/>
        <v>12</v>
      </c>
      <c r="C1278" s="9">
        <v>45005</v>
      </c>
      <c r="D1278" s="9">
        <v>45009</v>
      </c>
      <c r="E1278" s="14">
        <f>VLOOKUP(F1278,CarrierID!A:B,2,0)</f>
        <v>5</v>
      </c>
      <c r="F1278" s="15" t="s">
        <v>1</v>
      </c>
      <c r="G1278" t="str">
        <f>VLOOKUP(F1278,Carrier_Category!A:B,2,0)</f>
        <v>Intercity</v>
      </c>
      <c r="H1278" s="5">
        <v>50</v>
      </c>
      <c r="I1278" s="7">
        <f t="shared" si="61"/>
        <v>43</v>
      </c>
      <c r="J1278" s="5">
        <v>1455</v>
      </c>
      <c r="K1278" s="18">
        <f t="shared" si="60"/>
        <v>29.1</v>
      </c>
    </row>
    <row r="1279" spans="1:11" x14ac:dyDescent="0.3">
      <c r="A1279" s="14">
        <v>2023</v>
      </c>
      <c r="B1279" s="14">
        <f t="shared" si="59"/>
        <v>12</v>
      </c>
      <c r="C1279" s="9">
        <v>45005</v>
      </c>
      <c r="D1279" s="9">
        <v>45009</v>
      </c>
      <c r="E1279" s="14">
        <f>VLOOKUP(F1279,CarrierID!A:B,2,0)</f>
        <v>8</v>
      </c>
      <c r="F1279" s="15" t="s">
        <v>2</v>
      </c>
      <c r="G1279" t="str">
        <f>VLOOKUP(F1279,Carrier_Category!A:B,2,0)</f>
        <v>Commuter</v>
      </c>
      <c r="H1279" s="5">
        <v>20</v>
      </c>
      <c r="I1279" s="7">
        <f t="shared" si="61"/>
        <v>17</v>
      </c>
      <c r="J1279" s="5">
        <v>795</v>
      </c>
      <c r="K1279" s="18">
        <f t="shared" si="60"/>
        <v>39.75</v>
      </c>
    </row>
    <row r="1280" spans="1:11" x14ac:dyDescent="0.3">
      <c r="A1280" s="14">
        <v>2023</v>
      </c>
      <c r="B1280" s="14">
        <f t="shared" si="59"/>
        <v>12</v>
      </c>
      <c r="C1280" s="9">
        <v>45005</v>
      </c>
      <c r="D1280" s="9">
        <v>45009</v>
      </c>
      <c r="E1280" s="14">
        <f>VLOOKUP(F1280,CarrierID!A:B,2,0)</f>
        <v>9</v>
      </c>
      <c r="F1280" s="15" t="s">
        <v>3</v>
      </c>
      <c r="G1280" t="str">
        <f>VLOOKUP(F1280,Carrier_Category!A:B,2,0)</f>
        <v>NJT</v>
      </c>
      <c r="H1280" s="5">
        <v>2256</v>
      </c>
      <c r="I1280" s="7">
        <f t="shared" si="61"/>
        <v>2257</v>
      </c>
      <c r="J1280" s="5">
        <v>69924</v>
      </c>
      <c r="K1280" s="18">
        <f t="shared" si="60"/>
        <v>30.99468085106383</v>
      </c>
    </row>
    <row r="1281" spans="1:11" x14ac:dyDescent="0.3">
      <c r="A1281" s="14">
        <v>2023</v>
      </c>
      <c r="B1281" s="14">
        <f t="shared" si="59"/>
        <v>12</v>
      </c>
      <c r="C1281" s="9">
        <v>45005</v>
      </c>
      <c r="D1281" s="9">
        <v>45009</v>
      </c>
      <c r="E1281" s="14">
        <f>VLOOKUP(F1281,CarrierID!A:B,2,0)</f>
        <v>7</v>
      </c>
      <c r="F1281" s="15" t="s">
        <v>4</v>
      </c>
      <c r="G1281" t="str">
        <f>VLOOKUP(F1281,Carrier_Category!A:B,2,0)</f>
        <v>Commuter</v>
      </c>
      <c r="H1281" s="5">
        <v>29</v>
      </c>
      <c r="I1281" s="7">
        <f t="shared" si="61"/>
        <v>28</v>
      </c>
      <c r="J1281" s="5">
        <v>1303</v>
      </c>
      <c r="K1281" s="18">
        <f t="shared" si="60"/>
        <v>44.931034482758619</v>
      </c>
    </row>
    <row r="1282" spans="1:11" x14ac:dyDescent="0.3">
      <c r="A1282" s="14">
        <v>2023</v>
      </c>
      <c r="B1282" s="14">
        <f t="shared" si="59"/>
        <v>12</v>
      </c>
      <c r="C1282" s="9">
        <v>45005</v>
      </c>
      <c r="D1282" s="9">
        <v>45009</v>
      </c>
      <c r="E1282" s="14">
        <f>VLOOKUP(F1282,CarrierID!A:B,2,0)</f>
        <v>11</v>
      </c>
      <c r="F1282" s="15" t="s">
        <v>5</v>
      </c>
      <c r="G1282" t="str">
        <f>VLOOKUP(F1282,Carrier_Category!A:B,2,0)</f>
        <v>Intercity</v>
      </c>
      <c r="H1282" s="5">
        <v>22</v>
      </c>
      <c r="I1282" s="7">
        <f t="shared" si="61"/>
        <v>17</v>
      </c>
      <c r="J1282" s="5">
        <v>534</v>
      </c>
      <c r="K1282" s="18">
        <f t="shared" si="60"/>
        <v>24.272727272727273</v>
      </c>
    </row>
    <row r="1283" spans="1:11" x14ac:dyDescent="0.3">
      <c r="A1283" s="14">
        <v>2023</v>
      </c>
      <c r="B1283" s="14">
        <f t="shared" si="59"/>
        <v>12</v>
      </c>
      <c r="C1283" s="9">
        <v>45005</v>
      </c>
      <c r="D1283" s="9">
        <v>45009</v>
      </c>
      <c r="E1283" s="14">
        <f>VLOOKUP(F1283,CarrierID!A:B,2,0)</f>
        <v>3</v>
      </c>
      <c r="F1283" s="15" t="s">
        <v>6</v>
      </c>
      <c r="G1283" t="str">
        <f>VLOOKUP(F1283,Carrier_Category!A:B,2,0)</f>
        <v>Commuter</v>
      </c>
      <c r="H1283" s="5">
        <v>147</v>
      </c>
      <c r="I1283" s="7">
        <f t="shared" si="61"/>
        <v>146</v>
      </c>
      <c r="J1283" s="5">
        <v>5123</v>
      </c>
      <c r="K1283" s="18">
        <f t="shared" si="60"/>
        <v>34.85034013605442</v>
      </c>
    </row>
    <row r="1284" spans="1:11" x14ac:dyDescent="0.3">
      <c r="A1284" s="14">
        <v>2023</v>
      </c>
      <c r="B1284" s="14">
        <f t="shared" si="59"/>
        <v>12</v>
      </c>
      <c r="C1284" s="9">
        <v>45005</v>
      </c>
      <c r="D1284" s="9">
        <v>45009</v>
      </c>
      <c r="E1284" s="14">
        <f>VLOOKUP(F1284,CarrierID!A:B,2,0)</f>
        <v>12</v>
      </c>
      <c r="F1284" s="15" t="s">
        <v>25</v>
      </c>
      <c r="G1284" t="str">
        <f>VLOOKUP(F1284,Carrier_Category!A:B,2,0)</f>
        <v>Commuter</v>
      </c>
      <c r="H1284" s="5">
        <v>21</v>
      </c>
      <c r="I1284" s="7">
        <f t="shared" si="61"/>
        <v>21</v>
      </c>
      <c r="J1284" s="5">
        <v>662</v>
      </c>
      <c r="K1284" s="18">
        <f t="shared" si="60"/>
        <v>31.523809523809526</v>
      </c>
    </row>
    <row r="1285" spans="1:11" x14ac:dyDescent="0.3">
      <c r="A1285" s="14">
        <v>2023</v>
      </c>
      <c r="B1285" s="14">
        <f t="shared" ref="B1285:B1348" si="62">_xlfn.ISOWEEKNUM(C1285)</f>
        <v>12</v>
      </c>
      <c r="C1285" s="9">
        <v>45005</v>
      </c>
      <c r="D1285" s="9">
        <v>45009</v>
      </c>
      <c r="E1285" s="14">
        <f>VLOOKUP(F1285,CarrierID!A:B,2,0)</f>
        <v>10</v>
      </c>
      <c r="F1285" s="15" t="s">
        <v>8</v>
      </c>
      <c r="G1285" t="str">
        <f>VLOOKUP(F1285,Carrier_Category!A:B,2,0)</f>
        <v>Intercity</v>
      </c>
      <c r="H1285" s="5">
        <v>27</v>
      </c>
      <c r="I1285" s="7">
        <f t="shared" si="61"/>
        <v>27</v>
      </c>
      <c r="J1285" s="5">
        <v>838</v>
      </c>
      <c r="K1285" s="18">
        <f t="shared" ref="K1285:K1348" si="63">J1285/H1285</f>
        <v>31.037037037037038</v>
      </c>
    </row>
    <row r="1286" spans="1:11" x14ac:dyDescent="0.3">
      <c r="A1286" s="14">
        <v>2023</v>
      </c>
      <c r="B1286" s="14">
        <f t="shared" si="62"/>
        <v>12</v>
      </c>
      <c r="C1286" s="9">
        <v>45005</v>
      </c>
      <c r="D1286" s="9">
        <v>45009</v>
      </c>
      <c r="E1286" s="14">
        <f>VLOOKUP(F1286,CarrierID!A:B,2,0)</f>
        <v>4</v>
      </c>
      <c r="F1286" s="15" t="s">
        <v>24</v>
      </c>
      <c r="G1286" t="str">
        <f>VLOOKUP(F1286,Carrier_Category!A:B,2,0)</f>
        <v>Commuter</v>
      </c>
      <c r="H1286" s="5">
        <v>38</v>
      </c>
      <c r="I1286" s="7">
        <f t="shared" si="61"/>
        <v>39</v>
      </c>
      <c r="J1286" s="5">
        <v>674</v>
      </c>
      <c r="K1286" s="18">
        <f t="shared" si="63"/>
        <v>17.736842105263158</v>
      </c>
    </row>
    <row r="1287" spans="1:11" x14ac:dyDescent="0.3">
      <c r="A1287" s="14">
        <v>2023</v>
      </c>
      <c r="B1287" s="14">
        <f t="shared" si="62"/>
        <v>12</v>
      </c>
      <c r="C1287" s="9">
        <v>45005</v>
      </c>
      <c r="D1287" s="9">
        <v>45009</v>
      </c>
      <c r="E1287" s="14">
        <f>VLOOKUP(F1287,CarrierID!A:B,2,0)</f>
        <v>6</v>
      </c>
      <c r="F1287" s="15" t="s">
        <v>9</v>
      </c>
      <c r="G1287" t="str">
        <f>VLOOKUP(F1287,Carrier_Category!A:B,2,0)</f>
        <v>Commuter</v>
      </c>
      <c r="H1287" s="5">
        <v>85</v>
      </c>
      <c r="I1287" s="7">
        <f t="shared" si="61"/>
        <v>85</v>
      </c>
      <c r="J1287" s="5">
        <v>1534</v>
      </c>
      <c r="K1287" s="18">
        <f t="shared" si="63"/>
        <v>18.047058823529412</v>
      </c>
    </row>
    <row r="1288" spans="1:11" x14ac:dyDescent="0.3">
      <c r="A1288" s="14">
        <v>2023</v>
      </c>
      <c r="B1288" s="14">
        <f t="shared" si="62"/>
        <v>13</v>
      </c>
      <c r="C1288" s="9">
        <v>45012</v>
      </c>
      <c r="D1288" s="9">
        <v>45016</v>
      </c>
      <c r="E1288" s="14">
        <f>VLOOKUP(F1288,CarrierID!A:B,2,0)</f>
        <v>1</v>
      </c>
      <c r="F1288" s="15" t="s">
        <v>0</v>
      </c>
      <c r="G1288" t="str">
        <f>VLOOKUP(F1288,Carrier_Category!A:B,2,0)</f>
        <v>Commuter</v>
      </c>
      <c r="H1288" s="5">
        <v>35</v>
      </c>
      <c r="I1288" s="7">
        <f t="shared" si="61"/>
        <v>35</v>
      </c>
      <c r="J1288" s="5">
        <v>1277</v>
      </c>
      <c r="K1288" s="18">
        <f t="shared" si="63"/>
        <v>36.485714285714288</v>
      </c>
    </row>
    <row r="1289" spans="1:11" x14ac:dyDescent="0.3">
      <c r="A1289" s="14">
        <v>2023</v>
      </c>
      <c r="B1289" s="14">
        <f t="shared" si="62"/>
        <v>13</v>
      </c>
      <c r="C1289" s="9">
        <v>45012</v>
      </c>
      <c r="D1289" s="9">
        <v>45016</v>
      </c>
      <c r="E1289" s="14">
        <f>VLOOKUP(F1289,CarrierID!A:B,2,0)</f>
        <v>5</v>
      </c>
      <c r="F1289" s="15" t="s">
        <v>1</v>
      </c>
      <c r="G1289" t="str">
        <f>VLOOKUP(F1289,Carrier_Category!A:B,2,0)</f>
        <v>Intercity</v>
      </c>
      <c r="H1289" s="5">
        <v>50</v>
      </c>
      <c r="I1289" s="7">
        <f t="shared" si="61"/>
        <v>50</v>
      </c>
      <c r="J1289" s="5">
        <v>1253</v>
      </c>
      <c r="K1289" s="18">
        <f t="shared" si="63"/>
        <v>25.06</v>
      </c>
    </row>
    <row r="1290" spans="1:11" x14ac:dyDescent="0.3">
      <c r="A1290" s="14">
        <v>2023</v>
      </c>
      <c r="B1290" s="14">
        <f t="shared" si="62"/>
        <v>13</v>
      </c>
      <c r="C1290" s="9">
        <v>45012</v>
      </c>
      <c r="D1290" s="9">
        <v>45016</v>
      </c>
      <c r="E1290" s="14">
        <f>VLOOKUP(F1290,CarrierID!A:B,2,0)</f>
        <v>8</v>
      </c>
      <c r="F1290" s="15" t="s">
        <v>2</v>
      </c>
      <c r="G1290" t="str">
        <f>VLOOKUP(F1290,Carrier_Category!A:B,2,0)</f>
        <v>Commuter</v>
      </c>
      <c r="H1290" s="5">
        <v>20</v>
      </c>
      <c r="I1290" s="7">
        <f t="shared" si="61"/>
        <v>20</v>
      </c>
      <c r="J1290" s="5">
        <v>759</v>
      </c>
      <c r="K1290" s="18">
        <f t="shared" si="63"/>
        <v>37.950000000000003</v>
      </c>
    </row>
    <row r="1291" spans="1:11" x14ac:dyDescent="0.3">
      <c r="A1291" s="14">
        <v>2023</v>
      </c>
      <c r="B1291" s="14">
        <f t="shared" si="62"/>
        <v>13</v>
      </c>
      <c r="C1291" s="9">
        <v>45012</v>
      </c>
      <c r="D1291" s="9">
        <v>45016</v>
      </c>
      <c r="E1291" s="14">
        <f>VLOOKUP(F1291,CarrierID!A:B,2,0)</f>
        <v>9</v>
      </c>
      <c r="F1291" s="15" t="s">
        <v>3</v>
      </c>
      <c r="G1291" t="str">
        <f>VLOOKUP(F1291,Carrier_Category!A:B,2,0)</f>
        <v>NJT</v>
      </c>
      <c r="H1291" s="5">
        <v>2257</v>
      </c>
      <c r="I1291" s="7">
        <f t="shared" si="61"/>
        <v>2256</v>
      </c>
      <c r="J1291" s="5">
        <v>69952</v>
      </c>
      <c r="K1291" s="18">
        <f t="shared" si="63"/>
        <v>30.993354009747453</v>
      </c>
    </row>
    <row r="1292" spans="1:11" x14ac:dyDescent="0.3">
      <c r="A1292" s="14">
        <v>2023</v>
      </c>
      <c r="B1292" s="14">
        <f t="shared" si="62"/>
        <v>13</v>
      </c>
      <c r="C1292" s="9">
        <v>45012</v>
      </c>
      <c r="D1292" s="9">
        <v>45016</v>
      </c>
      <c r="E1292" s="14">
        <f>VLOOKUP(F1292,CarrierID!A:B,2,0)</f>
        <v>7</v>
      </c>
      <c r="F1292" s="15" t="s">
        <v>4</v>
      </c>
      <c r="G1292" t="str">
        <f>VLOOKUP(F1292,Carrier_Category!A:B,2,0)</f>
        <v>Commuter</v>
      </c>
      <c r="H1292" s="5">
        <v>29</v>
      </c>
      <c r="I1292" s="7">
        <f t="shared" si="61"/>
        <v>29</v>
      </c>
      <c r="J1292" s="5">
        <v>1258</v>
      </c>
      <c r="K1292" s="18">
        <f t="shared" si="63"/>
        <v>43.379310344827587</v>
      </c>
    </row>
    <row r="1293" spans="1:11" x14ac:dyDescent="0.3">
      <c r="A1293" s="14">
        <v>2023</v>
      </c>
      <c r="B1293" s="14">
        <f t="shared" si="62"/>
        <v>13</v>
      </c>
      <c r="C1293" s="9">
        <v>45012</v>
      </c>
      <c r="D1293" s="9">
        <v>45016</v>
      </c>
      <c r="E1293" s="14">
        <f>VLOOKUP(F1293,CarrierID!A:B,2,0)</f>
        <v>11</v>
      </c>
      <c r="F1293" s="15" t="s">
        <v>5</v>
      </c>
      <c r="G1293" t="str">
        <f>VLOOKUP(F1293,Carrier_Category!A:B,2,0)</f>
        <v>Intercity</v>
      </c>
      <c r="H1293" s="5">
        <v>21</v>
      </c>
      <c r="I1293" s="7">
        <f t="shared" ref="I1293:I1356" si="64">H1282</f>
        <v>22</v>
      </c>
      <c r="J1293" s="5">
        <v>391</v>
      </c>
      <c r="K1293" s="18">
        <f t="shared" si="63"/>
        <v>18.61904761904762</v>
      </c>
    </row>
    <row r="1294" spans="1:11" x14ac:dyDescent="0.3">
      <c r="A1294" s="14">
        <v>2023</v>
      </c>
      <c r="B1294" s="14">
        <f t="shared" si="62"/>
        <v>13</v>
      </c>
      <c r="C1294" s="9">
        <v>45012</v>
      </c>
      <c r="D1294" s="9">
        <v>45016</v>
      </c>
      <c r="E1294" s="14">
        <f>VLOOKUP(F1294,CarrierID!A:B,2,0)</f>
        <v>3</v>
      </c>
      <c r="F1294" s="15" t="s">
        <v>6</v>
      </c>
      <c r="G1294" t="str">
        <f>VLOOKUP(F1294,Carrier_Category!A:B,2,0)</f>
        <v>Commuter</v>
      </c>
      <c r="H1294" s="5">
        <v>147</v>
      </c>
      <c r="I1294" s="7">
        <f t="shared" si="64"/>
        <v>147</v>
      </c>
      <c r="J1294" s="5">
        <v>4981</v>
      </c>
      <c r="K1294" s="18">
        <f t="shared" si="63"/>
        <v>33.884353741496597</v>
      </c>
    </row>
    <row r="1295" spans="1:11" x14ac:dyDescent="0.3">
      <c r="A1295" s="14">
        <v>2023</v>
      </c>
      <c r="B1295" s="14">
        <f t="shared" si="62"/>
        <v>13</v>
      </c>
      <c r="C1295" s="9">
        <v>45012</v>
      </c>
      <c r="D1295" s="9">
        <v>45016</v>
      </c>
      <c r="E1295" s="14">
        <f>VLOOKUP(F1295,CarrierID!A:B,2,0)</f>
        <v>12</v>
      </c>
      <c r="F1295" s="15" t="s">
        <v>25</v>
      </c>
      <c r="G1295" t="str">
        <f>VLOOKUP(F1295,Carrier_Category!A:B,2,0)</f>
        <v>Commuter</v>
      </c>
      <c r="H1295" s="5">
        <v>21</v>
      </c>
      <c r="I1295" s="7">
        <f t="shared" si="64"/>
        <v>21</v>
      </c>
      <c r="J1295" s="5">
        <v>644</v>
      </c>
      <c r="K1295" s="18">
        <f t="shared" si="63"/>
        <v>30.666666666666668</v>
      </c>
    </row>
    <row r="1296" spans="1:11" x14ac:dyDescent="0.3">
      <c r="A1296" s="14">
        <v>2023</v>
      </c>
      <c r="B1296" s="14">
        <f t="shared" si="62"/>
        <v>13</v>
      </c>
      <c r="C1296" s="9">
        <v>45012</v>
      </c>
      <c r="D1296" s="9">
        <v>45016</v>
      </c>
      <c r="E1296" s="14">
        <f>VLOOKUP(F1296,CarrierID!A:B,2,0)</f>
        <v>10</v>
      </c>
      <c r="F1296" s="15" t="s">
        <v>8</v>
      </c>
      <c r="G1296" t="str">
        <f>VLOOKUP(F1296,Carrier_Category!A:B,2,0)</f>
        <v>Intercity</v>
      </c>
      <c r="H1296" s="5">
        <v>27</v>
      </c>
      <c r="I1296" s="7">
        <f t="shared" si="64"/>
        <v>27</v>
      </c>
      <c r="J1296" s="5">
        <v>838</v>
      </c>
      <c r="K1296" s="18">
        <f t="shared" si="63"/>
        <v>31.037037037037038</v>
      </c>
    </row>
    <row r="1297" spans="1:11" x14ac:dyDescent="0.3">
      <c r="A1297" s="14">
        <v>2023</v>
      </c>
      <c r="B1297" s="14">
        <f t="shared" si="62"/>
        <v>13</v>
      </c>
      <c r="C1297" s="9">
        <v>45012</v>
      </c>
      <c r="D1297" s="9">
        <v>45016</v>
      </c>
      <c r="E1297" s="14">
        <f>VLOOKUP(F1297,CarrierID!A:B,2,0)</f>
        <v>4</v>
      </c>
      <c r="F1297" s="15" t="s">
        <v>24</v>
      </c>
      <c r="G1297" t="str">
        <f>VLOOKUP(F1297,Carrier_Category!A:B,2,0)</f>
        <v>Commuter</v>
      </c>
      <c r="H1297" s="5">
        <v>38</v>
      </c>
      <c r="I1297" s="7">
        <f t="shared" si="64"/>
        <v>38</v>
      </c>
      <c r="J1297" s="5">
        <v>656</v>
      </c>
      <c r="K1297" s="18">
        <f t="shared" si="63"/>
        <v>17.263157894736842</v>
      </c>
    </row>
    <row r="1298" spans="1:11" x14ac:dyDescent="0.3">
      <c r="A1298" s="14">
        <v>2023</v>
      </c>
      <c r="B1298" s="14">
        <f t="shared" si="62"/>
        <v>13</v>
      </c>
      <c r="C1298" s="9">
        <v>45012</v>
      </c>
      <c r="D1298" s="9">
        <v>45016</v>
      </c>
      <c r="E1298" s="14">
        <f>VLOOKUP(F1298,CarrierID!A:B,2,0)</f>
        <v>6</v>
      </c>
      <c r="F1298" s="15" t="s">
        <v>9</v>
      </c>
      <c r="G1298" t="str">
        <f>VLOOKUP(F1298,Carrier_Category!A:B,2,0)</f>
        <v>Commuter</v>
      </c>
      <c r="H1298" s="5">
        <v>83</v>
      </c>
      <c r="I1298" s="7">
        <f t="shared" si="64"/>
        <v>85</v>
      </c>
      <c r="J1298" s="5">
        <v>1489</v>
      </c>
      <c r="K1298" s="18">
        <f t="shared" si="63"/>
        <v>17.939759036144579</v>
      </c>
    </row>
    <row r="1299" spans="1:11" x14ac:dyDescent="0.3">
      <c r="A1299" s="14">
        <v>2023</v>
      </c>
      <c r="B1299" s="14">
        <f t="shared" si="62"/>
        <v>14</v>
      </c>
      <c r="C1299" s="9">
        <v>45019</v>
      </c>
      <c r="D1299" s="9">
        <v>45023</v>
      </c>
      <c r="E1299" s="14">
        <f>VLOOKUP(F1299,CarrierID!A:B,2,0)</f>
        <v>1</v>
      </c>
      <c r="F1299" s="15" t="s">
        <v>0</v>
      </c>
      <c r="G1299" t="str">
        <f>VLOOKUP(F1299,Carrier_Category!A:B,2,0)</f>
        <v>Commuter</v>
      </c>
      <c r="H1299" s="5">
        <v>37</v>
      </c>
      <c r="I1299" s="7">
        <f t="shared" si="64"/>
        <v>35</v>
      </c>
      <c r="J1299" s="5">
        <v>1166</v>
      </c>
      <c r="K1299" s="18">
        <f t="shared" si="63"/>
        <v>31.513513513513512</v>
      </c>
    </row>
    <row r="1300" spans="1:11" x14ac:dyDescent="0.3">
      <c r="A1300" s="14">
        <v>2023</v>
      </c>
      <c r="B1300" s="14">
        <f t="shared" si="62"/>
        <v>14</v>
      </c>
      <c r="C1300" s="9">
        <v>45019</v>
      </c>
      <c r="D1300" s="9">
        <v>45023</v>
      </c>
      <c r="E1300" s="14">
        <f>VLOOKUP(F1300,CarrierID!A:B,2,0)</f>
        <v>5</v>
      </c>
      <c r="F1300" s="15" t="s">
        <v>1</v>
      </c>
      <c r="G1300" t="str">
        <f>VLOOKUP(F1300,Carrier_Category!A:B,2,0)</f>
        <v>Intercity</v>
      </c>
      <c r="H1300" s="5">
        <v>50</v>
      </c>
      <c r="I1300" s="7">
        <f t="shared" si="64"/>
        <v>50</v>
      </c>
      <c r="J1300" s="5">
        <v>1524</v>
      </c>
      <c r="K1300" s="18">
        <f t="shared" si="63"/>
        <v>30.48</v>
      </c>
    </row>
    <row r="1301" spans="1:11" x14ac:dyDescent="0.3">
      <c r="A1301" s="14">
        <v>2023</v>
      </c>
      <c r="B1301" s="14">
        <f t="shared" si="62"/>
        <v>14</v>
      </c>
      <c r="C1301" s="9">
        <v>45019</v>
      </c>
      <c r="D1301" s="9">
        <v>45023</v>
      </c>
      <c r="E1301" s="14">
        <f>VLOOKUP(F1301,CarrierID!A:B,2,0)</f>
        <v>8</v>
      </c>
      <c r="F1301" s="15" t="s">
        <v>2</v>
      </c>
      <c r="G1301" t="str">
        <f>VLOOKUP(F1301,Carrier_Category!A:B,2,0)</f>
        <v>Commuter</v>
      </c>
      <c r="H1301" s="5">
        <v>20</v>
      </c>
      <c r="I1301" s="7">
        <f t="shared" si="64"/>
        <v>20</v>
      </c>
      <c r="J1301" s="5">
        <v>776</v>
      </c>
      <c r="K1301" s="18">
        <f t="shared" si="63"/>
        <v>38.799999999999997</v>
      </c>
    </row>
    <row r="1302" spans="1:11" x14ac:dyDescent="0.3">
      <c r="A1302" s="14">
        <v>2023</v>
      </c>
      <c r="B1302" s="14">
        <f t="shared" si="62"/>
        <v>14</v>
      </c>
      <c r="C1302" s="9">
        <v>45019</v>
      </c>
      <c r="D1302" s="9">
        <v>45023</v>
      </c>
      <c r="E1302" s="14">
        <f>VLOOKUP(F1302,CarrierID!A:B,2,0)</f>
        <v>9</v>
      </c>
      <c r="F1302" s="15" t="s">
        <v>3</v>
      </c>
      <c r="G1302" t="str">
        <f>VLOOKUP(F1302,Carrier_Category!A:B,2,0)</f>
        <v>NJT</v>
      </c>
      <c r="H1302" s="5">
        <v>2262</v>
      </c>
      <c r="I1302" s="7">
        <f t="shared" si="64"/>
        <v>2257</v>
      </c>
      <c r="J1302" s="5">
        <v>69625</v>
      </c>
      <c r="K1302" s="18">
        <f t="shared" si="63"/>
        <v>30.78028293545535</v>
      </c>
    </row>
    <row r="1303" spans="1:11" x14ac:dyDescent="0.3">
      <c r="A1303" s="14">
        <v>2023</v>
      </c>
      <c r="B1303" s="14">
        <f t="shared" si="62"/>
        <v>14</v>
      </c>
      <c r="C1303" s="9">
        <v>45019</v>
      </c>
      <c r="D1303" s="9">
        <v>45023</v>
      </c>
      <c r="E1303" s="14">
        <f>VLOOKUP(F1303,CarrierID!A:B,2,0)</f>
        <v>7</v>
      </c>
      <c r="F1303" s="15" t="s">
        <v>4</v>
      </c>
      <c r="G1303" t="str">
        <f>VLOOKUP(F1303,Carrier_Category!A:B,2,0)</f>
        <v>Commuter</v>
      </c>
      <c r="H1303" s="5">
        <v>29</v>
      </c>
      <c r="I1303" s="7">
        <f t="shared" si="64"/>
        <v>29</v>
      </c>
      <c r="J1303" s="5">
        <v>1217</v>
      </c>
      <c r="K1303" s="18">
        <f t="shared" si="63"/>
        <v>41.96551724137931</v>
      </c>
    </row>
    <row r="1304" spans="1:11" x14ac:dyDescent="0.3">
      <c r="A1304" s="14">
        <v>2023</v>
      </c>
      <c r="B1304" s="14">
        <f t="shared" si="62"/>
        <v>14</v>
      </c>
      <c r="C1304" s="9">
        <v>45019</v>
      </c>
      <c r="D1304" s="9">
        <v>45023</v>
      </c>
      <c r="E1304" s="14">
        <f>VLOOKUP(F1304,CarrierID!A:B,2,0)</f>
        <v>11</v>
      </c>
      <c r="F1304" s="15" t="s">
        <v>5</v>
      </c>
      <c r="G1304" t="str">
        <f>VLOOKUP(F1304,Carrier_Category!A:B,2,0)</f>
        <v>Intercity</v>
      </c>
      <c r="H1304" s="5">
        <v>22</v>
      </c>
      <c r="I1304" s="7">
        <f t="shared" si="64"/>
        <v>21</v>
      </c>
      <c r="J1304" s="5">
        <v>464</v>
      </c>
      <c r="K1304" s="18">
        <f t="shared" si="63"/>
        <v>21.09090909090909</v>
      </c>
    </row>
    <row r="1305" spans="1:11" x14ac:dyDescent="0.3">
      <c r="A1305" s="14">
        <v>2023</v>
      </c>
      <c r="B1305" s="14">
        <f t="shared" si="62"/>
        <v>14</v>
      </c>
      <c r="C1305" s="9">
        <v>45019</v>
      </c>
      <c r="D1305" s="9">
        <v>45023</v>
      </c>
      <c r="E1305" s="14">
        <f>VLOOKUP(F1305,CarrierID!A:B,2,0)</f>
        <v>3</v>
      </c>
      <c r="F1305" s="15" t="s">
        <v>6</v>
      </c>
      <c r="G1305" t="str">
        <f>VLOOKUP(F1305,Carrier_Category!A:B,2,0)</f>
        <v>Commuter</v>
      </c>
      <c r="H1305" s="5">
        <v>147</v>
      </c>
      <c r="I1305" s="7">
        <f t="shared" si="64"/>
        <v>147</v>
      </c>
      <c r="J1305" s="5">
        <v>4535</v>
      </c>
      <c r="K1305" s="18">
        <f t="shared" si="63"/>
        <v>30.85034013605442</v>
      </c>
    </row>
    <row r="1306" spans="1:11" x14ac:dyDescent="0.3">
      <c r="A1306" s="14">
        <v>2023</v>
      </c>
      <c r="B1306" s="14">
        <f t="shared" si="62"/>
        <v>14</v>
      </c>
      <c r="C1306" s="9">
        <v>45019</v>
      </c>
      <c r="D1306" s="9">
        <v>45023</v>
      </c>
      <c r="E1306" s="14">
        <f>VLOOKUP(F1306,CarrierID!A:B,2,0)</f>
        <v>12</v>
      </c>
      <c r="F1306" s="15" t="s">
        <v>25</v>
      </c>
      <c r="G1306" t="str">
        <f>VLOOKUP(F1306,Carrier_Category!A:B,2,0)</f>
        <v>Commuter</v>
      </c>
      <c r="H1306" s="5">
        <v>21</v>
      </c>
      <c r="I1306" s="7">
        <f t="shared" si="64"/>
        <v>21</v>
      </c>
      <c r="J1306" s="5">
        <v>679</v>
      </c>
      <c r="K1306" s="18">
        <f t="shared" si="63"/>
        <v>32.333333333333336</v>
      </c>
    </row>
    <row r="1307" spans="1:11" x14ac:dyDescent="0.3">
      <c r="A1307" s="14">
        <v>2023</v>
      </c>
      <c r="B1307" s="14">
        <f t="shared" si="62"/>
        <v>14</v>
      </c>
      <c r="C1307" s="9">
        <v>45019</v>
      </c>
      <c r="D1307" s="9">
        <v>45023</v>
      </c>
      <c r="E1307" s="14">
        <f>VLOOKUP(F1307,CarrierID!A:B,2,0)</f>
        <v>10</v>
      </c>
      <c r="F1307" s="15" t="s">
        <v>8</v>
      </c>
      <c r="G1307" t="str">
        <f>VLOOKUP(F1307,Carrier_Category!A:B,2,0)</f>
        <v>Intercity</v>
      </c>
      <c r="H1307" s="5">
        <v>30</v>
      </c>
      <c r="I1307" s="7">
        <f t="shared" si="64"/>
        <v>27</v>
      </c>
      <c r="J1307" s="5">
        <v>1120</v>
      </c>
      <c r="K1307" s="18">
        <f t="shared" si="63"/>
        <v>37.333333333333336</v>
      </c>
    </row>
    <row r="1308" spans="1:11" x14ac:dyDescent="0.3">
      <c r="A1308" s="14">
        <v>2023</v>
      </c>
      <c r="B1308" s="14">
        <f t="shared" si="62"/>
        <v>14</v>
      </c>
      <c r="C1308" s="9">
        <v>45019</v>
      </c>
      <c r="D1308" s="9">
        <v>45023</v>
      </c>
      <c r="E1308" s="14">
        <f>VLOOKUP(F1308,CarrierID!A:B,2,0)</f>
        <v>6</v>
      </c>
      <c r="F1308" s="15" t="s">
        <v>9</v>
      </c>
      <c r="G1308" t="str">
        <f>VLOOKUP(F1308,Carrier_Category!A:B,2,0)</f>
        <v>Commuter</v>
      </c>
      <c r="H1308" s="5">
        <v>82</v>
      </c>
      <c r="I1308" s="7">
        <f t="shared" si="64"/>
        <v>38</v>
      </c>
      <c r="J1308" s="5">
        <v>1529</v>
      </c>
      <c r="K1308" s="18">
        <f t="shared" si="63"/>
        <v>18.646341463414632</v>
      </c>
    </row>
    <row r="1309" spans="1:11" x14ac:dyDescent="0.3">
      <c r="A1309" s="14">
        <v>2023</v>
      </c>
      <c r="B1309" s="14">
        <f t="shared" si="62"/>
        <v>15</v>
      </c>
      <c r="C1309" s="9">
        <v>45026</v>
      </c>
      <c r="D1309" s="9">
        <v>45030</v>
      </c>
      <c r="E1309" s="14">
        <f>VLOOKUP(F1309,CarrierID!A:B,2,0)</f>
        <v>1</v>
      </c>
      <c r="F1309" s="15" t="s">
        <v>0</v>
      </c>
      <c r="G1309" t="str">
        <f>VLOOKUP(F1309,Carrier_Category!A:B,2,0)</f>
        <v>Commuter</v>
      </c>
      <c r="H1309" s="5">
        <v>36</v>
      </c>
      <c r="I1309" s="7">
        <f t="shared" si="64"/>
        <v>83</v>
      </c>
      <c r="J1309" s="5">
        <v>1061</v>
      </c>
      <c r="K1309" s="18">
        <f t="shared" si="63"/>
        <v>29.472222222222221</v>
      </c>
    </row>
    <row r="1310" spans="1:11" x14ac:dyDescent="0.3">
      <c r="A1310" s="14">
        <v>2023</v>
      </c>
      <c r="B1310" s="14">
        <f t="shared" si="62"/>
        <v>15</v>
      </c>
      <c r="C1310" s="9">
        <v>45026</v>
      </c>
      <c r="D1310" s="9">
        <v>45030</v>
      </c>
      <c r="E1310" s="14">
        <f>VLOOKUP(F1310,CarrierID!A:B,2,0)</f>
        <v>5</v>
      </c>
      <c r="F1310" s="15" t="s">
        <v>1</v>
      </c>
      <c r="G1310" t="str">
        <f>VLOOKUP(F1310,Carrier_Category!A:B,2,0)</f>
        <v>Intercity</v>
      </c>
      <c r="H1310" s="5">
        <v>50</v>
      </c>
      <c r="I1310" s="7">
        <f t="shared" si="64"/>
        <v>37</v>
      </c>
      <c r="J1310" s="5">
        <v>1541</v>
      </c>
      <c r="K1310" s="18">
        <f t="shared" si="63"/>
        <v>30.82</v>
      </c>
    </row>
    <row r="1311" spans="1:11" x14ac:dyDescent="0.3">
      <c r="A1311" s="14">
        <v>2023</v>
      </c>
      <c r="B1311" s="14">
        <f t="shared" si="62"/>
        <v>15</v>
      </c>
      <c r="C1311" s="9">
        <v>45026</v>
      </c>
      <c r="D1311" s="9">
        <v>45030</v>
      </c>
      <c r="E1311" s="14">
        <f>VLOOKUP(F1311,CarrierID!A:B,2,0)</f>
        <v>8</v>
      </c>
      <c r="F1311" s="15" t="s">
        <v>2</v>
      </c>
      <c r="G1311" t="str">
        <f>VLOOKUP(F1311,Carrier_Category!A:B,2,0)</f>
        <v>Commuter</v>
      </c>
      <c r="H1311" s="5">
        <v>20</v>
      </c>
      <c r="I1311" s="7">
        <f t="shared" si="64"/>
        <v>50</v>
      </c>
      <c r="J1311" s="5">
        <v>759</v>
      </c>
      <c r="K1311" s="18">
        <f t="shared" si="63"/>
        <v>37.950000000000003</v>
      </c>
    </row>
    <row r="1312" spans="1:11" x14ac:dyDescent="0.3">
      <c r="A1312" s="14">
        <v>2023</v>
      </c>
      <c r="B1312" s="14">
        <f t="shared" si="62"/>
        <v>15</v>
      </c>
      <c r="C1312" s="9">
        <v>45026</v>
      </c>
      <c r="D1312" s="9">
        <v>45030</v>
      </c>
      <c r="E1312" s="14">
        <f>VLOOKUP(F1312,CarrierID!A:B,2,0)</f>
        <v>9</v>
      </c>
      <c r="F1312" s="15" t="s">
        <v>3</v>
      </c>
      <c r="G1312" t="str">
        <f>VLOOKUP(F1312,Carrier_Category!A:B,2,0)</f>
        <v>NJT</v>
      </c>
      <c r="H1312" s="5">
        <v>2314</v>
      </c>
      <c r="I1312" s="7">
        <f t="shared" si="64"/>
        <v>20</v>
      </c>
      <c r="J1312" s="5">
        <v>70034</v>
      </c>
      <c r="K1312" s="18">
        <f t="shared" si="63"/>
        <v>30.265341400172861</v>
      </c>
    </row>
    <row r="1313" spans="1:11" x14ac:dyDescent="0.3">
      <c r="A1313" s="14">
        <v>2023</v>
      </c>
      <c r="B1313" s="14">
        <f t="shared" si="62"/>
        <v>15</v>
      </c>
      <c r="C1313" s="9">
        <v>45026</v>
      </c>
      <c r="D1313" s="9">
        <v>45030</v>
      </c>
      <c r="E1313" s="14">
        <f>VLOOKUP(F1313,CarrierID!A:B,2,0)</f>
        <v>7</v>
      </c>
      <c r="F1313" s="15" t="s">
        <v>4</v>
      </c>
      <c r="G1313" t="str">
        <f>VLOOKUP(F1313,Carrier_Category!A:B,2,0)</f>
        <v>Commuter</v>
      </c>
      <c r="H1313" s="5">
        <v>29</v>
      </c>
      <c r="I1313" s="7">
        <f t="shared" si="64"/>
        <v>2262</v>
      </c>
      <c r="J1313" s="5">
        <v>1219</v>
      </c>
      <c r="K1313" s="18">
        <f t="shared" si="63"/>
        <v>42.03448275862069</v>
      </c>
    </row>
    <row r="1314" spans="1:11" x14ac:dyDescent="0.3">
      <c r="A1314" s="14">
        <v>2023</v>
      </c>
      <c r="B1314" s="14">
        <f t="shared" si="62"/>
        <v>15</v>
      </c>
      <c r="C1314" s="9">
        <v>45026</v>
      </c>
      <c r="D1314" s="9">
        <v>45030</v>
      </c>
      <c r="E1314" s="14">
        <f>VLOOKUP(F1314,CarrierID!A:B,2,0)</f>
        <v>11</v>
      </c>
      <c r="F1314" s="15" t="s">
        <v>5</v>
      </c>
      <c r="G1314" t="str">
        <f>VLOOKUP(F1314,Carrier_Category!A:B,2,0)</f>
        <v>Intercity</v>
      </c>
      <c r="H1314" s="5">
        <v>25</v>
      </c>
      <c r="I1314" s="7">
        <f t="shared" si="64"/>
        <v>29</v>
      </c>
      <c r="J1314" s="5">
        <v>676</v>
      </c>
      <c r="K1314" s="18">
        <f t="shared" si="63"/>
        <v>27.04</v>
      </c>
    </row>
    <row r="1315" spans="1:11" x14ac:dyDescent="0.3">
      <c r="A1315" s="14">
        <v>2023</v>
      </c>
      <c r="B1315" s="14">
        <f t="shared" si="62"/>
        <v>15</v>
      </c>
      <c r="C1315" s="9">
        <v>45026</v>
      </c>
      <c r="D1315" s="9">
        <v>45030</v>
      </c>
      <c r="E1315" s="14">
        <f>VLOOKUP(F1315,CarrierID!A:B,2,0)</f>
        <v>3</v>
      </c>
      <c r="F1315" s="15" t="s">
        <v>6</v>
      </c>
      <c r="G1315" t="str">
        <f>VLOOKUP(F1315,Carrier_Category!A:B,2,0)</f>
        <v>Commuter</v>
      </c>
      <c r="H1315" s="5">
        <v>147</v>
      </c>
      <c r="I1315" s="7">
        <f t="shared" si="64"/>
        <v>22</v>
      </c>
      <c r="J1315" s="5">
        <v>4535</v>
      </c>
      <c r="K1315" s="18">
        <f t="shared" si="63"/>
        <v>30.85034013605442</v>
      </c>
    </row>
    <row r="1316" spans="1:11" x14ac:dyDescent="0.3">
      <c r="A1316" s="14">
        <v>2023</v>
      </c>
      <c r="B1316" s="14">
        <f t="shared" si="62"/>
        <v>15</v>
      </c>
      <c r="C1316" s="9">
        <v>45026</v>
      </c>
      <c r="D1316" s="9">
        <v>45030</v>
      </c>
      <c r="E1316" s="14">
        <f>VLOOKUP(F1316,CarrierID!A:B,2,0)</f>
        <v>12</v>
      </c>
      <c r="F1316" s="15" t="s">
        <v>25</v>
      </c>
      <c r="G1316" t="str">
        <f>VLOOKUP(F1316,Carrier_Category!A:B,2,0)</f>
        <v>Commuter</v>
      </c>
      <c r="H1316" s="5">
        <v>21</v>
      </c>
      <c r="I1316" s="7">
        <f t="shared" si="64"/>
        <v>147</v>
      </c>
      <c r="J1316" s="5">
        <v>662</v>
      </c>
      <c r="K1316" s="18">
        <f t="shared" si="63"/>
        <v>31.523809523809526</v>
      </c>
    </row>
    <row r="1317" spans="1:11" x14ac:dyDescent="0.3">
      <c r="A1317" s="14">
        <v>2023</v>
      </c>
      <c r="B1317" s="14">
        <f t="shared" si="62"/>
        <v>15</v>
      </c>
      <c r="C1317" s="9">
        <v>45026</v>
      </c>
      <c r="D1317" s="9">
        <v>45030</v>
      </c>
      <c r="E1317" s="14">
        <f>VLOOKUP(F1317,CarrierID!A:B,2,0)</f>
        <v>10</v>
      </c>
      <c r="F1317" s="15" t="s">
        <v>8</v>
      </c>
      <c r="G1317" t="str">
        <f>VLOOKUP(F1317,Carrier_Category!A:B,2,0)</f>
        <v>Intercity</v>
      </c>
      <c r="H1317" s="5">
        <v>30</v>
      </c>
      <c r="I1317" s="7">
        <f t="shared" si="64"/>
        <v>21</v>
      </c>
      <c r="J1317" s="5">
        <v>1120</v>
      </c>
      <c r="K1317" s="18">
        <f t="shared" si="63"/>
        <v>37.333333333333336</v>
      </c>
    </row>
    <row r="1318" spans="1:11" x14ac:dyDescent="0.3">
      <c r="A1318" s="14">
        <v>2023</v>
      </c>
      <c r="B1318" s="14">
        <f t="shared" si="62"/>
        <v>15</v>
      </c>
      <c r="C1318" s="9">
        <v>45026</v>
      </c>
      <c r="D1318" s="9">
        <v>45030</v>
      </c>
      <c r="E1318" s="14">
        <f>VLOOKUP(F1318,CarrierID!A:B,2,0)</f>
        <v>6</v>
      </c>
      <c r="F1318" s="15" t="s">
        <v>9</v>
      </c>
      <c r="G1318" t="str">
        <f>VLOOKUP(F1318,Carrier_Category!A:B,2,0)</f>
        <v>Commuter</v>
      </c>
      <c r="H1318" s="5">
        <v>78</v>
      </c>
      <c r="I1318" s="7">
        <f t="shared" si="64"/>
        <v>30</v>
      </c>
      <c r="J1318" s="5">
        <v>1519</v>
      </c>
      <c r="K1318" s="18">
        <f t="shared" si="63"/>
        <v>19.474358974358974</v>
      </c>
    </row>
    <row r="1319" spans="1:11" x14ac:dyDescent="0.3">
      <c r="A1319" s="14">
        <v>2023</v>
      </c>
      <c r="B1319" s="14">
        <f t="shared" si="62"/>
        <v>16</v>
      </c>
      <c r="C1319" s="9">
        <v>45033</v>
      </c>
      <c r="D1319" s="9">
        <v>45037</v>
      </c>
      <c r="E1319" s="14">
        <f>VLOOKUP(F1319,CarrierID!A:B,2,0)</f>
        <v>1</v>
      </c>
      <c r="F1319" s="15" t="s">
        <v>0</v>
      </c>
      <c r="G1319" t="str">
        <f>VLOOKUP(F1319,Carrier_Category!A:B,2,0)</f>
        <v>Commuter</v>
      </c>
      <c r="H1319" s="5">
        <v>37</v>
      </c>
      <c r="I1319" s="7">
        <f t="shared" si="64"/>
        <v>82</v>
      </c>
      <c r="J1319" s="5">
        <v>1230</v>
      </c>
      <c r="K1319" s="18">
        <f t="shared" si="63"/>
        <v>33.243243243243242</v>
      </c>
    </row>
    <row r="1320" spans="1:11" x14ac:dyDescent="0.3">
      <c r="A1320" s="14">
        <v>2023</v>
      </c>
      <c r="B1320" s="14">
        <f t="shared" si="62"/>
        <v>16</v>
      </c>
      <c r="C1320" s="9">
        <v>45033</v>
      </c>
      <c r="D1320" s="9">
        <v>45037</v>
      </c>
      <c r="E1320" s="14">
        <f>VLOOKUP(F1320,CarrierID!A:B,2,0)</f>
        <v>5</v>
      </c>
      <c r="F1320" s="15" t="s">
        <v>1</v>
      </c>
      <c r="G1320" t="str">
        <f>VLOOKUP(F1320,Carrier_Category!A:B,2,0)</f>
        <v>Intercity</v>
      </c>
      <c r="H1320" s="5">
        <v>50</v>
      </c>
      <c r="I1320" s="7">
        <f t="shared" si="64"/>
        <v>36</v>
      </c>
      <c r="J1320" s="5">
        <v>1276</v>
      </c>
      <c r="K1320" s="18">
        <f t="shared" si="63"/>
        <v>25.52</v>
      </c>
    </row>
    <row r="1321" spans="1:11" x14ac:dyDescent="0.3">
      <c r="A1321" s="14">
        <v>2023</v>
      </c>
      <c r="B1321" s="14">
        <f t="shared" si="62"/>
        <v>16</v>
      </c>
      <c r="C1321" s="9">
        <v>45033</v>
      </c>
      <c r="D1321" s="9">
        <v>45037</v>
      </c>
      <c r="E1321" s="14">
        <f>VLOOKUP(F1321,CarrierID!A:B,2,0)</f>
        <v>8</v>
      </c>
      <c r="F1321" s="15" t="s">
        <v>2</v>
      </c>
      <c r="G1321" t="str">
        <f>VLOOKUP(F1321,Carrier_Category!A:B,2,0)</f>
        <v>Commuter</v>
      </c>
      <c r="H1321" s="5">
        <v>20</v>
      </c>
      <c r="I1321" s="7">
        <f t="shared" si="64"/>
        <v>50</v>
      </c>
      <c r="J1321" s="5">
        <v>766</v>
      </c>
      <c r="K1321" s="18">
        <f t="shared" si="63"/>
        <v>38.299999999999997</v>
      </c>
    </row>
    <row r="1322" spans="1:11" x14ac:dyDescent="0.3">
      <c r="A1322" s="14">
        <v>2023</v>
      </c>
      <c r="B1322" s="14">
        <f t="shared" si="62"/>
        <v>16</v>
      </c>
      <c r="C1322" s="9">
        <v>45033</v>
      </c>
      <c r="D1322" s="9">
        <v>45037</v>
      </c>
      <c r="E1322" s="14">
        <f>VLOOKUP(F1322,CarrierID!A:B,2,0)</f>
        <v>9</v>
      </c>
      <c r="F1322" s="15" t="s">
        <v>3</v>
      </c>
      <c r="G1322" t="str">
        <f>VLOOKUP(F1322,Carrier_Category!A:B,2,0)</f>
        <v>NJT</v>
      </c>
      <c r="H1322" s="5">
        <v>2337</v>
      </c>
      <c r="I1322" s="7">
        <f t="shared" si="64"/>
        <v>20</v>
      </c>
      <c r="J1322" s="5">
        <v>71561</v>
      </c>
      <c r="K1322" s="18">
        <f t="shared" si="63"/>
        <v>30.620881471972613</v>
      </c>
    </row>
    <row r="1323" spans="1:11" x14ac:dyDescent="0.3">
      <c r="A1323" s="14">
        <v>2023</v>
      </c>
      <c r="B1323" s="14">
        <f t="shared" si="62"/>
        <v>16</v>
      </c>
      <c r="C1323" s="9">
        <v>45033</v>
      </c>
      <c r="D1323" s="9">
        <v>45037</v>
      </c>
      <c r="E1323" s="14">
        <f>VLOOKUP(F1323,CarrierID!A:B,2,0)</f>
        <v>7</v>
      </c>
      <c r="F1323" s="15" t="s">
        <v>4</v>
      </c>
      <c r="G1323" t="str">
        <f>VLOOKUP(F1323,Carrier_Category!A:B,2,0)</f>
        <v>Commuter</v>
      </c>
      <c r="H1323" s="5">
        <v>29</v>
      </c>
      <c r="I1323" s="7">
        <f t="shared" si="64"/>
        <v>2314</v>
      </c>
      <c r="J1323" s="5">
        <v>1317</v>
      </c>
      <c r="K1323" s="18">
        <f t="shared" si="63"/>
        <v>45.413793103448278</v>
      </c>
    </row>
    <row r="1324" spans="1:11" x14ac:dyDescent="0.3">
      <c r="A1324" s="14">
        <v>2023</v>
      </c>
      <c r="B1324" s="14">
        <f t="shared" si="62"/>
        <v>16</v>
      </c>
      <c r="C1324" s="9">
        <v>45033</v>
      </c>
      <c r="D1324" s="9">
        <v>45037</v>
      </c>
      <c r="E1324" s="14">
        <f>VLOOKUP(F1324,CarrierID!A:B,2,0)</f>
        <v>11</v>
      </c>
      <c r="F1324" s="15" t="s">
        <v>5</v>
      </c>
      <c r="G1324" t="str">
        <f>VLOOKUP(F1324,Carrier_Category!A:B,2,0)</f>
        <v>Intercity</v>
      </c>
      <c r="H1324" s="5">
        <v>21</v>
      </c>
      <c r="I1324" s="7">
        <f t="shared" si="64"/>
        <v>29</v>
      </c>
      <c r="J1324" s="5">
        <v>438</v>
      </c>
      <c r="K1324" s="18">
        <f t="shared" si="63"/>
        <v>20.857142857142858</v>
      </c>
    </row>
    <row r="1325" spans="1:11" x14ac:dyDescent="0.3">
      <c r="A1325" s="14">
        <v>2023</v>
      </c>
      <c r="B1325" s="14">
        <f t="shared" si="62"/>
        <v>16</v>
      </c>
      <c r="C1325" s="9">
        <v>45033</v>
      </c>
      <c r="D1325" s="9">
        <v>45037</v>
      </c>
      <c r="E1325" s="14">
        <f>VLOOKUP(F1325,CarrierID!A:B,2,0)</f>
        <v>3</v>
      </c>
      <c r="F1325" s="15" t="s">
        <v>6</v>
      </c>
      <c r="G1325" t="str">
        <f>VLOOKUP(F1325,Carrier_Category!A:B,2,0)</f>
        <v>Commuter</v>
      </c>
      <c r="H1325" s="5">
        <v>148</v>
      </c>
      <c r="I1325" s="7">
        <f t="shared" si="64"/>
        <v>25</v>
      </c>
      <c r="J1325" s="5">
        <v>5022</v>
      </c>
      <c r="K1325" s="18">
        <f t="shared" si="63"/>
        <v>33.932432432432435</v>
      </c>
    </row>
    <row r="1326" spans="1:11" x14ac:dyDescent="0.3">
      <c r="A1326" s="14">
        <v>2023</v>
      </c>
      <c r="B1326" s="14">
        <f t="shared" si="62"/>
        <v>16</v>
      </c>
      <c r="C1326" s="9">
        <v>45033</v>
      </c>
      <c r="D1326" s="9">
        <v>45037</v>
      </c>
      <c r="E1326" s="14">
        <f>VLOOKUP(F1326,CarrierID!A:B,2,0)</f>
        <v>12</v>
      </c>
      <c r="F1326" s="15" t="s">
        <v>25</v>
      </c>
      <c r="G1326" t="str">
        <f>VLOOKUP(F1326,Carrier_Category!A:B,2,0)</f>
        <v>Commuter</v>
      </c>
      <c r="H1326" s="5">
        <v>21</v>
      </c>
      <c r="I1326" s="7">
        <f t="shared" si="64"/>
        <v>147</v>
      </c>
      <c r="J1326" s="5">
        <v>656</v>
      </c>
      <c r="K1326" s="18">
        <f t="shared" si="63"/>
        <v>31.238095238095237</v>
      </c>
    </row>
    <row r="1327" spans="1:11" x14ac:dyDescent="0.3">
      <c r="A1327" s="14">
        <v>2023</v>
      </c>
      <c r="B1327" s="14">
        <f t="shared" si="62"/>
        <v>16</v>
      </c>
      <c r="C1327" s="9">
        <v>45033</v>
      </c>
      <c r="D1327" s="9">
        <v>45037</v>
      </c>
      <c r="E1327" s="14">
        <f>VLOOKUP(F1327,CarrierID!A:B,2,0)</f>
        <v>10</v>
      </c>
      <c r="F1327" s="15" t="s">
        <v>8</v>
      </c>
      <c r="G1327" t="str">
        <f>VLOOKUP(F1327,Carrier_Category!A:B,2,0)</f>
        <v>Intercity</v>
      </c>
      <c r="H1327" s="5">
        <v>30</v>
      </c>
      <c r="I1327" s="7">
        <f t="shared" si="64"/>
        <v>21</v>
      </c>
      <c r="J1327" s="5">
        <v>1048</v>
      </c>
      <c r="K1327" s="18">
        <f t="shared" si="63"/>
        <v>34.93333333333333</v>
      </c>
    </row>
    <row r="1328" spans="1:11" x14ac:dyDescent="0.3">
      <c r="A1328" s="14">
        <v>2023</v>
      </c>
      <c r="B1328" s="14">
        <f t="shared" si="62"/>
        <v>16</v>
      </c>
      <c r="C1328" s="9">
        <v>45033</v>
      </c>
      <c r="D1328" s="9">
        <v>45037</v>
      </c>
      <c r="E1328" s="14">
        <f>VLOOKUP(F1328,CarrierID!A:B,2,0)</f>
        <v>6</v>
      </c>
      <c r="F1328" s="15" t="s">
        <v>9</v>
      </c>
      <c r="G1328" t="str">
        <f>VLOOKUP(F1328,Carrier_Category!A:B,2,0)</f>
        <v>Commuter</v>
      </c>
      <c r="H1328" s="5">
        <v>84</v>
      </c>
      <c r="I1328" s="7">
        <f t="shared" si="64"/>
        <v>30</v>
      </c>
      <c r="J1328" s="5">
        <v>1122</v>
      </c>
      <c r="K1328" s="18">
        <f t="shared" si="63"/>
        <v>13.357142857142858</v>
      </c>
    </row>
    <row r="1329" spans="1:11" x14ac:dyDescent="0.3">
      <c r="A1329" s="14">
        <v>2023</v>
      </c>
      <c r="B1329" s="14">
        <f t="shared" si="62"/>
        <v>17</v>
      </c>
      <c r="C1329" s="9">
        <v>45040</v>
      </c>
      <c r="D1329" s="9">
        <v>45044</v>
      </c>
      <c r="E1329" s="14">
        <f>VLOOKUP(F1329,CarrierID!A:B,2,0)</f>
        <v>1</v>
      </c>
      <c r="F1329" s="15" t="s">
        <v>0</v>
      </c>
      <c r="G1329" t="str">
        <f>VLOOKUP(F1329,Carrier_Category!A:B,2,0)</f>
        <v>Commuter</v>
      </c>
      <c r="H1329" s="5">
        <v>37</v>
      </c>
      <c r="I1329" s="7">
        <f t="shared" si="64"/>
        <v>78</v>
      </c>
      <c r="J1329" s="5">
        <v>1269</v>
      </c>
      <c r="K1329" s="18">
        <f t="shared" si="63"/>
        <v>34.297297297297298</v>
      </c>
    </row>
    <row r="1330" spans="1:11" x14ac:dyDescent="0.3">
      <c r="A1330" s="14">
        <v>2023</v>
      </c>
      <c r="B1330" s="14">
        <f t="shared" si="62"/>
        <v>17</v>
      </c>
      <c r="C1330" s="9">
        <v>45040</v>
      </c>
      <c r="D1330" s="9">
        <v>45044</v>
      </c>
      <c r="E1330" s="14">
        <f>VLOOKUP(F1330,CarrierID!A:B,2,0)</f>
        <v>5</v>
      </c>
      <c r="F1330" s="15" t="s">
        <v>1</v>
      </c>
      <c r="G1330" t="str">
        <f>VLOOKUP(F1330,Carrier_Category!A:B,2,0)</f>
        <v>Intercity</v>
      </c>
      <c r="H1330" s="5">
        <v>49</v>
      </c>
      <c r="I1330" s="7">
        <f t="shared" si="64"/>
        <v>37</v>
      </c>
      <c r="J1330" s="5">
        <v>1272</v>
      </c>
      <c r="K1330" s="18">
        <f t="shared" si="63"/>
        <v>25.959183673469386</v>
      </c>
    </row>
    <row r="1331" spans="1:11" x14ac:dyDescent="0.3">
      <c r="A1331" s="14">
        <v>2023</v>
      </c>
      <c r="B1331" s="14">
        <f t="shared" si="62"/>
        <v>17</v>
      </c>
      <c r="C1331" s="9">
        <v>45040</v>
      </c>
      <c r="D1331" s="9">
        <v>45044</v>
      </c>
      <c r="E1331" s="14">
        <f>VLOOKUP(F1331,CarrierID!A:B,2,0)</f>
        <v>8</v>
      </c>
      <c r="F1331" s="15" t="s">
        <v>2</v>
      </c>
      <c r="G1331" t="str">
        <f>VLOOKUP(F1331,Carrier_Category!A:B,2,0)</f>
        <v>Commuter</v>
      </c>
      <c r="H1331" s="5">
        <v>19</v>
      </c>
      <c r="I1331" s="7">
        <f t="shared" si="64"/>
        <v>50</v>
      </c>
      <c r="J1331" s="5">
        <v>756</v>
      </c>
      <c r="K1331" s="18">
        <f t="shared" si="63"/>
        <v>39.789473684210527</v>
      </c>
    </row>
    <row r="1332" spans="1:11" x14ac:dyDescent="0.3">
      <c r="A1332" s="14">
        <v>2023</v>
      </c>
      <c r="B1332" s="14">
        <f t="shared" si="62"/>
        <v>17</v>
      </c>
      <c r="C1332" s="9">
        <v>45040</v>
      </c>
      <c r="D1332" s="9">
        <v>45044</v>
      </c>
      <c r="E1332" s="14">
        <f>VLOOKUP(F1332,CarrierID!A:B,2,0)</f>
        <v>9</v>
      </c>
      <c r="F1332" s="15" t="s">
        <v>3</v>
      </c>
      <c r="G1332" t="str">
        <f>VLOOKUP(F1332,Carrier_Category!A:B,2,0)</f>
        <v>NJT</v>
      </c>
      <c r="H1332" s="5">
        <v>2349</v>
      </c>
      <c r="I1332" s="7">
        <f t="shared" si="64"/>
        <v>20</v>
      </c>
      <c r="J1332" s="5">
        <v>73189</v>
      </c>
      <c r="K1332" s="18">
        <f t="shared" si="63"/>
        <v>31.157513835674756</v>
      </c>
    </row>
    <row r="1333" spans="1:11" x14ac:dyDescent="0.3">
      <c r="A1333" s="14">
        <v>2023</v>
      </c>
      <c r="B1333" s="14">
        <f t="shared" si="62"/>
        <v>17</v>
      </c>
      <c r="C1333" s="9">
        <v>45040</v>
      </c>
      <c r="D1333" s="9">
        <v>45044</v>
      </c>
      <c r="E1333" s="14">
        <f>VLOOKUP(F1333,CarrierID!A:B,2,0)</f>
        <v>7</v>
      </c>
      <c r="F1333" s="15" t="s">
        <v>4</v>
      </c>
      <c r="G1333" t="str">
        <f>VLOOKUP(F1333,Carrier_Category!A:B,2,0)</f>
        <v>Commuter</v>
      </c>
      <c r="H1333" s="5">
        <v>29</v>
      </c>
      <c r="I1333" s="7">
        <f t="shared" si="64"/>
        <v>2337</v>
      </c>
      <c r="J1333" s="5">
        <v>1371</v>
      </c>
      <c r="K1333" s="18">
        <f t="shared" si="63"/>
        <v>47.275862068965516</v>
      </c>
    </row>
    <row r="1334" spans="1:11" x14ac:dyDescent="0.3">
      <c r="A1334" s="14">
        <v>2023</v>
      </c>
      <c r="B1334" s="14">
        <f t="shared" si="62"/>
        <v>17</v>
      </c>
      <c r="C1334" s="9">
        <v>45040</v>
      </c>
      <c r="D1334" s="9">
        <v>45044</v>
      </c>
      <c r="E1334" s="14">
        <f>VLOOKUP(F1334,CarrierID!A:B,2,0)</f>
        <v>11</v>
      </c>
      <c r="F1334" s="15" t="s">
        <v>5</v>
      </c>
      <c r="G1334" t="str">
        <f>VLOOKUP(F1334,Carrier_Category!A:B,2,0)</f>
        <v>Intercity</v>
      </c>
      <c r="H1334" s="5">
        <v>21</v>
      </c>
      <c r="I1334" s="7">
        <f t="shared" si="64"/>
        <v>29</v>
      </c>
      <c r="J1334" s="5">
        <v>428</v>
      </c>
      <c r="K1334" s="18">
        <f t="shared" si="63"/>
        <v>20.38095238095238</v>
      </c>
    </row>
    <row r="1335" spans="1:11" x14ac:dyDescent="0.3">
      <c r="A1335" s="14">
        <v>2023</v>
      </c>
      <c r="B1335" s="14">
        <f t="shared" si="62"/>
        <v>17</v>
      </c>
      <c r="C1335" s="9">
        <v>45040</v>
      </c>
      <c r="D1335" s="9">
        <v>45044</v>
      </c>
      <c r="E1335" s="14">
        <f>VLOOKUP(F1335,CarrierID!A:B,2,0)</f>
        <v>3</v>
      </c>
      <c r="F1335" s="15" t="s">
        <v>6</v>
      </c>
      <c r="G1335" t="str">
        <f>VLOOKUP(F1335,Carrier_Category!A:B,2,0)</f>
        <v>Commuter</v>
      </c>
      <c r="H1335" s="5">
        <v>148</v>
      </c>
      <c r="I1335" s="7">
        <f t="shared" si="64"/>
        <v>21</v>
      </c>
      <c r="J1335" s="5">
        <v>5022</v>
      </c>
      <c r="K1335" s="18">
        <f t="shared" si="63"/>
        <v>33.932432432432435</v>
      </c>
    </row>
    <row r="1336" spans="1:11" x14ac:dyDescent="0.3">
      <c r="A1336" s="14">
        <v>2023</v>
      </c>
      <c r="B1336" s="14">
        <f t="shared" si="62"/>
        <v>17</v>
      </c>
      <c r="C1336" s="9">
        <v>45040</v>
      </c>
      <c r="D1336" s="9">
        <v>45044</v>
      </c>
      <c r="E1336" s="14">
        <f>VLOOKUP(F1336,CarrierID!A:B,2,0)</f>
        <v>12</v>
      </c>
      <c r="F1336" s="15" t="s">
        <v>25</v>
      </c>
      <c r="G1336" t="str">
        <f>VLOOKUP(F1336,Carrier_Category!A:B,2,0)</f>
        <v>Commuter</v>
      </c>
      <c r="H1336" s="5">
        <v>21</v>
      </c>
      <c r="I1336" s="7">
        <f t="shared" si="64"/>
        <v>148</v>
      </c>
      <c r="J1336" s="5">
        <v>665</v>
      </c>
      <c r="K1336" s="18">
        <f t="shared" si="63"/>
        <v>31.666666666666668</v>
      </c>
    </row>
    <row r="1337" spans="1:11" x14ac:dyDescent="0.3">
      <c r="A1337" s="14">
        <v>2023</v>
      </c>
      <c r="B1337" s="14">
        <f t="shared" si="62"/>
        <v>17</v>
      </c>
      <c r="C1337" s="9">
        <v>45040</v>
      </c>
      <c r="D1337" s="9">
        <v>45044</v>
      </c>
      <c r="E1337" s="14">
        <f>VLOOKUP(F1337,CarrierID!A:B,2,0)</f>
        <v>10</v>
      </c>
      <c r="F1337" s="15" t="s">
        <v>8</v>
      </c>
      <c r="G1337" t="str">
        <f>VLOOKUP(F1337,Carrier_Category!A:B,2,0)</f>
        <v>Intercity</v>
      </c>
      <c r="H1337" s="5">
        <v>27</v>
      </c>
      <c r="I1337" s="7">
        <f t="shared" si="64"/>
        <v>21</v>
      </c>
      <c r="J1337" s="5">
        <v>952</v>
      </c>
      <c r="K1337" s="18">
        <f t="shared" si="63"/>
        <v>35.25925925925926</v>
      </c>
    </row>
    <row r="1338" spans="1:11" x14ac:dyDescent="0.3">
      <c r="A1338" s="14">
        <v>2023</v>
      </c>
      <c r="B1338" s="14">
        <f t="shared" si="62"/>
        <v>17</v>
      </c>
      <c r="C1338" s="9">
        <v>45040</v>
      </c>
      <c r="D1338" s="9">
        <v>45044</v>
      </c>
      <c r="E1338" s="14">
        <f>VLOOKUP(F1338,CarrierID!A:B,2,0)</f>
        <v>6</v>
      </c>
      <c r="F1338" s="15" t="s">
        <v>9</v>
      </c>
      <c r="G1338" t="str">
        <f>VLOOKUP(F1338,Carrier_Category!A:B,2,0)</f>
        <v>Commuter</v>
      </c>
      <c r="H1338" s="5">
        <v>84</v>
      </c>
      <c r="I1338" s="7">
        <f t="shared" si="64"/>
        <v>30</v>
      </c>
      <c r="J1338" s="5">
        <v>1122</v>
      </c>
      <c r="K1338" s="18">
        <f t="shared" si="63"/>
        <v>13.357142857142858</v>
      </c>
    </row>
    <row r="1339" spans="1:11" x14ac:dyDescent="0.3">
      <c r="A1339" s="14">
        <v>2023</v>
      </c>
      <c r="B1339" s="14">
        <f t="shared" si="62"/>
        <v>18</v>
      </c>
      <c r="C1339" s="9">
        <v>45047</v>
      </c>
      <c r="D1339" s="9">
        <v>45051</v>
      </c>
      <c r="E1339" s="14">
        <f>VLOOKUP(F1339,CarrierID!A:B,2,0)</f>
        <v>1</v>
      </c>
      <c r="F1339" s="15" t="s">
        <v>0</v>
      </c>
      <c r="G1339" t="str">
        <f>VLOOKUP(F1339,Carrier_Category!A:B,2,0)</f>
        <v>Commuter</v>
      </c>
      <c r="H1339" s="5">
        <v>37</v>
      </c>
      <c r="I1339" s="7">
        <f t="shared" si="64"/>
        <v>84</v>
      </c>
      <c r="J1339" s="5">
        <v>1298</v>
      </c>
      <c r="K1339" s="18">
        <f t="shared" si="63"/>
        <v>35.081081081081081</v>
      </c>
    </row>
    <row r="1340" spans="1:11" x14ac:dyDescent="0.3">
      <c r="A1340" s="14">
        <v>2023</v>
      </c>
      <c r="B1340" s="14">
        <f t="shared" si="62"/>
        <v>18</v>
      </c>
      <c r="C1340" s="9">
        <v>45047</v>
      </c>
      <c r="D1340" s="9">
        <v>45051</v>
      </c>
      <c r="E1340" s="14">
        <f>VLOOKUP(F1340,CarrierID!A:B,2,0)</f>
        <v>5</v>
      </c>
      <c r="F1340" s="15" t="s">
        <v>1</v>
      </c>
      <c r="G1340" t="str">
        <f>VLOOKUP(F1340,Carrier_Category!A:B,2,0)</f>
        <v>Intercity</v>
      </c>
      <c r="H1340" s="5">
        <v>48</v>
      </c>
      <c r="I1340" s="7">
        <f t="shared" si="64"/>
        <v>37</v>
      </c>
      <c r="J1340" s="5">
        <v>1291</v>
      </c>
      <c r="K1340" s="18">
        <f t="shared" si="63"/>
        <v>26.895833333333332</v>
      </c>
    </row>
    <row r="1341" spans="1:11" x14ac:dyDescent="0.3">
      <c r="A1341" s="14">
        <v>2023</v>
      </c>
      <c r="B1341" s="14">
        <f t="shared" si="62"/>
        <v>18</v>
      </c>
      <c r="C1341" s="9">
        <v>45047</v>
      </c>
      <c r="D1341" s="9">
        <v>45051</v>
      </c>
      <c r="E1341" s="14">
        <f>VLOOKUP(F1341,CarrierID!A:B,2,0)</f>
        <v>8</v>
      </c>
      <c r="F1341" s="15" t="s">
        <v>2</v>
      </c>
      <c r="G1341" t="str">
        <f>VLOOKUP(F1341,Carrier_Category!A:B,2,0)</f>
        <v>Commuter</v>
      </c>
      <c r="H1341" s="5">
        <v>20</v>
      </c>
      <c r="I1341" s="7">
        <f t="shared" si="64"/>
        <v>49</v>
      </c>
      <c r="J1341" s="5">
        <v>769</v>
      </c>
      <c r="K1341" s="18">
        <f t="shared" si="63"/>
        <v>38.450000000000003</v>
      </c>
    </row>
    <row r="1342" spans="1:11" x14ac:dyDescent="0.3">
      <c r="A1342" s="14">
        <v>2023</v>
      </c>
      <c r="B1342" s="14">
        <f t="shared" si="62"/>
        <v>18</v>
      </c>
      <c r="C1342" s="9">
        <v>45047</v>
      </c>
      <c r="D1342" s="9">
        <v>45051</v>
      </c>
      <c r="E1342" s="14">
        <f>VLOOKUP(F1342,CarrierID!A:B,2,0)</f>
        <v>9</v>
      </c>
      <c r="F1342" s="15" t="s">
        <v>3</v>
      </c>
      <c r="G1342" t="str">
        <f>VLOOKUP(F1342,Carrier_Category!A:B,2,0)</f>
        <v>NJT</v>
      </c>
      <c r="H1342" s="5">
        <v>2340</v>
      </c>
      <c r="I1342" s="7">
        <f t="shared" si="64"/>
        <v>19</v>
      </c>
      <c r="J1342" s="5">
        <v>77153</v>
      </c>
      <c r="K1342" s="18">
        <f t="shared" si="63"/>
        <v>32.971367521367519</v>
      </c>
    </row>
    <row r="1343" spans="1:11" x14ac:dyDescent="0.3">
      <c r="A1343" s="14">
        <v>2023</v>
      </c>
      <c r="B1343" s="14">
        <f t="shared" si="62"/>
        <v>18</v>
      </c>
      <c r="C1343" s="9">
        <v>45047</v>
      </c>
      <c r="D1343" s="9">
        <v>45051</v>
      </c>
      <c r="E1343" s="14">
        <f>VLOOKUP(F1343,CarrierID!A:B,2,0)</f>
        <v>7</v>
      </c>
      <c r="F1343" s="15" t="s">
        <v>4</v>
      </c>
      <c r="G1343" t="str">
        <f>VLOOKUP(F1343,Carrier_Category!A:B,2,0)</f>
        <v>Commuter</v>
      </c>
      <c r="H1343" s="5">
        <v>29</v>
      </c>
      <c r="I1343" s="7">
        <f t="shared" si="64"/>
        <v>2349</v>
      </c>
      <c r="J1343" s="5">
        <v>1378</v>
      </c>
      <c r="K1343" s="18">
        <f t="shared" si="63"/>
        <v>47.517241379310342</v>
      </c>
    </row>
    <row r="1344" spans="1:11" x14ac:dyDescent="0.3">
      <c r="A1344" s="14">
        <v>2023</v>
      </c>
      <c r="B1344" s="14">
        <f t="shared" si="62"/>
        <v>18</v>
      </c>
      <c r="C1344" s="9">
        <v>45047</v>
      </c>
      <c r="D1344" s="9">
        <v>45051</v>
      </c>
      <c r="E1344" s="14">
        <f>VLOOKUP(F1344,CarrierID!A:B,2,0)</f>
        <v>11</v>
      </c>
      <c r="F1344" s="15" t="s">
        <v>5</v>
      </c>
      <c r="G1344" t="str">
        <f>VLOOKUP(F1344,Carrier_Category!A:B,2,0)</f>
        <v>Intercity</v>
      </c>
      <c r="H1344" s="5">
        <v>22</v>
      </c>
      <c r="I1344" s="7">
        <f t="shared" si="64"/>
        <v>29</v>
      </c>
      <c r="J1344" s="5">
        <v>435</v>
      </c>
      <c r="K1344" s="18">
        <f t="shared" si="63"/>
        <v>19.772727272727273</v>
      </c>
    </row>
    <row r="1345" spans="1:11" x14ac:dyDescent="0.3">
      <c r="A1345" s="14">
        <v>2023</v>
      </c>
      <c r="B1345" s="14">
        <f t="shared" si="62"/>
        <v>18</v>
      </c>
      <c r="C1345" s="9">
        <v>45047</v>
      </c>
      <c r="D1345" s="9">
        <v>45051</v>
      </c>
      <c r="E1345" s="14">
        <f>VLOOKUP(F1345,CarrierID!A:B,2,0)</f>
        <v>3</v>
      </c>
      <c r="F1345" s="15" t="s">
        <v>6</v>
      </c>
      <c r="G1345" t="str">
        <f>VLOOKUP(F1345,Carrier_Category!A:B,2,0)</f>
        <v>Commuter</v>
      </c>
      <c r="H1345" s="5">
        <v>148</v>
      </c>
      <c r="I1345" s="7">
        <f t="shared" si="64"/>
        <v>21</v>
      </c>
      <c r="J1345" s="5">
        <v>5105</v>
      </c>
      <c r="K1345" s="18">
        <f t="shared" si="63"/>
        <v>34.493243243243242</v>
      </c>
    </row>
    <row r="1346" spans="1:11" x14ac:dyDescent="0.3">
      <c r="A1346" s="14">
        <v>2023</v>
      </c>
      <c r="B1346" s="14">
        <f t="shared" si="62"/>
        <v>18</v>
      </c>
      <c r="C1346" s="9">
        <v>45047</v>
      </c>
      <c r="D1346" s="9">
        <v>45051</v>
      </c>
      <c r="E1346" s="14">
        <f>VLOOKUP(F1346,CarrierID!A:B,2,0)</f>
        <v>12</v>
      </c>
      <c r="F1346" s="15" t="s">
        <v>25</v>
      </c>
      <c r="G1346" t="str">
        <f>VLOOKUP(F1346,Carrier_Category!A:B,2,0)</f>
        <v>Commuter</v>
      </c>
      <c r="H1346" s="5">
        <v>21</v>
      </c>
      <c r="I1346" s="7">
        <f t="shared" si="64"/>
        <v>148</v>
      </c>
      <c r="J1346" s="5">
        <v>666</v>
      </c>
      <c r="K1346" s="18">
        <f t="shared" si="63"/>
        <v>31.714285714285715</v>
      </c>
    </row>
    <row r="1347" spans="1:11" x14ac:dyDescent="0.3">
      <c r="A1347" s="14">
        <v>2023</v>
      </c>
      <c r="B1347" s="14">
        <f t="shared" si="62"/>
        <v>18</v>
      </c>
      <c r="C1347" s="9">
        <v>45047</v>
      </c>
      <c r="D1347" s="9">
        <v>45051</v>
      </c>
      <c r="E1347" s="14">
        <f>VLOOKUP(F1347,CarrierID!A:B,2,0)</f>
        <v>10</v>
      </c>
      <c r="F1347" s="15" t="s">
        <v>8</v>
      </c>
      <c r="G1347" t="str">
        <f>VLOOKUP(F1347,Carrier_Category!A:B,2,0)</f>
        <v>Intercity</v>
      </c>
      <c r="H1347" s="5">
        <v>26</v>
      </c>
      <c r="I1347" s="7">
        <f t="shared" si="64"/>
        <v>21</v>
      </c>
      <c r="J1347" s="5">
        <v>851</v>
      </c>
      <c r="K1347" s="18">
        <f t="shared" si="63"/>
        <v>32.730769230769234</v>
      </c>
    </row>
    <row r="1348" spans="1:11" x14ac:dyDescent="0.3">
      <c r="A1348" s="14">
        <v>2023</v>
      </c>
      <c r="B1348" s="14">
        <f t="shared" si="62"/>
        <v>18</v>
      </c>
      <c r="C1348" s="9">
        <v>45047</v>
      </c>
      <c r="D1348" s="9">
        <v>45051</v>
      </c>
      <c r="E1348" s="14">
        <f>VLOOKUP(F1348,CarrierID!A:B,2,0)</f>
        <v>6</v>
      </c>
      <c r="F1348" s="15" t="s">
        <v>9</v>
      </c>
      <c r="G1348" t="str">
        <f>VLOOKUP(F1348,Carrier_Category!A:B,2,0)</f>
        <v>Commuter</v>
      </c>
      <c r="H1348" s="5">
        <v>84</v>
      </c>
      <c r="I1348" s="7">
        <f t="shared" si="64"/>
        <v>27</v>
      </c>
      <c r="J1348" s="5">
        <v>1498</v>
      </c>
      <c r="K1348" s="18">
        <f t="shared" si="63"/>
        <v>17.833333333333332</v>
      </c>
    </row>
    <row r="1349" spans="1:11" x14ac:dyDescent="0.3">
      <c r="A1349" s="14">
        <v>2023</v>
      </c>
      <c r="B1349" s="14">
        <f t="shared" ref="B1349:B1412" si="65">_xlfn.ISOWEEKNUM(C1349)</f>
        <v>19</v>
      </c>
      <c r="C1349" s="9">
        <v>45054</v>
      </c>
      <c r="D1349" s="9">
        <v>45058</v>
      </c>
      <c r="E1349" s="14">
        <f>VLOOKUP(F1349,CarrierID!A:B,2,0)</f>
        <v>1</v>
      </c>
      <c r="F1349" s="15" t="s">
        <v>0</v>
      </c>
      <c r="G1349" t="str">
        <f>VLOOKUP(F1349,Carrier_Category!A:B,2,0)</f>
        <v>Commuter</v>
      </c>
      <c r="H1349" s="5">
        <v>37</v>
      </c>
      <c r="I1349" s="7">
        <f t="shared" si="64"/>
        <v>84</v>
      </c>
      <c r="J1349" s="5">
        <v>1242</v>
      </c>
      <c r="K1349" s="18">
        <f t="shared" ref="K1349:K1412" si="66">J1349/H1349</f>
        <v>33.567567567567565</v>
      </c>
    </row>
    <row r="1350" spans="1:11" x14ac:dyDescent="0.3">
      <c r="A1350" s="14">
        <v>2023</v>
      </c>
      <c r="B1350" s="14">
        <f t="shared" si="65"/>
        <v>19</v>
      </c>
      <c r="C1350" s="9">
        <v>45054</v>
      </c>
      <c r="D1350" s="9">
        <v>45058</v>
      </c>
      <c r="E1350" s="14">
        <f>VLOOKUP(F1350,CarrierID!A:B,2,0)</f>
        <v>5</v>
      </c>
      <c r="F1350" s="15" t="s">
        <v>1</v>
      </c>
      <c r="G1350" t="str">
        <f>VLOOKUP(F1350,Carrier_Category!A:B,2,0)</f>
        <v>Intercity</v>
      </c>
      <c r="H1350" s="5">
        <v>50</v>
      </c>
      <c r="I1350" s="7">
        <f t="shared" si="64"/>
        <v>37</v>
      </c>
      <c r="J1350" s="5">
        <v>1433</v>
      </c>
      <c r="K1350" s="18">
        <f t="shared" si="66"/>
        <v>28.66</v>
      </c>
    </row>
    <row r="1351" spans="1:11" x14ac:dyDescent="0.3">
      <c r="A1351" s="14">
        <v>2023</v>
      </c>
      <c r="B1351" s="14">
        <f t="shared" si="65"/>
        <v>19</v>
      </c>
      <c r="C1351" s="9">
        <v>45054</v>
      </c>
      <c r="D1351" s="9">
        <v>45058</v>
      </c>
      <c r="E1351" s="14">
        <f>VLOOKUP(F1351,CarrierID!A:B,2,0)</f>
        <v>8</v>
      </c>
      <c r="F1351" s="15" t="s">
        <v>2</v>
      </c>
      <c r="G1351" t="str">
        <f>VLOOKUP(F1351,Carrier_Category!A:B,2,0)</f>
        <v>Commuter</v>
      </c>
      <c r="H1351" s="5">
        <v>20</v>
      </c>
      <c r="I1351" s="7">
        <f t="shared" si="64"/>
        <v>48</v>
      </c>
      <c r="J1351" s="5">
        <v>771</v>
      </c>
      <c r="K1351" s="18">
        <f t="shared" si="66"/>
        <v>38.549999999999997</v>
      </c>
    </row>
    <row r="1352" spans="1:11" x14ac:dyDescent="0.3">
      <c r="A1352" s="14">
        <v>2023</v>
      </c>
      <c r="B1352" s="14">
        <f t="shared" si="65"/>
        <v>19</v>
      </c>
      <c r="C1352" s="9">
        <v>45054</v>
      </c>
      <c r="D1352" s="9">
        <v>45058</v>
      </c>
      <c r="E1352" s="14">
        <f>VLOOKUP(F1352,CarrierID!A:B,2,0)</f>
        <v>9</v>
      </c>
      <c r="F1352" s="15" t="s">
        <v>3</v>
      </c>
      <c r="G1352" t="str">
        <f>VLOOKUP(F1352,Carrier_Category!A:B,2,0)</f>
        <v>NJT</v>
      </c>
      <c r="H1352" s="5">
        <v>2331</v>
      </c>
      <c r="I1352" s="7">
        <f t="shared" si="64"/>
        <v>20</v>
      </c>
      <c r="J1352" s="5">
        <v>73697</v>
      </c>
      <c r="K1352" s="18">
        <f t="shared" si="66"/>
        <v>31.616044616044615</v>
      </c>
    </row>
    <row r="1353" spans="1:11" x14ac:dyDescent="0.3">
      <c r="A1353" s="14">
        <v>2023</v>
      </c>
      <c r="B1353" s="14">
        <f t="shared" si="65"/>
        <v>19</v>
      </c>
      <c r="C1353" s="9">
        <v>45054</v>
      </c>
      <c r="D1353" s="9">
        <v>45058</v>
      </c>
      <c r="E1353" s="14">
        <f>VLOOKUP(F1353,CarrierID!A:B,2,0)</f>
        <v>7</v>
      </c>
      <c r="F1353" s="15" t="s">
        <v>4</v>
      </c>
      <c r="G1353" t="str">
        <f>VLOOKUP(F1353,Carrier_Category!A:B,2,0)</f>
        <v>Commuter</v>
      </c>
      <c r="H1353" s="5">
        <v>29</v>
      </c>
      <c r="I1353" s="7">
        <f t="shared" si="64"/>
        <v>2340</v>
      </c>
      <c r="J1353" s="5">
        <v>1378</v>
      </c>
      <c r="K1353" s="18">
        <f t="shared" si="66"/>
        <v>47.517241379310342</v>
      </c>
    </row>
    <row r="1354" spans="1:11" x14ac:dyDescent="0.3">
      <c r="A1354" s="14">
        <v>2023</v>
      </c>
      <c r="B1354" s="14">
        <f t="shared" si="65"/>
        <v>19</v>
      </c>
      <c r="C1354" s="9">
        <v>45054</v>
      </c>
      <c r="D1354" s="9">
        <v>45058</v>
      </c>
      <c r="E1354" s="14">
        <f>VLOOKUP(F1354,CarrierID!A:B,2,0)</f>
        <v>11</v>
      </c>
      <c r="F1354" s="15" t="s">
        <v>5</v>
      </c>
      <c r="G1354" t="str">
        <f>VLOOKUP(F1354,Carrier_Category!A:B,2,0)</f>
        <v>Intercity</v>
      </c>
      <c r="H1354" s="5">
        <v>22</v>
      </c>
      <c r="I1354" s="7">
        <f t="shared" si="64"/>
        <v>29</v>
      </c>
      <c r="J1354" s="5">
        <v>495</v>
      </c>
      <c r="K1354" s="18">
        <f t="shared" si="66"/>
        <v>22.5</v>
      </c>
    </row>
    <row r="1355" spans="1:11" x14ac:dyDescent="0.3">
      <c r="A1355" s="14">
        <v>2023</v>
      </c>
      <c r="B1355" s="14">
        <f t="shared" si="65"/>
        <v>19</v>
      </c>
      <c r="C1355" s="9">
        <v>45054</v>
      </c>
      <c r="D1355" s="9">
        <v>45058</v>
      </c>
      <c r="E1355" s="14">
        <f>VLOOKUP(F1355,CarrierID!A:B,2,0)</f>
        <v>3</v>
      </c>
      <c r="F1355" s="15" t="s">
        <v>6</v>
      </c>
      <c r="G1355" t="str">
        <f>VLOOKUP(F1355,Carrier_Category!A:B,2,0)</f>
        <v>Commuter</v>
      </c>
      <c r="H1355" s="5">
        <v>147</v>
      </c>
      <c r="I1355" s="7">
        <f t="shared" si="64"/>
        <v>22</v>
      </c>
      <c r="J1355" s="5">
        <v>5138</v>
      </c>
      <c r="K1355" s="18">
        <f t="shared" si="66"/>
        <v>34.952380952380949</v>
      </c>
    </row>
    <row r="1356" spans="1:11" x14ac:dyDescent="0.3">
      <c r="A1356" s="14">
        <v>2023</v>
      </c>
      <c r="B1356" s="14">
        <f t="shared" si="65"/>
        <v>19</v>
      </c>
      <c r="C1356" s="9">
        <v>45054</v>
      </c>
      <c r="D1356" s="9">
        <v>45058</v>
      </c>
      <c r="E1356" s="14">
        <f>VLOOKUP(F1356,CarrierID!A:B,2,0)</f>
        <v>12</v>
      </c>
      <c r="F1356" s="15" t="s">
        <v>25</v>
      </c>
      <c r="G1356" t="str">
        <f>VLOOKUP(F1356,Carrier_Category!A:B,2,0)</f>
        <v>Commuter</v>
      </c>
      <c r="H1356" s="5">
        <v>21</v>
      </c>
      <c r="I1356" s="7">
        <f t="shared" si="64"/>
        <v>148</v>
      </c>
      <c r="J1356" s="5">
        <v>698</v>
      </c>
      <c r="K1356" s="18">
        <f t="shared" si="66"/>
        <v>33.238095238095241</v>
      </c>
    </row>
    <row r="1357" spans="1:11" x14ac:dyDescent="0.3">
      <c r="A1357" s="14">
        <v>2023</v>
      </c>
      <c r="B1357" s="14">
        <f t="shared" si="65"/>
        <v>19</v>
      </c>
      <c r="C1357" s="9">
        <v>45054</v>
      </c>
      <c r="D1357" s="9">
        <v>45058</v>
      </c>
      <c r="E1357" s="14">
        <f>VLOOKUP(F1357,CarrierID!A:B,2,0)</f>
        <v>10</v>
      </c>
      <c r="F1357" s="15" t="s">
        <v>8</v>
      </c>
      <c r="G1357" t="str">
        <f>VLOOKUP(F1357,Carrier_Category!A:B,2,0)</f>
        <v>Intercity</v>
      </c>
      <c r="H1357" s="5">
        <v>26</v>
      </c>
      <c r="I1357" s="7">
        <f t="shared" ref="I1357:I1420" si="67">H1346</f>
        <v>21</v>
      </c>
      <c r="J1357" s="5">
        <v>851</v>
      </c>
      <c r="K1357" s="18">
        <f t="shared" si="66"/>
        <v>32.730769230769234</v>
      </c>
    </row>
    <row r="1358" spans="1:11" x14ac:dyDescent="0.3">
      <c r="A1358" s="14">
        <v>2023</v>
      </c>
      <c r="B1358" s="14">
        <f t="shared" si="65"/>
        <v>19</v>
      </c>
      <c r="C1358" s="9">
        <v>45054</v>
      </c>
      <c r="D1358" s="9">
        <v>45058</v>
      </c>
      <c r="E1358" s="14">
        <f>VLOOKUP(F1358,CarrierID!A:B,2,0)</f>
        <v>6</v>
      </c>
      <c r="F1358" s="15" t="s">
        <v>9</v>
      </c>
      <c r="G1358" t="str">
        <f>VLOOKUP(F1358,Carrier_Category!A:B,2,0)</f>
        <v>Commuter</v>
      </c>
      <c r="H1358" s="5">
        <v>84</v>
      </c>
      <c r="I1358" s="7">
        <f t="shared" si="67"/>
        <v>26</v>
      </c>
      <c r="J1358" s="5">
        <v>1498</v>
      </c>
      <c r="K1358" s="18">
        <f t="shared" si="66"/>
        <v>17.833333333333332</v>
      </c>
    </row>
    <row r="1359" spans="1:11" x14ac:dyDescent="0.3">
      <c r="A1359" s="14">
        <v>2023</v>
      </c>
      <c r="B1359" s="14">
        <f t="shared" si="65"/>
        <v>20</v>
      </c>
      <c r="C1359" s="9">
        <v>45061</v>
      </c>
      <c r="D1359" s="9">
        <v>45065</v>
      </c>
      <c r="E1359" s="14">
        <f>VLOOKUP(F1359,CarrierID!A:B,2,0)</f>
        <v>1</v>
      </c>
      <c r="F1359" s="15" t="s">
        <v>0</v>
      </c>
      <c r="G1359" t="str">
        <f>VLOOKUP(F1359,Carrier_Category!A:B,2,0)</f>
        <v>Commuter</v>
      </c>
      <c r="H1359" s="5">
        <v>37</v>
      </c>
      <c r="I1359" s="7">
        <f t="shared" si="67"/>
        <v>84</v>
      </c>
      <c r="J1359" s="5">
        <v>1256</v>
      </c>
      <c r="K1359" s="18">
        <f t="shared" si="66"/>
        <v>33.945945945945944</v>
      </c>
    </row>
    <row r="1360" spans="1:11" x14ac:dyDescent="0.3">
      <c r="A1360" s="14">
        <v>2023</v>
      </c>
      <c r="B1360" s="14">
        <f t="shared" si="65"/>
        <v>20</v>
      </c>
      <c r="C1360" s="9">
        <v>45061</v>
      </c>
      <c r="D1360" s="9">
        <v>45065</v>
      </c>
      <c r="E1360" s="14">
        <f>VLOOKUP(F1360,CarrierID!A:B,2,0)</f>
        <v>5</v>
      </c>
      <c r="F1360" s="15" t="s">
        <v>1</v>
      </c>
      <c r="G1360" t="str">
        <f>VLOOKUP(F1360,Carrier_Category!A:B,2,0)</f>
        <v>Intercity</v>
      </c>
      <c r="H1360" s="5">
        <v>51</v>
      </c>
      <c r="I1360" s="7">
        <f t="shared" si="67"/>
        <v>37</v>
      </c>
      <c r="J1360" s="5">
        <v>1599</v>
      </c>
      <c r="K1360" s="18">
        <f t="shared" si="66"/>
        <v>31.352941176470587</v>
      </c>
    </row>
    <row r="1361" spans="1:11" x14ac:dyDescent="0.3">
      <c r="A1361" s="14">
        <v>2023</v>
      </c>
      <c r="B1361" s="14">
        <f t="shared" si="65"/>
        <v>20</v>
      </c>
      <c r="C1361" s="9">
        <v>45061</v>
      </c>
      <c r="D1361" s="9">
        <v>45065</v>
      </c>
      <c r="E1361" s="14">
        <f>VLOOKUP(F1361,CarrierID!A:B,2,0)</f>
        <v>8</v>
      </c>
      <c r="F1361" s="15" t="s">
        <v>2</v>
      </c>
      <c r="G1361" t="str">
        <f>VLOOKUP(F1361,Carrier_Category!A:B,2,0)</f>
        <v>Commuter</v>
      </c>
      <c r="H1361" s="5">
        <v>20</v>
      </c>
      <c r="I1361" s="7">
        <f t="shared" si="67"/>
        <v>50</v>
      </c>
      <c r="J1361" s="5">
        <v>778</v>
      </c>
      <c r="K1361" s="18">
        <f t="shared" si="66"/>
        <v>38.9</v>
      </c>
    </row>
    <row r="1362" spans="1:11" x14ac:dyDescent="0.3">
      <c r="A1362" s="14">
        <v>2023</v>
      </c>
      <c r="B1362" s="14">
        <f t="shared" si="65"/>
        <v>20</v>
      </c>
      <c r="C1362" s="9">
        <v>45061</v>
      </c>
      <c r="D1362" s="9">
        <v>45065</v>
      </c>
      <c r="E1362" s="14">
        <f>VLOOKUP(F1362,CarrierID!A:B,2,0)</f>
        <v>9</v>
      </c>
      <c r="F1362" s="15" t="s">
        <v>3</v>
      </c>
      <c r="G1362" t="str">
        <f>VLOOKUP(F1362,Carrier_Category!A:B,2,0)</f>
        <v>NJT</v>
      </c>
      <c r="H1362" s="5">
        <v>2331</v>
      </c>
      <c r="I1362" s="7">
        <f t="shared" si="67"/>
        <v>20</v>
      </c>
      <c r="J1362" s="5">
        <v>75856</v>
      </c>
      <c r="K1362" s="18">
        <f t="shared" si="66"/>
        <v>32.542256542256546</v>
      </c>
    </row>
    <row r="1363" spans="1:11" x14ac:dyDescent="0.3">
      <c r="A1363" s="14">
        <v>2023</v>
      </c>
      <c r="B1363" s="14">
        <f t="shared" si="65"/>
        <v>20</v>
      </c>
      <c r="C1363" s="9">
        <v>45061</v>
      </c>
      <c r="D1363" s="9">
        <v>45065</v>
      </c>
      <c r="E1363" s="14">
        <f>VLOOKUP(F1363,CarrierID!A:B,2,0)</f>
        <v>7</v>
      </c>
      <c r="F1363" s="15" t="s">
        <v>4</v>
      </c>
      <c r="G1363" t="str">
        <f>VLOOKUP(F1363,Carrier_Category!A:B,2,0)</f>
        <v>Commuter</v>
      </c>
      <c r="H1363" s="5">
        <v>29</v>
      </c>
      <c r="I1363" s="7">
        <f t="shared" si="67"/>
        <v>2331</v>
      </c>
      <c r="J1363" s="5">
        <v>1416</v>
      </c>
      <c r="K1363" s="18">
        <f t="shared" si="66"/>
        <v>48.827586206896555</v>
      </c>
    </row>
    <row r="1364" spans="1:11" x14ac:dyDescent="0.3">
      <c r="A1364" s="14">
        <v>2023</v>
      </c>
      <c r="B1364" s="14">
        <f t="shared" si="65"/>
        <v>20</v>
      </c>
      <c r="C1364" s="9">
        <v>45061</v>
      </c>
      <c r="D1364" s="9">
        <v>45065</v>
      </c>
      <c r="E1364" s="14">
        <f>VLOOKUP(F1364,CarrierID!A:B,2,0)</f>
        <v>11</v>
      </c>
      <c r="F1364" s="15" t="s">
        <v>5</v>
      </c>
      <c r="G1364" t="str">
        <f>VLOOKUP(F1364,Carrier_Category!A:B,2,0)</f>
        <v>Intercity</v>
      </c>
      <c r="H1364" s="5">
        <v>22</v>
      </c>
      <c r="I1364" s="7">
        <f t="shared" si="67"/>
        <v>29</v>
      </c>
      <c r="J1364" s="5">
        <v>528</v>
      </c>
      <c r="K1364" s="18">
        <f t="shared" si="66"/>
        <v>24</v>
      </c>
    </row>
    <row r="1365" spans="1:11" x14ac:dyDescent="0.3">
      <c r="A1365" s="14">
        <v>2023</v>
      </c>
      <c r="B1365" s="14">
        <f t="shared" si="65"/>
        <v>20</v>
      </c>
      <c r="C1365" s="9">
        <v>45061</v>
      </c>
      <c r="D1365" s="9">
        <v>45065</v>
      </c>
      <c r="E1365" s="14">
        <f>VLOOKUP(F1365,CarrierID!A:B,2,0)</f>
        <v>3</v>
      </c>
      <c r="F1365" s="15" t="s">
        <v>6</v>
      </c>
      <c r="G1365" t="str">
        <f>VLOOKUP(F1365,Carrier_Category!A:B,2,0)</f>
        <v>Commuter</v>
      </c>
      <c r="H1365" s="5">
        <v>150</v>
      </c>
      <c r="I1365" s="7">
        <f t="shared" si="67"/>
        <v>22</v>
      </c>
      <c r="J1365" s="5">
        <v>5209</v>
      </c>
      <c r="K1365" s="18">
        <f t="shared" si="66"/>
        <v>34.726666666666667</v>
      </c>
    </row>
    <row r="1366" spans="1:11" x14ac:dyDescent="0.3">
      <c r="A1366" s="14">
        <v>2023</v>
      </c>
      <c r="B1366" s="14">
        <f t="shared" si="65"/>
        <v>20</v>
      </c>
      <c r="C1366" s="9">
        <v>45061</v>
      </c>
      <c r="D1366" s="9">
        <v>45065</v>
      </c>
      <c r="E1366" s="14">
        <f>VLOOKUP(F1366,CarrierID!A:B,2,0)</f>
        <v>12</v>
      </c>
      <c r="F1366" s="15" t="s">
        <v>25</v>
      </c>
      <c r="G1366" t="str">
        <f>VLOOKUP(F1366,Carrier_Category!A:B,2,0)</f>
        <v>Commuter</v>
      </c>
      <c r="H1366" s="5">
        <v>21</v>
      </c>
      <c r="I1366" s="7">
        <f t="shared" si="67"/>
        <v>147</v>
      </c>
      <c r="J1366" s="5">
        <v>719</v>
      </c>
      <c r="K1366" s="18">
        <f t="shared" si="66"/>
        <v>34.238095238095241</v>
      </c>
    </row>
    <row r="1367" spans="1:11" x14ac:dyDescent="0.3">
      <c r="A1367" s="14">
        <v>2023</v>
      </c>
      <c r="B1367" s="14">
        <f t="shared" si="65"/>
        <v>20</v>
      </c>
      <c r="C1367" s="9">
        <v>45061</v>
      </c>
      <c r="D1367" s="9">
        <v>45065</v>
      </c>
      <c r="E1367" s="14">
        <f>VLOOKUP(F1367,CarrierID!A:B,2,0)</f>
        <v>10</v>
      </c>
      <c r="F1367" s="15" t="s">
        <v>8</v>
      </c>
      <c r="G1367" t="str">
        <f>VLOOKUP(F1367,Carrier_Category!A:B,2,0)</f>
        <v>Intercity</v>
      </c>
      <c r="H1367" s="5">
        <v>26</v>
      </c>
      <c r="I1367" s="7">
        <f t="shared" si="67"/>
        <v>21</v>
      </c>
      <c r="J1367" s="5">
        <v>851</v>
      </c>
      <c r="K1367" s="18">
        <f t="shared" si="66"/>
        <v>32.730769230769234</v>
      </c>
    </row>
    <row r="1368" spans="1:11" x14ac:dyDescent="0.3">
      <c r="A1368" s="14">
        <v>2023</v>
      </c>
      <c r="B1368" s="14">
        <f t="shared" si="65"/>
        <v>20</v>
      </c>
      <c r="C1368" s="9">
        <v>45061</v>
      </c>
      <c r="D1368" s="9">
        <v>45065</v>
      </c>
      <c r="E1368" s="14">
        <f>VLOOKUP(F1368,CarrierID!A:B,2,0)</f>
        <v>6</v>
      </c>
      <c r="F1368" s="15" t="s">
        <v>9</v>
      </c>
      <c r="G1368" t="str">
        <f>VLOOKUP(F1368,Carrier_Category!A:B,2,0)</f>
        <v>Commuter</v>
      </c>
      <c r="H1368" s="5">
        <v>80</v>
      </c>
      <c r="I1368" s="7">
        <f t="shared" si="67"/>
        <v>26</v>
      </c>
      <c r="J1368" s="5">
        <v>1379</v>
      </c>
      <c r="K1368" s="18">
        <f t="shared" si="66"/>
        <v>17.237500000000001</v>
      </c>
    </row>
    <row r="1369" spans="1:11" x14ac:dyDescent="0.3">
      <c r="A1369" s="14">
        <v>2023</v>
      </c>
      <c r="B1369" s="14">
        <f t="shared" si="65"/>
        <v>21</v>
      </c>
      <c r="C1369" s="9">
        <v>45068</v>
      </c>
      <c r="D1369" s="9">
        <v>45072</v>
      </c>
      <c r="E1369" s="14">
        <f>VLOOKUP(F1369,CarrierID!A:B,2,0)</f>
        <v>1</v>
      </c>
      <c r="F1369" s="15" t="s">
        <v>0</v>
      </c>
      <c r="G1369" t="str">
        <f>VLOOKUP(F1369,Carrier_Category!A:B,2,0)</f>
        <v>Commuter</v>
      </c>
      <c r="H1369" s="5">
        <v>37</v>
      </c>
      <c r="I1369" s="7">
        <f t="shared" si="67"/>
        <v>84</v>
      </c>
      <c r="J1369" s="5">
        <v>1248</v>
      </c>
      <c r="K1369" s="18">
        <f t="shared" si="66"/>
        <v>33.729729729729726</v>
      </c>
    </row>
    <row r="1370" spans="1:11" x14ac:dyDescent="0.3">
      <c r="A1370" s="14">
        <v>2023</v>
      </c>
      <c r="B1370" s="14">
        <f t="shared" si="65"/>
        <v>21</v>
      </c>
      <c r="C1370" s="9">
        <v>45068</v>
      </c>
      <c r="D1370" s="9">
        <v>45072</v>
      </c>
      <c r="E1370" s="14">
        <f>VLOOKUP(F1370,CarrierID!A:B,2,0)</f>
        <v>5</v>
      </c>
      <c r="F1370" s="15" t="s">
        <v>1</v>
      </c>
      <c r="G1370" t="str">
        <f>VLOOKUP(F1370,Carrier_Category!A:B,2,0)</f>
        <v>Intercity</v>
      </c>
      <c r="H1370" s="5">
        <v>53</v>
      </c>
      <c r="I1370" s="7">
        <f t="shared" si="67"/>
        <v>37</v>
      </c>
      <c r="J1370" s="5">
        <v>1720</v>
      </c>
      <c r="K1370" s="18">
        <f t="shared" si="66"/>
        <v>32.452830188679243</v>
      </c>
    </row>
    <row r="1371" spans="1:11" x14ac:dyDescent="0.3">
      <c r="A1371" s="14">
        <v>2023</v>
      </c>
      <c r="B1371" s="14">
        <f t="shared" si="65"/>
        <v>21</v>
      </c>
      <c r="C1371" s="9">
        <v>45068</v>
      </c>
      <c r="D1371" s="9">
        <v>45072</v>
      </c>
      <c r="E1371" s="14">
        <f>VLOOKUP(F1371,CarrierID!A:B,2,0)</f>
        <v>8</v>
      </c>
      <c r="F1371" s="15" t="s">
        <v>2</v>
      </c>
      <c r="G1371" t="str">
        <f>VLOOKUP(F1371,Carrier_Category!A:B,2,0)</f>
        <v>Commuter</v>
      </c>
      <c r="H1371" s="5">
        <v>20</v>
      </c>
      <c r="I1371" s="7">
        <f t="shared" si="67"/>
        <v>51</v>
      </c>
      <c r="J1371" s="5">
        <v>804</v>
      </c>
      <c r="K1371" s="18">
        <f t="shared" si="66"/>
        <v>40.200000000000003</v>
      </c>
    </row>
    <row r="1372" spans="1:11" x14ac:dyDescent="0.3">
      <c r="A1372" s="14">
        <v>2023</v>
      </c>
      <c r="B1372" s="14">
        <f t="shared" si="65"/>
        <v>21</v>
      </c>
      <c r="C1372" s="9">
        <v>45068</v>
      </c>
      <c r="D1372" s="9">
        <v>45072</v>
      </c>
      <c r="E1372" s="14">
        <f>VLOOKUP(F1372,CarrierID!A:B,2,0)</f>
        <v>9</v>
      </c>
      <c r="F1372" s="15" t="s">
        <v>3</v>
      </c>
      <c r="G1372" t="str">
        <f>VLOOKUP(F1372,Carrier_Category!A:B,2,0)</f>
        <v>NJT</v>
      </c>
      <c r="H1372" s="5">
        <v>2344</v>
      </c>
      <c r="I1372" s="7">
        <f t="shared" si="67"/>
        <v>20</v>
      </c>
      <c r="J1372" s="5">
        <v>74807</v>
      </c>
      <c r="K1372" s="18">
        <f t="shared" si="66"/>
        <v>31.91424914675768</v>
      </c>
    </row>
    <row r="1373" spans="1:11" x14ac:dyDescent="0.3">
      <c r="A1373" s="14">
        <v>2023</v>
      </c>
      <c r="B1373" s="14">
        <f t="shared" si="65"/>
        <v>21</v>
      </c>
      <c r="C1373" s="9">
        <v>45068</v>
      </c>
      <c r="D1373" s="9">
        <v>45072</v>
      </c>
      <c r="E1373" s="14">
        <f>VLOOKUP(F1373,CarrierID!A:B,2,0)</f>
        <v>7</v>
      </c>
      <c r="F1373" s="15" t="s">
        <v>4</v>
      </c>
      <c r="G1373" t="str">
        <f>VLOOKUP(F1373,Carrier_Category!A:B,2,0)</f>
        <v>Commuter</v>
      </c>
      <c r="H1373" s="5">
        <v>29</v>
      </c>
      <c r="I1373" s="7">
        <f t="shared" si="67"/>
        <v>2331</v>
      </c>
      <c r="J1373" s="5">
        <v>1372</v>
      </c>
      <c r="K1373" s="18">
        <f t="shared" si="66"/>
        <v>47.310344827586206</v>
      </c>
    </row>
    <row r="1374" spans="1:11" x14ac:dyDescent="0.3">
      <c r="A1374" s="14">
        <v>2023</v>
      </c>
      <c r="B1374" s="14">
        <f t="shared" si="65"/>
        <v>21</v>
      </c>
      <c r="C1374" s="9">
        <v>45068</v>
      </c>
      <c r="D1374" s="9">
        <v>45072</v>
      </c>
      <c r="E1374" s="14">
        <f>VLOOKUP(F1374,CarrierID!A:B,2,0)</f>
        <v>11</v>
      </c>
      <c r="F1374" s="15" t="s">
        <v>5</v>
      </c>
      <c r="G1374" t="str">
        <f>VLOOKUP(F1374,Carrier_Category!A:B,2,0)</f>
        <v>Intercity</v>
      </c>
      <c r="H1374" s="5">
        <v>23</v>
      </c>
      <c r="I1374" s="7">
        <f t="shared" si="67"/>
        <v>29</v>
      </c>
      <c r="J1374" s="5">
        <v>646</v>
      </c>
      <c r="K1374" s="18">
        <f t="shared" si="66"/>
        <v>28.086956521739129</v>
      </c>
    </row>
    <row r="1375" spans="1:11" x14ac:dyDescent="0.3">
      <c r="A1375" s="14">
        <v>2023</v>
      </c>
      <c r="B1375" s="14">
        <f t="shared" si="65"/>
        <v>21</v>
      </c>
      <c r="C1375" s="9">
        <v>45068</v>
      </c>
      <c r="D1375" s="9">
        <v>45072</v>
      </c>
      <c r="E1375" s="14">
        <f>VLOOKUP(F1375,CarrierID!A:B,2,0)</f>
        <v>3</v>
      </c>
      <c r="F1375" s="15" t="s">
        <v>6</v>
      </c>
      <c r="G1375" t="str">
        <f>VLOOKUP(F1375,Carrier_Category!A:B,2,0)</f>
        <v>Commuter</v>
      </c>
      <c r="H1375" s="5">
        <v>150</v>
      </c>
      <c r="I1375" s="7">
        <f t="shared" si="67"/>
        <v>22</v>
      </c>
      <c r="J1375" s="5">
        <v>5209</v>
      </c>
      <c r="K1375" s="18">
        <f t="shared" si="66"/>
        <v>34.726666666666667</v>
      </c>
    </row>
    <row r="1376" spans="1:11" x14ac:dyDescent="0.3">
      <c r="A1376" s="14">
        <v>2023</v>
      </c>
      <c r="B1376" s="14">
        <f t="shared" si="65"/>
        <v>21</v>
      </c>
      <c r="C1376" s="9">
        <v>45068</v>
      </c>
      <c r="D1376" s="9">
        <v>45072</v>
      </c>
      <c r="E1376" s="14">
        <f>VLOOKUP(F1376,CarrierID!A:B,2,0)</f>
        <v>12</v>
      </c>
      <c r="F1376" s="15" t="s">
        <v>25</v>
      </c>
      <c r="G1376" t="str">
        <f>VLOOKUP(F1376,Carrier_Category!A:B,2,0)</f>
        <v>Commuter</v>
      </c>
      <c r="H1376" s="5">
        <v>21</v>
      </c>
      <c r="I1376" s="7">
        <f t="shared" si="67"/>
        <v>150</v>
      </c>
      <c r="J1376" s="5">
        <v>713</v>
      </c>
      <c r="K1376" s="18">
        <f t="shared" si="66"/>
        <v>33.952380952380949</v>
      </c>
    </row>
    <row r="1377" spans="1:11" x14ac:dyDescent="0.3">
      <c r="A1377" s="14">
        <v>2023</v>
      </c>
      <c r="B1377" s="14">
        <f t="shared" si="65"/>
        <v>21</v>
      </c>
      <c r="C1377" s="9">
        <v>45068</v>
      </c>
      <c r="D1377" s="9">
        <v>45072</v>
      </c>
      <c r="E1377" s="14">
        <f>VLOOKUP(F1377,CarrierID!A:B,2,0)</f>
        <v>10</v>
      </c>
      <c r="F1377" s="15" t="s">
        <v>8</v>
      </c>
      <c r="G1377" t="str">
        <f>VLOOKUP(F1377,Carrier_Category!A:B,2,0)</f>
        <v>Intercity</v>
      </c>
      <c r="H1377" s="5">
        <v>26</v>
      </c>
      <c r="I1377" s="7">
        <f t="shared" si="67"/>
        <v>21</v>
      </c>
      <c r="J1377" s="5">
        <v>851</v>
      </c>
      <c r="K1377" s="18">
        <f t="shared" si="66"/>
        <v>32.730769230769234</v>
      </c>
    </row>
    <row r="1378" spans="1:11" x14ac:dyDescent="0.3">
      <c r="A1378" s="14">
        <v>2023</v>
      </c>
      <c r="B1378" s="14">
        <f t="shared" si="65"/>
        <v>21</v>
      </c>
      <c r="C1378" s="9">
        <v>45068</v>
      </c>
      <c r="D1378" s="9">
        <v>45072</v>
      </c>
      <c r="E1378" s="14">
        <f>VLOOKUP(F1378,CarrierID!A:B,2,0)</f>
        <v>6</v>
      </c>
      <c r="F1378" s="15" t="s">
        <v>9</v>
      </c>
      <c r="G1378" t="str">
        <f>VLOOKUP(F1378,Carrier_Category!A:B,2,0)</f>
        <v>Commuter</v>
      </c>
      <c r="H1378" s="5">
        <v>80</v>
      </c>
      <c r="I1378" s="7">
        <f t="shared" si="67"/>
        <v>26</v>
      </c>
      <c r="J1378" s="5">
        <v>1379</v>
      </c>
      <c r="K1378" s="18">
        <f t="shared" si="66"/>
        <v>17.237500000000001</v>
      </c>
    </row>
    <row r="1379" spans="1:11" x14ac:dyDescent="0.3">
      <c r="A1379" s="14">
        <v>2023</v>
      </c>
      <c r="B1379" s="14">
        <f t="shared" si="65"/>
        <v>22</v>
      </c>
      <c r="C1379" s="9">
        <v>45075</v>
      </c>
      <c r="D1379" s="9">
        <v>45079</v>
      </c>
      <c r="E1379" s="14">
        <f>VLOOKUP(F1379,CarrierID!A:B,2,0)</f>
        <v>1</v>
      </c>
      <c r="F1379" s="15" t="s">
        <v>0</v>
      </c>
      <c r="G1379" t="str">
        <f>VLOOKUP(F1379,Carrier_Category!A:B,2,0)</f>
        <v>Commuter</v>
      </c>
      <c r="H1379" s="5">
        <v>35</v>
      </c>
      <c r="I1379" s="7">
        <f t="shared" si="67"/>
        <v>80</v>
      </c>
      <c r="J1379" s="5">
        <v>1176</v>
      </c>
      <c r="K1379" s="18">
        <f t="shared" si="66"/>
        <v>33.6</v>
      </c>
    </row>
    <row r="1380" spans="1:11" x14ac:dyDescent="0.3">
      <c r="A1380" s="14">
        <v>2023</v>
      </c>
      <c r="B1380" s="14">
        <f t="shared" si="65"/>
        <v>22</v>
      </c>
      <c r="C1380" s="9">
        <v>45075</v>
      </c>
      <c r="D1380" s="9">
        <v>45079</v>
      </c>
      <c r="E1380" s="14">
        <f>VLOOKUP(F1380,CarrierID!A:B,2,0)</f>
        <v>5</v>
      </c>
      <c r="F1380" s="15" t="s">
        <v>1</v>
      </c>
      <c r="G1380" t="str">
        <f>VLOOKUP(F1380,Carrier_Category!A:B,2,0)</f>
        <v>Intercity</v>
      </c>
      <c r="H1380" s="5">
        <v>50</v>
      </c>
      <c r="I1380" s="7">
        <f t="shared" si="67"/>
        <v>37</v>
      </c>
      <c r="J1380" s="5">
        <v>1658</v>
      </c>
      <c r="K1380" s="18">
        <f t="shared" si="66"/>
        <v>33.159999999999997</v>
      </c>
    </row>
    <row r="1381" spans="1:11" x14ac:dyDescent="0.3">
      <c r="A1381" s="14">
        <v>2023</v>
      </c>
      <c r="B1381" s="14">
        <f t="shared" si="65"/>
        <v>22</v>
      </c>
      <c r="C1381" s="9">
        <v>45075</v>
      </c>
      <c r="D1381" s="9">
        <v>45079</v>
      </c>
      <c r="E1381" s="14">
        <f>VLOOKUP(F1381,CarrierID!A:B,2,0)</f>
        <v>8</v>
      </c>
      <c r="F1381" s="15" t="s">
        <v>2</v>
      </c>
      <c r="G1381" t="str">
        <f>VLOOKUP(F1381,Carrier_Category!A:B,2,0)</f>
        <v>Commuter</v>
      </c>
      <c r="H1381" s="5">
        <v>18</v>
      </c>
      <c r="I1381" s="7">
        <f t="shared" si="67"/>
        <v>53</v>
      </c>
      <c r="J1381" s="5">
        <v>694</v>
      </c>
      <c r="K1381" s="18">
        <f t="shared" si="66"/>
        <v>38.555555555555557</v>
      </c>
    </row>
    <row r="1382" spans="1:11" x14ac:dyDescent="0.3">
      <c r="A1382" s="14">
        <v>2023</v>
      </c>
      <c r="B1382" s="14">
        <f t="shared" si="65"/>
        <v>22</v>
      </c>
      <c r="C1382" s="9">
        <v>45075</v>
      </c>
      <c r="D1382" s="9">
        <v>45079</v>
      </c>
      <c r="E1382" s="14">
        <f>VLOOKUP(F1382,CarrierID!A:B,2,0)</f>
        <v>9</v>
      </c>
      <c r="F1382" s="15" t="s">
        <v>3</v>
      </c>
      <c r="G1382" t="str">
        <f>VLOOKUP(F1382,Carrier_Category!A:B,2,0)</f>
        <v>NJT</v>
      </c>
      <c r="H1382" s="5">
        <v>2340</v>
      </c>
      <c r="I1382" s="7">
        <f t="shared" si="67"/>
        <v>20</v>
      </c>
      <c r="J1382" s="5">
        <v>74291</v>
      </c>
      <c r="K1382" s="18">
        <f t="shared" si="66"/>
        <v>31.748290598290598</v>
      </c>
    </row>
    <row r="1383" spans="1:11" x14ac:dyDescent="0.3">
      <c r="A1383" s="14">
        <v>2023</v>
      </c>
      <c r="B1383" s="14">
        <f t="shared" si="65"/>
        <v>22</v>
      </c>
      <c r="C1383" s="9">
        <v>45075</v>
      </c>
      <c r="D1383" s="9">
        <v>45079</v>
      </c>
      <c r="E1383" s="14">
        <f>VLOOKUP(F1383,CarrierID!A:B,2,0)</f>
        <v>7</v>
      </c>
      <c r="F1383" s="15" t="s">
        <v>4</v>
      </c>
      <c r="G1383" t="str">
        <f>VLOOKUP(F1383,Carrier_Category!A:B,2,0)</f>
        <v>Commuter</v>
      </c>
      <c r="H1383" s="5">
        <v>25</v>
      </c>
      <c r="I1383" s="7">
        <f t="shared" si="67"/>
        <v>2344</v>
      </c>
      <c r="J1383" s="5">
        <v>1184</v>
      </c>
      <c r="K1383" s="18">
        <f t="shared" si="66"/>
        <v>47.36</v>
      </c>
    </row>
    <row r="1384" spans="1:11" x14ac:dyDescent="0.3">
      <c r="A1384" s="14">
        <v>2023</v>
      </c>
      <c r="B1384" s="14">
        <f t="shared" si="65"/>
        <v>22</v>
      </c>
      <c r="C1384" s="9">
        <v>45075</v>
      </c>
      <c r="D1384" s="9">
        <v>45079</v>
      </c>
      <c r="E1384" s="14">
        <f>VLOOKUP(F1384,CarrierID!A:B,2,0)</f>
        <v>11</v>
      </c>
      <c r="F1384" s="15" t="s">
        <v>5</v>
      </c>
      <c r="G1384" t="str">
        <f>VLOOKUP(F1384,Carrier_Category!A:B,2,0)</f>
        <v>Intercity</v>
      </c>
      <c r="H1384" s="5">
        <v>23</v>
      </c>
      <c r="I1384" s="7">
        <f t="shared" si="67"/>
        <v>29</v>
      </c>
      <c r="J1384" s="5">
        <v>595</v>
      </c>
      <c r="K1384" s="18">
        <f t="shared" si="66"/>
        <v>25.869565217391305</v>
      </c>
    </row>
    <row r="1385" spans="1:11" x14ac:dyDescent="0.3">
      <c r="A1385" s="14">
        <v>2023</v>
      </c>
      <c r="B1385" s="14">
        <f t="shared" si="65"/>
        <v>22</v>
      </c>
      <c r="C1385" s="9">
        <v>45075</v>
      </c>
      <c r="D1385" s="9">
        <v>45079</v>
      </c>
      <c r="E1385" s="14">
        <f>VLOOKUP(F1385,CarrierID!A:B,2,0)</f>
        <v>3</v>
      </c>
      <c r="F1385" s="15" t="s">
        <v>6</v>
      </c>
      <c r="G1385" t="str">
        <f>VLOOKUP(F1385,Carrier_Category!A:B,2,0)</f>
        <v>Commuter</v>
      </c>
      <c r="H1385" s="5">
        <v>129</v>
      </c>
      <c r="I1385" s="7">
        <f t="shared" si="67"/>
        <v>23</v>
      </c>
      <c r="J1385" s="5">
        <v>4397</v>
      </c>
      <c r="K1385" s="18">
        <f t="shared" si="66"/>
        <v>34.085271317829459</v>
      </c>
    </row>
    <row r="1386" spans="1:11" x14ac:dyDescent="0.3">
      <c r="A1386" s="14">
        <v>2023</v>
      </c>
      <c r="B1386" s="14">
        <f t="shared" si="65"/>
        <v>22</v>
      </c>
      <c r="C1386" s="9">
        <v>45075</v>
      </c>
      <c r="D1386" s="9">
        <v>45079</v>
      </c>
      <c r="E1386" s="14">
        <f>VLOOKUP(F1386,CarrierID!A:B,2,0)</f>
        <v>12</v>
      </c>
      <c r="F1386" s="15" t="s">
        <v>25</v>
      </c>
      <c r="G1386" t="str">
        <f>VLOOKUP(F1386,Carrier_Category!A:B,2,0)</f>
        <v>Commuter</v>
      </c>
      <c r="H1386" s="5">
        <v>19</v>
      </c>
      <c r="I1386" s="7">
        <f t="shared" si="67"/>
        <v>150</v>
      </c>
      <c r="J1386" s="5">
        <v>578</v>
      </c>
      <c r="K1386" s="18">
        <f t="shared" si="66"/>
        <v>30.421052631578949</v>
      </c>
    </row>
    <row r="1387" spans="1:11" x14ac:dyDescent="0.3">
      <c r="A1387" s="14">
        <v>2023</v>
      </c>
      <c r="B1387" s="14">
        <f t="shared" si="65"/>
        <v>22</v>
      </c>
      <c r="C1387" s="9">
        <v>45075</v>
      </c>
      <c r="D1387" s="9">
        <v>45079</v>
      </c>
      <c r="E1387" s="14">
        <f>VLOOKUP(F1387,CarrierID!A:B,2,0)</f>
        <v>10</v>
      </c>
      <c r="F1387" s="15" t="s">
        <v>8</v>
      </c>
      <c r="G1387" t="str">
        <f>VLOOKUP(F1387,Carrier_Category!A:B,2,0)</f>
        <v>Intercity</v>
      </c>
      <c r="H1387" s="5">
        <v>34</v>
      </c>
      <c r="I1387" s="7">
        <f t="shared" si="67"/>
        <v>21</v>
      </c>
      <c r="J1387" s="5">
        <v>1227</v>
      </c>
      <c r="K1387" s="18">
        <f t="shared" si="66"/>
        <v>36.088235294117645</v>
      </c>
    </row>
    <row r="1388" spans="1:11" x14ac:dyDescent="0.3">
      <c r="A1388" s="14">
        <v>2023</v>
      </c>
      <c r="B1388" s="14">
        <f t="shared" si="65"/>
        <v>22</v>
      </c>
      <c r="C1388" s="9">
        <v>45075</v>
      </c>
      <c r="D1388" s="9">
        <v>45079</v>
      </c>
      <c r="E1388" s="14">
        <f>VLOOKUP(F1388,CarrierID!A:B,2,0)</f>
        <v>6</v>
      </c>
      <c r="F1388" s="15" t="s">
        <v>9</v>
      </c>
      <c r="G1388" t="str">
        <f>VLOOKUP(F1388,Carrier_Category!A:B,2,0)</f>
        <v>Commuter</v>
      </c>
      <c r="H1388" s="5">
        <v>80</v>
      </c>
      <c r="I1388" s="7">
        <f t="shared" si="67"/>
        <v>26</v>
      </c>
      <c r="J1388" s="5">
        <v>1379</v>
      </c>
      <c r="K1388" s="18">
        <f t="shared" si="66"/>
        <v>17.237500000000001</v>
      </c>
    </row>
    <row r="1389" spans="1:11" x14ac:dyDescent="0.3">
      <c r="A1389" s="14">
        <v>2023</v>
      </c>
      <c r="B1389" s="14">
        <f t="shared" si="65"/>
        <v>23</v>
      </c>
      <c r="C1389" s="9">
        <v>45082</v>
      </c>
      <c r="D1389" s="9">
        <v>45086</v>
      </c>
      <c r="E1389" s="14">
        <f>VLOOKUP(F1389,CarrierID!A:B,2,0)</f>
        <v>1</v>
      </c>
      <c r="F1389" s="15" t="s">
        <v>0</v>
      </c>
      <c r="G1389" t="str">
        <f>VLOOKUP(F1389,Carrier_Category!A:B,2,0)</f>
        <v>Commuter</v>
      </c>
      <c r="H1389" s="5">
        <v>35</v>
      </c>
      <c r="I1389" s="7">
        <f t="shared" si="67"/>
        <v>80</v>
      </c>
      <c r="J1389" s="5">
        <v>1176</v>
      </c>
      <c r="K1389" s="18">
        <f t="shared" si="66"/>
        <v>33.6</v>
      </c>
    </row>
    <row r="1390" spans="1:11" x14ac:dyDescent="0.3">
      <c r="A1390" s="14">
        <v>2023</v>
      </c>
      <c r="B1390" s="14">
        <f t="shared" si="65"/>
        <v>23</v>
      </c>
      <c r="C1390" s="9">
        <v>45082</v>
      </c>
      <c r="D1390" s="9">
        <v>45086</v>
      </c>
      <c r="E1390" s="14">
        <f>VLOOKUP(F1390,CarrierID!A:B,2,0)</f>
        <v>5</v>
      </c>
      <c r="F1390" s="15" t="s">
        <v>1</v>
      </c>
      <c r="G1390" t="str">
        <f>VLOOKUP(F1390,Carrier_Category!A:B,2,0)</f>
        <v>Intercity</v>
      </c>
      <c r="H1390" s="5">
        <v>54</v>
      </c>
      <c r="I1390" s="7">
        <f t="shared" si="67"/>
        <v>35</v>
      </c>
      <c r="J1390" s="5">
        <v>1499</v>
      </c>
      <c r="K1390" s="18">
        <f t="shared" si="66"/>
        <v>27.75925925925926</v>
      </c>
    </row>
    <row r="1391" spans="1:11" x14ac:dyDescent="0.3">
      <c r="A1391" s="14">
        <v>2023</v>
      </c>
      <c r="B1391" s="14">
        <f t="shared" si="65"/>
        <v>23</v>
      </c>
      <c r="C1391" s="9">
        <v>45082</v>
      </c>
      <c r="D1391" s="9">
        <v>45086</v>
      </c>
      <c r="E1391" s="14">
        <f>VLOOKUP(F1391,CarrierID!A:B,2,0)</f>
        <v>8</v>
      </c>
      <c r="F1391" s="15" t="s">
        <v>2</v>
      </c>
      <c r="G1391" t="str">
        <f>VLOOKUP(F1391,Carrier_Category!A:B,2,0)</f>
        <v>Commuter</v>
      </c>
      <c r="H1391" s="5">
        <v>20</v>
      </c>
      <c r="I1391" s="7">
        <f t="shared" si="67"/>
        <v>50</v>
      </c>
      <c r="J1391" s="5">
        <v>786</v>
      </c>
      <c r="K1391" s="18">
        <f t="shared" si="66"/>
        <v>39.299999999999997</v>
      </c>
    </row>
    <row r="1392" spans="1:11" x14ac:dyDescent="0.3">
      <c r="A1392" s="14">
        <v>2023</v>
      </c>
      <c r="B1392" s="14">
        <f t="shared" si="65"/>
        <v>23</v>
      </c>
      <c r="C1392" s="9">
        <v>45082</v>
      </c>
      <c r="D1392" s="9">
        <v>45086</v>
      </c>
      <c r="E1392" s="14">
        <f>VLOOKUP(F1392,CarrierID!A:B,2,0)</f>
        <v>9</v>
      </c>
      <c r="F1392" s="15" t="s">
        <v>3</v>
      </c>
      <c r="G1392" t="str">
        <f>VLOOKUP(F1392,Carrier_Category!A:B,2,0)</f>
        <v>NJT</v>
      </c>
      <c r="H1392" s="5">
        <v>2336</v>
      </c>
      <c r="I1392" s="7">
        <f t="shared" si="67"/>
        <v>18</v>
      </c>
      <c r="J1392" s="5">
        <v>73857</v>
      </c>
      <c r="K1392" s="18">
        <f t="shared" si="66"/>
        <v>31.616866438356166</v>
      </c>
    </row>
    <row r="1393" spans="1:11" x14ac:dyDescent="0.3">
      <c r="A1393" s="14">
        <v>2023</v>
      </c>
      <c r="B1393" s="14">
        <f t="shared" si="65"/>
        <v>23</v>
      </c>
      <c r="C1393" s="9">
        <v>45082</v>
      </c>
      <c r="D1393" s="9">
        <v>45086</v>
      </c>
      <c r="E1393" s="14">
        <f>VLOOKUP(F1393,CarrierID!A:B,2,0)</f>
        <v>7</v>
      </c>
      <c r="F1393" s="15" t="s">
        <v>4</v>
      </c>
      <c r="G1393" t="str">
        <f>VLOOKUP(F1393,Carrier_Category!A:B,2,0)</f>
        <v>Commuter</v>
      </c>
      <c r="H1393" s="5">
        <v>28</v>
      </c>
      <c r="I1393" s="7">
        <f t="shared" si="67"/>
        <v>2340</v>
      </c>
      <c r="J1393" s="5">
        <v>1338</v>
      </c>
      <c r="K1393" s="18">
        <f t="shared" si="66"/>
        <v>47.785714285714285</v>
      </c>
    </row>
    <row r="1394" spans="1:11" x14ac:dyDescent="0.3">
      <c r="A1394" s="14">
        <v>2023</v>
      </c>
      <c r="B1394" s="14">
        <f t="shared" si="65"/>
        <v>23</v>
      </c>
      <c r="C1394" s="9">
        <v>45082</v>
      </c>
      <c r="D1394" s="9">
        <v>45086</v>
      </c>
      <c r="E1394" s="14">
        <f>VLOOKUP(F1394,CarrierID!A:B,2,0)</f>
        <v>11</v>
      </c>
      <c r="F1394" s="15" t="s">
        <v>5</v>
      </c>
      <c r="G1394" t="str">
        <f>VLOOKUP(F1394,Carrier_Category!A:B,2,0)</f>
        <v>Intercity</v>
      </c>
      <c r="H1394" s="5">
        <v>21</v>
      </c>
      <c r="I1394" s="7">
        <f t="shared" si="67"/>
        <v>25</v>
      </c>
      <c r="J1394" s="5">
        <v>498</v>
      </c>
      <c r="K1394" s="18">
        <f t="shared" si="66"/>
        <v>23.714285714285715</v>
      </c>
    </row>
    <row r="1395" spans="1:11" x14ac:dyDescent="0.3">
      <c r="A1395" s="14">
        <v>2023</v>
      </c>
      <c r="B1395" s="14">
        <f t="shared" si="65"/>
        <v>23</v>
      </c>
      <c r="C1395" s="9">
        <v>45082</v>
      </c>
      <c r="D1395" s="9">
        <v>45086</v>
      </c>
      <c r="E1395" s="14">
        <f>VLOOKUP(F1395,CarrierID!A:B,2,0)</f>
        <v>3</v>
      </c>
      <c r="F1395" s="15" t="s">
        <v>6</v>
      </c>
      <c r="G1395" t="str">
        <f>VLOOKUP(F1395,Carrier_Category!A:B,2,0)</f>
        <v>Commuter</v>
      </c>
      <c r="H1395" s="5">
        <v>153</v>
      </c>
      <c r="I1395" s="7">
        <f t="shared" si="67"/>
        <v>23</v>
      </c>
      <c r="J1395" s="5">
        <v>4995</v>
      </c>
      <c r="K1395" s="18">
        <f t="shared" si="66"/>
        <v>32.647058823529413</v>
      </c>
    </row>
    <row r="1396" spans="1:11" x14ac:dyDescent="0.3">
      <c r="A1396" s="14">
        <v>2023</v>
      </c>
      <c r="B1396" s="14">
        <f t="shared" si="65"/>
        <v>23</v>
      </c>
      <c r="C1396" s="9">
        <v>45082</v>
      </c>
      <c r="D1396" s="9">
        <v>45086</v>
      </c>
      <c r="E1396" s="14">
        <f>VLOOKUP(F1396,CarrierID!A:B,2,0)</f>
        <v>12</v>
      </c>
      <c r="F1396" s="15" t="s">
        <v>25</v>
      </c>
      <c r="G1396" t="str">
        <f>VLOOKUP(F1396,Carrier_Category!A:B,2,0)</f>
        <v>Commuter</v>
      </c>
      <c r="H1396" s="5">
        <v>23</v>
      </c>
      <c r="I1396" s="7">
        <f t="shared" si="67"/>
        <v>129</v>
      </c>
      <c r="J1396" s="5">
        <v>680</v>
      </c>
      <c r="K1396" s="18">
        <f t="shared" si="66"/>
        <v>29.565217391304348</v>
      </c>
    </row>
    <row r="1397" spans="1:11" x14ac:dyDescent="0.3">
      <c r="A1397" s="14">
        <v>2023</v>
      </c>
      <c r="B1397" s="14">
        <f t="shared" si="65"/>
        <v>23</v>
      </c>
      <c r="C1397" s="9">
        <v>45082</v>
      </c>
      <c r="D1397" s="9">
        <v>45086</v>
      </c>
      <c r="E1397" s="14">
        <f>VLOOKUP(F1397,CarrierID!A:B,2,0)</f>
        <v>10</v>
      </c>
      <c r="F1397" s="15" t="s">
        <v>8</v>
      </c>
      <c r="G1397" t="str">
        <f>VLOOKUP(F1397,Carrier_Category!A:B,2,0)</f>
        <v>Intercity</v>
      </c>
      <c r="H1397" s="5">
        <v>24</v>
      </c>
      <c r="I1397" s="7">
        <f t="shared" si="67"/>
        <v>19</v>
      </c>
      <c r="J1397" s="5">
        <v>698</v>
      </c>
      <c r="K1397" s="18">
        <f t="shared" si="66"/>
        <v>29.083333333333332</v>
      </c>
    </row>
    <row r="1398" spans="1:11" x14ac:dyDescent="0.3">
      <c r="A1398" s="14">
        <v>2023</v>
      </c>
      <c r="B1398" s="14">
        <f t="shared" si="65"/>
        <v>23</v>
      </c>
      <c r="C1398" s="9">
        <v>45082</v>
      </c>
      <c r="D1398" s="9">
        <v>45086</v>
      </c>
      <c r="E1398" s="14">
        <f>VLOOKUP(F1398,CarrierID!A:B,2,0)</f>
        <v>6</v>
      </c>
      <c r="F1398" s="15" t="s">
        <v>9</v>
      </c>
      <c r="G1398" t="str">
        <f>VLOOKUP(F1398,Carrier_Category!A:B,2,0)</f>
        <v>Commuter</v>
      </c>
      <c r="H1398" s="5">
        <v>80</v>
      </c>
      <c r="I1398" s="7">
        <f t="shared" si="67"/>
        <v>34</v>
      </c>
      <c r="J1398" s="5">
        <v>1379</v>
      </c>
      <c r="K1398" s="18">
        <f t="shared" si="66"/>
        <v>17.237500000000001</v>
      </c>
    </row>
    <row r="1399" spans="1:11" x14ac:dyDescent="0.3">
      <c r="A1399" s="14">
        <v>2023</v>
      </c>
      <c r="B1399" s="14">
        <f t="shared" si="65"/>
        <v>24</v>
      </c>
      <c r="C1399" s="9">
        <v>45089</v>
      </c>
      <c r="D1399" s="9">
        <v>45093</v>
      </c>
      <c r="E1399" s="14">
        <f>VLOOKUP(F1399,CarrierID!A:B,2,0)</f>
        <v>1</v>
      </c>
      <c r="F1399" s="15" t="s">
        <v>0</v>
      </c>
      <c r="G1399" t="str">
        <f>VLOOKUP(F1399,Carrier_Category!A:B,2,0)</f>
        <v>Commuter</v>
      </c>
      <c r="H1399" s="5">
        <v>37</v>
      </c>
      <c r="I1399" s="7">
        <f t="shared" si="67"/>
        <v>80</v>
      </c>
      <c r="J1399" s="5">
        <v>1235</v>
      </c>
      <c r="K1399" s="18">
        <f t="shared" si="66"/>
        <v>33.378378378378379</v>
      </c>
    </row>
    <row r="1400" spans="1:11" x14ac:dyDescent="0.3">
      <c r="A1400" s="14">
        <v>2023</v>
      </c>
      <c r="B1400" s="14">
        <f t="shared" si="65"/>
        <v>24</v>
      </c>
      <c r="C1400" s="9">
        <v>45089</v>
      </c>
      <c r="D1400" s="9">
        <v>45093</v>
      </c>
      <c r="E1400" s="14">
        <f>VLOOKUP(F1400,CarrierID!A:B,2,0)</f>
        <v>5</v>
      </c>
      <c r="F1400" s="15" t="s">
        <v>1</v>
      </c>
      <c r="G1400" t="str">
        <f>VLOOKUP(F1400,Carrier_Category!A:B,2,0)</f>
        <v>Intercity</v>
      </c>
      <c r="H1400" s="5">
        <v>56</v>
      </c>
      <c r="I1400" s="7">
        <f t="shared" si="67"/>
        <v>35</v>
      </c>
      <c r="J1400" s="5">
        <v>1636</v>
      </c>
      <c r="K1400" s="18">
        <f t="shared" si="66"/>
        <v>29.214285714285715</v>
      </c>
    </row>
    <row r="1401" spans="1:11" x14ac:dyDescent="0.3">
      <c r="A1401" s="14">
        <v>2023</v>
      </c>
      <c r="B1401" s="14">
        <f t="shared" si="65"/>
        <v>24</v>
      </c>
      <c r="C1401" s="9">
        <v>45089</v>
      </c>
      <c r="D1401" s="9">
        <v>45093</v>
      </c>
      <c r="E1401" s="14">
        <f>VLOOKUP(F1401,CarrierID!A:B,2,0)</f>
        <v>8</v>
      </c>
      <c r="F1401" s="15" t="s">
        <v>2</v>
      </c>
      <c r="G1401" t="str">
        <f>VLOOKUP(F1401,Carrier_Category!A:B,2,0)</f>
        <v>Commuter</v>
      </c>
      <c r="H1401" s="5">
        <v>20</v>
      </c>
      <c r="I1401" s="7">
        <f t="shared" si="67"/>
        <v>54</v>
      </c>
      <c r="J1401" s="5">
        <v>797</v>
      </c>
      <c r="K1401" s="18">
        <f t="shared" si="66"/>
        <v>39.85</v>
      </c>
    </row>
    <row r="1402" spans="1:11" x14ac:dyDescent="0.3">
      <c r="A1402" s="14">
        <v>2023</v>
      </c>
      <c r="B1402" s="14">
        <f t="shared" si="65"/>
        <v>24</v>
      </c>
      <c r="C1402" s="9">
        <v>45089</v>
      </c>
      <c r="D1402" s="9">
        <v>45093</v>
      </c>
      <c r="E1402" s="14">
        <f>VLOOKUP(F1402,CarrierID!A:B,2,0)</f>
        <v>9</v>
      </c>
      <c r="F1402" s="15" t="s">
        <v>3</v>
      </c>
      <c r="G1402" t="str">
        <f>VLOOKUP(F1402,Carrier_Category!A:B,2,0)</f>
        <v>NJT</v>
      </c>
      <c r="H1402" s="5">
        <v>2342</v>
      </c>
      <c r="I1402" s="7">
        <f t="shared" si="67"/>
        <v>20</v>
      </c>
      <c r="J1402" s="5">
        <v>75661</v>
      </c>
      <c r="K1402" s="18">
        <f t="shared" si="66"/>
        <v>32.306148590947906</v>
      </c>
    </row>
    <row r="1403" spans="1:11" x14ac:dyDescent="0.3">
      <c r="A1403" s="14">
        <v>2023</v>
      </c>
      <c r="B1403" s="14">
        <f t="shared" si="65"/>
        <v>24</v>
      </c>
      <c r="C1403" s="9">
        <v>45089</v>
      </c>
      <c r="D1403" s="9">
        <v>45093</v>
      </c>
      <c r="E1403" s="14">
        <f>VLOOKUP(F1403,CarrierID!A:B,2,0)</f>
        <v>7</v>
      </c>
      <c r="F1403" s="15" t="s">
        <v>4</v>
      </c>
      <c r="G1403" t="str">
        <f>VLOOKUP(F1403,Carrier_Category!A:B,2,0)</f>
        <v>Commuter</v>
      </c>
      <c r="H1403" s="5">
        <v>28</v>
      </c>
      <c r="I1403" s="7">
        <f t="shared" si="67"/>
        <v>2336</v>
      </c>
      <c r="J1403" s="5">
        <v>1411</v>
      </c>
      <c r="K1403" s="18">
        <f t="shared" si="66"/>
        <v>50.392857142857146</v>
      </c>
    </row>
    <row r="1404" spans="1:11" x14ac:dyDescent="0.3">
      <c r="A1404" s="14">
        <v>2023</v>
      </c>
      <c r="B1404" s="14">
        <f t="shared" si="65"/>
        <v>24</v>
      </c>
      <c r="C1404" s="9">
        <v>45089</v>
      </c>
      <c r="D1404" s="9">
        <v>45093</v>
      </c>
      <c r="E1404" s="14">
        <f>VLOOKUP(F1404,CarrierID!A:B,2,0)</f>
        <v>11</v>
      </c>
      <c r="F1404" s="15" t="s">
        <v>5</v>
      </c>
      <c r="G1404" t="str">
        <f>VLOOKUP(F1404,Carrier_Category!A:B,2,0)</f>
        <v>Intercity</v>
      </c>
      <c r="H1404" s="5">
        <v>21</v>
      </c>
      <c r="I1404" s="7">
        <f t="shared" si="67"/>
        <v>28</v>
      </c>
      <c r="J1404" s="5">
        <v>541</v>
      </c>
      <c r="K1404" s="18">
        <f t="shared" si="66"/>
        <v>25.761904761904763</v>
      </c>
    </row>
    <row r="1405" spans="1:11" x14ac:dyDescent="0.3">
      <c r="A1405" s="14">
        <v>2023</v>
      </c>
      <c r="B1405" s="14">
        <f t="shared" si="65"/>
        <v>24</v>
      </c>
      <c r="C1405" s="9">
        <v>45089</v>
      </c>
      <c r="D1405" s="9">
        <v>45093</v>
      </c>
      <c r="E1405" s="14">
        <f>VLOOKUP(F1405,CarrierID!A:B,2,0)</f>
        <v>3</v>
      </c>
      <c r="F1405" s="15" t="s">
        <v>6</v>
      </c>
      <c r="G1405" t="str">
        <f>VLOOKUP(F1405,Carrier_Category!A:B,2,0)</f>
        <v>Commuter</v>
      </c>
      <c r="H1405" s="5">
        <v>153</v>
      </c>
      <c r="I1405" s="7">
        <f t="shared" si="67"/>
        <v>21</v>
      </c>
      <c r="J1405" s="5">
        <v>5233</v>
      </c>
      <c r="K1405" s="18">
        <f t="shared" si="66"/>
        <v>34.20261437908497</v>
      </c>
    </row>
    <row r="1406" spans="1:11" x14ac:dyDescent="0.3">
      <c r="A1406" s="14">
        <v>2023</v>
      </c>
      <c r="B1406" s="14">
        <f t="shared" si="65"/>
        <v>24</v>
      </c>
      <c r="C1406" s="9">
        <v>45089</v>
      </c>
      <c r="D1406" s="9">
        <v>45093</v>
      </c>
      <c r="E1406" s="14">
        <f>VLOOKUP(F1406,CarrierID!A:B,2,0)</f>
        <v>12</v>
      </c>
      <c r="F1406" s="15" t="s">
        <v>25</v>
      </c>
      <c r="G1406" t="str">
        <f>VLOOKUP(F1406,Carrier_Category!A:B,2,0)</f>
        <v>Commuter</v>
      </c>
      <c r="H1406" s="5">
        <v>24</v>
      </c>
      <c r="I1406" s="7">
        <f t="shared" si="67"/>
        <v>153</v>
      </c>
      <c r="J1406" s="5">
        <v>677</v>
      </c>
      <c r="K1406" s="18">
        <f t="shared" si="66"/>
        <v>28.208333333333332</v>
      </c>
    </row>
    <row r="1407" spans="1:11" x14ac:dyDescent="0.3">
      <c r="A1407" s="14">
        <v>2023</v>
      </c>
      <c r="B1407" s="14">
        <f t="shared" si="65"/>
        <v>24</v>
      </c>
      <c r="C1407" s="9">
        <v>45089</v>
      </c>
      <c r="D1407" s="9">
        <v>45093</v>
      </c>
      <c r="E1407" s="14">
        <f>VLOOKUP(F1407,CarrierID!A:B,2,0)</f>
        <v>10</v>
      </c>
      <c r="F1407" s="15" t="s">
        <v>8</v>
      </c>
      <c r="G1407" t="str">
        <f>VLOOKUP(F1407,Carrier_Category!A:B,2,0)</f>
        <v>Intercity</v>
      </c>
      <c r="H1407" s="5">
        <v>24</v>
      </c>
      <c r="I1407" s="7">
        <f t="shared" si="67"/>
        <v>23</v>
      </c>
      <c r="J1407" s="5">
        <v>698</v>
      </c>
      <c r="K1407" s="18">
        <f t="shared" si="66"/>
        <v>29.083333333333332</v>
      </c>
    </row>
    <row r="1408" spans="1:11" x14ac:dyDescent="0.3">
      <c r="A1408" s="14">
        <v>2023</v>
      </c>
      <c r="B1408" s="14">
        <f t="shared" si="65"/>
        <v>24</v>
      </c>
      <c r="C1408" s="9">
        <v>45089</v>
      </c>
      <c r="D1408" s="9">
        <v>45093</v>
      </c>
      <c r="E1408" s="14">
        <f>VLOOKUP(F1408,CarrierID!A:B,2,0)</f>
        <v>6</v>
      </c>
      <c r="F1408" s="15" t="s">
        <v>9</v>
      </c>
      <c r="G1408" t="str">
        <f>VLOOKUP(F1408,Carrier_Category!A:B,2,0)</f>
        <v>Commuter</v>
      </c>
      <c r="H1408" s="5">
        <v>81</v>
      </c>
      <c r="I1408" s="7">
        <f t="shared" si="67"/>
        <v>24</v>
      </c>
      <c r="J1408" s="5">
        <v>1540</v>
      </c>
      <c r="K1408" s="18">
        <f t="shared" si="66"/>
        <v>19.012345679012345</v>
      </c>
    </row>
    <row r="1409" spans="1:11" x14ac:dyDescent="0.3">
      <c r="A1409" s="14">
        <v>2023</v>
      </c>
      <c r="B1409" s="14">
        <f t="shared" si="65"/>
        <v>25</v>
      </c>
      <c r="C1409" s="9">
        <v>45096</v>
      </c>
      <c r="D1409" s="9">
        <v>45100</v>
      </c>
      <c r="E1409" s="14">
        <f>VLOOKUP(F1409,CarrierID!A:B,2,0)</f>
        <v>1</v>
      </c>
      <c r="F1409" s="15" t="s">
        <v>0</v>
      </c>
      <c r="G1409" t="str">
        <f>VLOOKUP(F1409,Carrier_Category!A:B,2,0)</f>
        <v>Commuter</v>
      </c>
      <c r="H1409" s="5">
        <v>34</v>
      </c>
      <c r="I1409" s="7">
        <f t="shared" si="67"/>
        <v>80</v>
      </c>
      <c r="J1409" s="5">
        <v>1094</v>
      </c>
      <c r="K1409" s="18">
        <f t="shared" si="66"/>
        <v>32.176470588235297</v>
      </c>
    </row>
    <row r="1410" spans="1:11" x14ac:dyDescent="0.3">
      <c r="A1410" s="14">
        <v>2023</v>
      </c>
      <c r="B1410" s="14">
        <f t="shared" si="65"/>
        <v>25</v>
      </c>
      <c r="C1410" s="9">
        <v>45096</v>
      </c>
      <c r="D1410" s="9">
        <v>45100</v>
      </c>
      <c r="E1410" s="14">
        <f>VLOOKUP(F1410,CarrierID!A:B,2,0)</f>
        <v>5</v>
      </c>
      <c r="F1410" s="15" t="s">
        <v>1</v>
      </c>
      <c r="G1410" t="str">
        <f>VLOOKUP(F1410,Carrier_Category!A:B,2,0)</f>
        <v>Intercity</v>
      </c>
      <c r="H1410" s="5">
        <v>61</v>
      </c>
      <c r="I1410" s="7">
        <f t="shared" si="67"/>
        <v>37</v>
      </c>
      <c r="J1410" s="5">
        <v>1933</v>
      </c>
      <c r="K1410" s="18">
        <f t="shared" si="66"/>
        <v>31.688524590163933</v>
      </c>
    </row>
    <row r="1411" spans="1:11" x14ac:dyDescent="0.3">
      <c r="A1411" s="14">
        <v>2023</v>
      </c>
      <c r="B1411" s="14">
        <f t="shared" si="65"/>
        <v>25</v>
      </c>
      <c r="C1411" s="9">
        <v>45096</v>
      </c>
      <c r="D1411" s="9">
        <v>45100</v>
      </c>
      <c r="E1411" s="14">
        <f>VLOOKUP(F1411,CarrierID!A:B,2,0)</f>
        <v>8</v>
      </c>
      <c r="F1411" s="15" t="s">
        <v>2</v>
      </c>
      <c r="G1411" t="str">
        <f>VLOOKUP(F1411,Carrier_Category!A:B,2,0)</f>
        <v>Commuter</v>
      </c>
      <c r="H1411" s="5">
        <v>19</v>
      </c>
      <c r="I1411" s="7">
        <f t="shared" si="67"/>
        <v>56</v>
      </c>
      <c r="J1411" s="5">
        <v>744</v>
      </c>
      <c r="K1411" s="18">
        <f t="shared" si="66"/>
        <v>39.157894736842103</v>
      </c>
    </row>
    <row r="1412" spans="1:11" x14ac:dyDescent="0.3">
      <c r="A1412" s="14">
        <v>2023</v>
      </c>
      <c r="B1412" s="14">
        <f t="shared" si="65"/>
        <v>25</v>
      </c>
      <c r="C1412" s="9">
        <v>45096</v>
      </c>
      <c r="D1412" s="9">
        <v>45100</v>
      </c>
      <c r="E1412" s="14">
        <f>VLOOKUP(F1412,CarrierID!A:B,2,0)</f>
        <v>9</v>
      </c>
      <c r="F1412" s="15" t="s">
        <v>3</v>
      </c>
      <c r="G1412" t="str">
        <f>VLOOKUP(F1412,Carrier_Category!A:B,2,0)</f>
        <v>NJT</v>
      </c>
      <c r="H1412" s="5">
        <v>2325</v>
      </c>
      <c r="I1412" s="7">
        <f t="shared" si="67"/>
        <v>20</v>
      </c>
      <c r="J1412" s="5">
        <v>76199</v>
      </c>
      <c r="K1412" s="18">
        <f t="shared" si="66"/>
        <v>32.773763440860215</v>
      </c>
    </row>
    <row r="1413" spans="1:11" x14ac:dyDescent="0.3">
      <c r="A1413" s="14">
        <v>2023</v>
      </c>
      <c r="B1413" s="14">
        <f t="shared" ref="B1413:B1476" si="68">_xlfn.ISOWEEKNUM(C1413)</f>
        <v>25</v>
      </c>
      <c r="C1413" s="9">
        <v>45096</v>
      </c>
      <c r="D1413" s="9">
        <v>45100</v>
      </c>
      <c r="E1413" s="14">
        <f>VLOOKUP(F1413,CarrierID!A:B,2,0)</f>
        <v>7</v>
      </c>
      <c r="F1413" s="15" t="s">
        <v>4</v>
      </c>
      <c r="G1413" t="str">
        <f>VLOOKUP(F1413,Carrier_Category!A:B,2,0)</f>
        <v>Commuter</v>
      </c>
      <c r="H1413" s="5">
        <v>29</v>
      </c>
      <c r="I1413" s="7">
        <f t="shared" si="67"/>
        <v>2342</v>
      </c>
      <c r="J1413" s="5">
        <v>1488</v>
      </c>
      <c r="K1413" s="18">
        <f t="shared" ref="K1413:K1476" si="69">J1413/H1413</f>
        <v>51.310344827586206</v>
      </c>
    </row>
    <row r="1414" spans="1:11" x14ac:dyDescent="0.3">
      <c r="A1414" s="14">
        <v>2023</v>
      </c>
      <c r="B1414" s="14">
        <f t="shared" si="68"/>
        <v>25</v>
      </c>
      <c r="C1414" s="9">
        <v>45096</v>
      </c>
      <c r="D1414" s="9">
        <v>45100</v>
      </c>
      <c r="E1414" s="14">
        <f>VLOOKUP(F1414,CarrierID!A:B,2,0)</f>
        <v>11</v>
      </c>
      <c r="F1414" s="15" t="s">
        <v>5</v>
      </c>
      <c r="G1414" t="str">
        <f>VLOOKUP(F1414,Carrier_Category!A:B,2,0)</f>
        <v>Intercity</v>
      </c>
      <c r="H1414" s="5">
        <v>22</v>
      </c>
      <c r="I1414" s="7">
        <f t="shared" si="67"/>
        <v>28</v>
      </c>
      <c r="J1414" s="5">
        <v>602</v>
      </c>
      <c r="K1414" s="18">
        <f t="shared" si="69"/>
        <v>27.363636363636363</v>
      </c>
    </row>
    <row r="1415" spans="1:11" x14ac:dyDescent="0.3">
      <c r="A1415" s="14">
        <v>2023</v>
      </c>
      <c r="B1415" s="14">
        <f t="shared" si="68"/>
        <v>25</v>
      </c>
      <c r="C1415" s="9">
        <v>45096</v>
      </c>
      <c r="D1415" s="9">
        <v>45100</v>
      </c>
      <c r="E1415" s="14">
        <f>VLOOKUP(F1415,CarrierID!A:B,2,0)</f>
        <v>3</v>
      </c>
      <c r="F1415" s="15" t="s">
        <v>6</v>
      </c>
      <c r="G1415" t="str">
        <f>VLOOKUP(F1415,Carrier_Category!A:B,2,0)</f>
        <v>Commuter</v>
      </c>
      <c r="H1415" s="5">
        <v>150</v>
      </c>
      <c r="I1415" s="7">
        <f t="shared" si="67"/>
        <v>21</v>
      </c>
      <c r="J1415" s="5">
        <v>4718</v>
      </c>
      <c r="K1415" s="18">
        <f t="shared" si="69"/>
        <v>31.453333333333333</v>
      </c>
    </row>
    <row r="1416" spans="1:11" x14ac:dyDescent="0.3">
      <c r="A1416" s="14">
        <v>2023</v>
      </c>
      <c r="B1416" s="14">
        <f t="shared" si="68"/>
        <v>25</v>
      </c>
      <c r="C1416" s="9">
        <v>45096</v>
      </c>
      <c r="D1416" s="9">
        <v>45100</v>
      </c>
      <c r="E1416" s="14">
        <f>VLOOKUP(F1416,CarrierID!A:B,2,0)</f>
        <v>12</v>
      </c>
      <c r="F1416" s="15" t="s">
        <v>25</v>
      </c>
      <c r="G1416" t="str">
        <f>VLOOKUP(F1416,Carrier_Category!A:B,2,0)</f>
        <v>Commuter</v>
      </c>
      <c r="H1416" s="5">
        <v>24</v>
      </c>
      <c r="I1416" s="7">
        <f t="shared" si="67"/>
        <v>153</v>
      </c>
      <c r="J1416" s="5">
        <v>654</v>
      </c>
      <c r="K1416" s="18">
        <f t="shared" si="69"/>
        <v>27.25</v>
      </c>
    </row>
    <row r="1417" spans="1:11" x14ac:dyDescent="0.3">
      <c r="A1417" s="14">
        <v>2023</v>
      </c>
      <c r="B1417" s="14">
        <f t="shared" si="68"/>
        <v>25</v>
      </c>
      <c r="C1417" s="9">
        <v>45096</v>
      </c>
      <c r="D1417" s="9">
        <v>45100</v>
      </c>
      <c r="E1417" s="14">
        <f>VLOOKUP(F1417,CarrierID!A:B,2,0)</f>
        <v>10</v>
      </c>
      <c r="F1417" s="15" t="s">
        <v>8</v>
      </c>
      <c r="G1417" t="str">
        <f>VLOOKUP(F1417,Carrier_Category!A:B,2,0)</f>
        <v>Intercity</v>
      </c>
      <c r="H1417" s="5">
        <v>24</v>
      </c>
      <c r="I1417" s="7">
        <f t="shared" si="67"/>
        <v>24</v>
      </c>
      <c r="J1417" s="5">
        <v>698</v>
      </c>
      <c r="K1417" s="18">
        <f t="shared" si="69"/>
        <v>29.083333333333332</v>
      </c>
    </row>
    <row r="1418" spans="1:11" x14ac:dyDescent="0.3">
      <c r="A1418" s="14">
        <v>2023</v>
      </c>
      <c r="B1418" s="14">
        <f t="shared" si="68"/>
        <v>25</v>
      </c>
      <c r="C1418" s="9">
        <v>45096</v>
      </c>
      <c r="D1418" s="9">
        <v>45100</v>
      </c>
      <c r="E1418" s="14">
        <f>VLOOKUP(F1418,CarrierID!A:B,2,0)</f>
        <v>6</v>
      </c>
      <c r="F1418" s="15" t="s">
        <v>9</v>
      </c>
      <c r="G1418" t="str">
        <f>VLOOKUP(F1418,Carrier_Category!A:B,2,0)</f>
        <v>Commuter</v>
      </c>
      <c r="H1418" s="5">
        <v>84</v>
      </c>
      <c r="I1418" s="7">
        <f t="shared" si="67"/>
        <v>24</v>
      </c>
      <c r="J1418" s="5">
        <v>1301</v>
      </c>
      <c r="K1418" s="18">
        <f t="shared" si="69"/>
        <v>15.488095238095237</v>
      </c>
    </row>
    <row r="1419" spans="1:11" x14ac:dyDescent="0.3">
      <c r="A1419" s="14">
        <v>2023</v>
      </c>
      <c r="B1419" s="14">
        <f t="shared" si="68"/>
        <v>26</v>
      </c>
      <c r="C1419" s="9">
        <v>45103</v>
      </c>
      <c r="D1419" s="9">
        <v>45107</v>
      </c>
      <c r="E1419" s="14">
        <f>VLOOKUP(F1419,CarrierID!A:B,2,0)</f>
        <v>1</v>
      </c>
      <c r="F1419" s="15" t="s">
        <v>0</v>
      </c>
      <c r="G1419" t="str">
        <f>VLOOKUP(F1419,Carrier_Category!A:B,2,0)</f>
        <v>Commuter</v>
      </c>
      <c r="H1419" s="5">
        <v>37</v>
      </c>
      <c r="I1419" s="7">
        <f t="shared" si="67"/>
        <v>81</v>
      </c>
      <c r="J1419" s="5">
        <v>1234</v>
      </c>
      <c r="K1419" s="18">
        <f t="shared" si="69"/>
        <v>33.351351351351354</v>
      </c>
    </row>
    <row r="1420" spans="1:11" x14ac:dyDescent="0.3">
      <c r="A1420" s="14">
        <v>2023</v>
      </c>
      <c r="B1420" s="14">
        <f t="shared" si="68"/>
        <v>26</v>
      </c>
      <c r="C1420" s="9">
        <v>45103</v>
      </c>
      <c r="D1420" s="9">
        <v>45107</v>
      </c>
      <c r="E1420" s="14">
        <f>VLOOKUP(F1420,CarrierID!A:B,2,0)</f>
        <v>5</v>
      </c>
      <c r="F1420" s="15" t="s">
        <v>1</v>
      </c>
      <c r="G1420" t="str">
        <f>VLOOKUP(F1420,Carrier_Category!A:B,2,0)</f>
        <v>Intercity</v>
      </c>
      <c r="H1420" s="5">
        <v>61</v>
      </c>
      <c r="I1420" s="7">
        <f t="shared" si="67"/>
        <v>34</v>
      </c>
      <c r="J1420" s="5">
        <v>2401</v>
      </c>
      <c r="K1420" s="18">
        <f t="shared" si="69"/>
        <v>39.360655737704917</v>
      </c>
    </row>
    <row r="1421" spans="1:11" x14ac:dyDescent="0.3">
      <c r="A1421" s="14">
        <v>2023</v>
      </c>
      <c r="B1421" s="14">
        <f t="shared" si="68"/>
        <v>26</v>
      </c>
      <c r="C1421" s="9">
        <v>45103</v>
      </c>
      <c r="D1421" s="9">
        <v>45107</v>
      </c>
      <c r="E1421" s="14">
        <f>VLOOKUP(F1421,CarrierID!A:B,2,0)</f>
        <v>8</v>
      </c>
      <c r="F1421" s="15" t="s">
        <v>2</v>
      </c>
      <c r="G1421" t="str">
        <f>VLOOKUP(F1421,Carrier_Category!A:B,2,0)</f>
        <v>Commuter</v>
      </c>
      <c r="H1421" s="5">
        <v>20</v>
      </c>
      <c r="I1421" s="7">
        <f t="shared" ref="I1421:I1484" si="70">H1410</f>
        <v>61</v>
      </c>
      <c r="J1421" s="5">
        <v>815</v>
      </c>
      <c r="K1421" s="18">
        <f t="shared" si="69"/>
        <v>40.75</v>
      </c>
    </row>
    <row r="1422" spans="1:11" x14ac:dyDescent="0.3">
      <c r="A1422" s="14">
        <v>2023</v>
      </c>
      <c r="B1422" s="14">
        <f t="shared" si="68"/>
        <v>26</v>
      </c>
      <c r="C1422" s="9">
        <v>45103</v>
      </c>
      <c r="D1422" s="9">
        <v>45107</v>
      </c>
      <c r="E1422" s="14">
        <f>VLOOKUP(F1422,CarrierID!A:B,2,0)</f>
        <v>9</v>
      </c>
      <c r="F1422" s="15" t="s">
        <v>3</v>
      </c>
      <c r="G1422" t="str">
        <f>VLOOKUP(F1422,Carrier_Category!A:B,2,0)</f>
        <v>NJT</v>
      </c>
      <c r="H1422" s="5">
        <v>2355</v>
      </c>
      <c r="I1422" s="7">
        <f t="shared" si="70"/>
        <v>19</v>
      </c>
      <c r="J1422" s="5">
        <v>74366</v>
      </c>
      <c r="K1422" s="18">
        <f t="shared" si="69"/>
        <v>31.577919320594479</v>
      </c>
    </row>
    <row r="1423" spans="1:11" x14ac:dyDescent="0.3">
      <c r="A1423" s="14">
        <v>2023</v>
      </c>
      <c r="B1423" s="14">
        <f t="shared" si="68"/>
        <v>26</v>
      </c>
      <c r="C1423" s="9">
        <v>45103</v>
      </c>
      <c r="D1423" s="9">
        <v>45107</v>
      </c>
      <c r="E1423" s="14">
        <f>VLOOKUP(F1423,CarrierID!A:B,2,0)</f>
        <v>7</v>
      </c>
      <c r="F1423" s="15" t="s">
        <v>4</v>
      </c>
      <c r="G1423" t="str">
        <f>VLOOKUP(F1423,Carrier_Category!A:B,2,0)</f>
        <v>Commuter</v>
      </c>
      <c r="H1423" s="5">
        <v>43</v>
      </c>
      <c r="I1423" s="7">
        <f t="shared" si="70"/>
        <v>2325</v>
      </c>
      <c r="J1423" s="5">
        <v>1379</v>
      </c>
      <c r="K1423" s="18">
        <f t="shared" si="69"/>
        <v>32.069767441860463</v>
      </c>
    </row>
    <row r="1424" spans="1:11" x14ac:dyDescent="0.3">
      <c r="A1424" s="14">
        <v>2023</v>
      </c>
      <c r="B1424" s="14">
        <f t="shared" si="68"/>
        <v>26</v>
      </c>
      <c r="C1424" s="9">
        <v>45103</v>
      </c>
      <c r="D1424" s="9">
        <v>45107</v>
      </c>
      <c r="E1424" s="14">
        <f>VLOOKUP(F1424,CarrierID!A:B,2,0)</f>
        <v>11</v>
      </c>
      <c r="F1424" s="15" t="s">
        <v>5</v>
      </c>
      <c r="G1424" t="str">
        <f>VLOOKUP(F1424,Carrier_Category!A:B,2,0)</f>
        <v>Intercity</v>
      </c>
      <c r="H1424" s="5">
        <v>25</v>
      </c>
      <c r="I1424" s="7">
        <f t="shared" si="70"/>
        <v>29</v>
      </c>
      <c r="J1424" s="5">
        <v>798</v>
      </c>
      <c r="K1424" s="18">
        <f t="shared" si="69"/>
        <v>31.92</v>
      </c>
    </row>
    <row r="1425" spans="1:11" x14ac:dyDescent="0.3">
      <c r="A1425" s="14">
        <v>2023</v>
      </c>
      <c r="B1425" s="14">
        <f t="shared" si="68"/>
        <v>26</v>
      </c>
      <c r="C1425" s="9">
        <v>45103</v>
      </c>
      <c r="D1425" s="9">
        <v>45107</v>
      </c>
      <c r="E1425" s="14">
        <f>VLOOKUP(F1425,CarrierID!A:B,2,0)</f>
        <v>3</v>
      </c>
      <c r="F1425" s="15" t="s">
        <v>6</v>
      </c>
      <c r="G1425" t="str">
        <f>VLOOKUP(F1425,Carrier_Category!A:B,2,0)</f>
        <v>Commuter</v>
      </c>
      <c r="H1425" s="5">
        <v>152</v>
      </c>
      <c r="I1425" s="7">
        <f t="shared" si="70"/>
        <v>22</v>
      </c>
      <c r="J1425" s="5">
        <v>5096</v>
      </c>
      <c r="K1425" s="18">
        <f t="shared" si="69"/>
        <v>33.526315789473685</v>
      </c>
    </row>
    <row r="1426" spans="1:11" x14ac:dyDescent="0.3">
      <c r="A1426" s="14">
        <v>2023</v>
      </c>
      <c r="B1426" s="14">
        <f t="shared" si="68"/>
        <v>26</v>
      </c>
      <c r="C1426" s="9">
        <v>45103</v>
      </c>
      <c r="D1426" s="9">
        <v>45107</v>
      </c>
      <c r="E1426" s="14">
        <f>VLOOKUP(F1426,CarrierID!A:B,2,0)</f>
        <v>12</v>
      </c>
      <c r="F1426" s="15" t="s">
        <v>25</v>
      </c>
      <c r="G1426" t="str">
        <f>VLOOKUP(F1426,Carrier_Category!A:B,2,0)</f>
        <v>Commuter</v>
      </c>
      <c r="H1426" s="5">
        <v>21</v>
      </c>
      <c r="I1426" s="7">
        <f t="shared" si="70"/>
        <v>150</v>
      </c>
      <c r="J1426" s="5">
        <v>644</v>
      </c>
      <c r="K1426" s="18">
        <f t="shared" si="69"/>
        <v>30.666666666666668</v>
      </c>
    </row>
    <row r="1427" spans="1:11" x14ac:dyDescent="0.3">
      <c r="A1427" s="14">
        <v>2023</v>
      </c>
      <c r="B1427" s="14">
        <f t="shared" si="68"/>
        <v>26</v>
      </c>
      <c r="C1427" s="9">
        <v>45103</v>
      </c>
      <c r="D1427" s="9">
        <v>45107</v>
      </c>
      <c r="E1427" s="14">
        <f>VLOOKUP(F1427,CarrierID!A:B,2,0)</f>
        <v>10</v>
      </c>
      <c r="F1427" s="15" t="s">
        <v>8</v>
      </c>
      <c r="G1427" t="str">
        <f>VLOOKUP(F1427,Carrier_Category!A:B,2,0)</f>
        <v>Intercity</v>
      </c>
      <c r="H1427" s="5">
        <v>24</v>
      </c>
      <c r="I1427" s="7">
        <f t="shared" si="70"/>
        <v>24</v>
      </c>
      <c r="J1427" s="5">
        <v>698</v>
      </c>
      <c r="K1427" s="18">
        <f t="shared" si="69"/>
        <v>29.083333333333332</v>
      </c>
    </row>
    <row r="1428" spans="1:11" x14ac:dyDescent="0.3">
      <c r="A1428" s="14">
        <v>2023</v>
      </c>
      <c r="B1428" s="14">
        <f t="shared" si="68"/>
        <v>26</v>
      </c>
      <c r="C1428" s="9">
        <v>45103</v>
      </c>
      <c r="D1428" s="9">
        <v>45107</v>
      </c>
      <c r="E1428" s="14">
        <f>VLOOKUP(F1428,CarrierID!A:B,2,0)</f>
        <v>6</v>
      </c>
      <c r="F1428" s="15" t="s">
        <v>9</v>
      </c>
      <c r="G1428" t="str">
        <f>VLOOKUP(F1428,Carrier_Category!A:B,2,0)</f>
        <v>Commuter</v>
      </c>
      <c r="H1428" s="5">
        <v>68</v>
      </c>
      <c r="I1428" s="7">
        <f t="shared" si="70"/>
        <v>24</v>
      </c>
      <c r="J1428" s="5">
        <v>1505</v>
      </c>
      <c r="K1428" s="18">
        <f t="shared" si="69"/>
        <v>22.132352941176471</v>
      </c>
    </row>
    <row r="1429" spans="1:11" x14ac:dyDescent="0.3">
      <c r="A1429" s="14">
        <v>2023</v>
      </c>
      <c r="B1429" s="14">
        <f t="shared" si="68"/>
        <v>27</v>
      </c>
      <c r="C1429" s="9">
        <v>45110</v>
      </c>
      <c r="D1429" s="9">
        <v>45114</v>
      </c>
      <c r="E1429" s="14">
        <f>VLOOKUP(F1429,CarrierID!A:B,2,0)</f>
        <v>1</v>
      </c>
      <c r="F1429" s="15" t="s">
        <v>0</v>
      </c>
      <c r="G1429" t="str">
        <f>VLOOKUP(F1429,Carrier_Category!A:B,2,0)</f>
        <v>Commuter</v>
      </c>
      <c r="H1429" s="5">
        <v>32</v>
      </c>
      <c r="I1429" s="7">
        <f t="shared" si="70"/>
        <v>84</v>
      </c>
      <c r="J1429" s="5">
        <v>914</v>
      </c>
      <c r="K1429" s="18">
        <f t="shared" si="69"/>
        <v>28.5625</v>
      </c>
    </row>
    <row r="1430" spans="1:11" x14ac:dyDescent="0.3">
      <c r="A1430" s="14">
        <v>2023</v>
      </c>
      <c r="B1430" s="14">
        <f t="shared" si="68"/>
        <v>27</v>
      </c>
      <c r="C1430" s="9">
        <v>45110</v>
      </c>
      <c r="D1430" s="9">
        <v>45114</v>
      </c>
      <c r="E1430" s="14">
        <f>VLOOKUP(F1430,CarrierID!A:B,2,0)</f>
        <v>5</v>
      </c>
      <c r="F1430" s="15" t="s">
        <v>1</v>
      </c>
      <c r="G1430" t="str">
        <f>VLOOKUP(F1430,Carrier_Category!A:B,2,0)</f>
        <v>Intercity</v>
      </c>
      <c r="H1430" s="5">
        <v>63</v>
      </c>
      <c r="I1430" s="7">
        <f t="shared" si="70"/>
        <v>37</v>
      </c>
      <c r="J1430" s="5">
        <v>2093</v>
      </c>
      <c r="K1430" s="18">
        <f t="shared" si="69"/>
        <v>33.222222222222221</v>
      </c>
    </row>
    <row r="1431" spans="1:11" x14ac:dyDescent="0.3">
      <c r="A1431" s="14">
        <v>2023</v>
      </c>
      <c r="B1431" s="14">
        <f t="shared" si="68"/>
        <v>27</v>
      </c>
      <c r="C1431" s="9">
        <v>45110</v>
      </c>
      <c r="D1431" s="9">
        <v>45114</v>
      </c>
      <c r="E1431" s="14">
        <f>VLOOKUP(F1431,CarrierID!A:B,2,0)</f>
        <v>8</v>
      </c>
      <c r="F1431" s="15" t="s">
        <v>2</v>
      </c>
      <c r="G1431" t="str">
        <f>VLOOKUP(F1431,Carrier_Category!A:B,2,0)</f>
        <v>Commuter</v>
      </c>
      <c r="H1431" s="5">
        <v>16</v>
      </c>
      <c r="I1431" s="7">
        <f t="shared" si="70"/>
        <v>61</v>
      </c>
      <c r="J1431" s="5">
        <v>624</v>
      </c>
      <c r="K1431" s="18">
        <f t="shared" si="69"/>
        <v>39</v>
      </c>
    </row>
    <row r="1432" spans="1:11" x14ac:dyDescent="0.3">
      <c r="A1432" s="14">
        <v>2023</v>
      </c>
      <c r="B1432" s="14">
        <f t="shared" si="68"/>
        <v>27</v>
      </c>
      <c r="C1432" s="9">
        <v>45110</v>
      </c>
      <c r="D1432" s="9">
        <v>45114</v>
      </c>
      <c r="E1432" s="14">
        <f>VLOOKUP(F1432,CarrierID!A:B,2,0)</f>
        <v>9</v>
      </c>
      <c r="F1432" s="15" t="s">
        <v>3</v>
      </c>
      <c r="G1432" t="str">
        <f>VLOOKUP(F1432,Carrier_Category!A:B,2,0)</f>
        <v>NJT</v>
      </c>
      <c r="H1432" s="5">
        <v>2361</v>
      </c>
      <c r="I1432" s="7">
        <f t="shared" si="70"/>
        <v>20</v>
      </c>
      <c r="J1432" s="5">
        <v>68146</v>
      </c>
      <c r="K1432" s="18">
        <f t="shared" si="69"/>
        <v>28.863193562049979</v>
      </c>
    </row>
    <row r="1433" spans="1:11" x14ac:dyDescent="0.3">
      <c r="A1433" s="14">
        <v>2023</v>
      </c>
      <c r="B1433" s="14">
        <f t="shared" si="68"/>
        <v>27</v>
      </c>
      <c r="C1433" s="9">
        <v>45110</v>
      </c>
      <c r="D1433" s="9">
        <v>45114</v>
      </c>
      <c r="E1433" s="14">
        <f>VLOOKUP(F1433,CarrierID!A:B,2,0)</f>
        <v>7</v>
      </c>
      <c r="F1433" s="15" t="s">
        <v>4</v>
      </c>
      <c r="G1433" t="str">
        <f>VLOOKUP(F1433,Carrier_Category!A:B,2,0)</f>
        <v>Commuter</v>
      </c>
      <c r="H1433" s="5">
        <v>33</v>
      </c>
      <c r="I1433" s="7">
        <f t="shared" si="70"/>
        <v>2355</v>
      </c>
      <c r="J1433" s="5">
        <v>951</v>
      </c>
      <c r="K1433" s="18">
        <f t="shared" si="69"/>
        <v>28.818181818181817</v>
      </c>
    </row>
    <row r="1434" spans="1:11" x14ac:dyDescent="0.3">
      <c r="A1434" s="14">
        <v>2023</v>
      </c>
      <c r="B1434" s="14">
        <f t="shared" si="68"/>
        <v>27</v>
      </c>
      <c r="C1434" s="9">
        <v>45110</v>
      </c>
      <c r="D1434" s="9">
        <v>45114</v>
      </c>
      <c r="E1434" s="14">
        <f>VLOOKUP(F1434,CarrierID!A:B,2,0)</f>
        <v>11</v>
      </c>
      <c r="F1434" s="15" t="s">
        <v>5</v>
      </c>
      <c r="G1434" t="str">
        <f>VLOOKUP(F1434,Carrier_Category!A:B,2,0)</f>
        <v>Intercity</v>
      </c>
      <c r="H1434" s="5">
        <v>25</v>
      </c>
      <c r="I1434" s="7">
        <f t="shared" si="70"/>
        <v>43</v>
      </c>
      <c r="J1434" s="5">
        <v>729</v>
      </c>
      <c r="K1434" s="18">
        <f t="shared" si="69"/>
        <v>29.16</v>
      </c>
    </row>
    <row r="1435" spans="1:11" x14ac:dyDescent="0.3">
      <c r="A1435" s="14">
        <v>2023</v>
      </c>
      <c r="B1435" s="14">
        <f t="shared" si="68"/>
        <v>27</v>
      </c>
      <c r="C1435" s="9">
        <v>45110</v>
      </c>
      <c r="D1435" s="9">
        <v>45114</v>
      </c>
      <c r="E1435" s="14">
        <f>VLOOKUP(F1435,CarrierID!A:B,2,0)</f>
        <v>3</v>
      </c>
      <c r="F1435" s="15" t="s">
        <v>6</v>
      </c>
      <c r="G1435" t="str">
        <f>VLOOKUP(F1435,Carrier_Category!A:B,2,0)</f>
        <v>Commuter</v>
      </c>
      <c r="H1435" s="5">
        <v>120</v>
      </c>
      <c r="I1435" s="7">
        <f t="shared" si="70"/>
        <v>25</v>
      </c>
      <c r="J1435" s="5">
        <v>3592</v>
      </c>
      <c r="K1435" s="18">
        <f t="shared" si="69"/>
        <v>29.933333333333334</v>
      </c>
    </row>
    <row r="1436" spans="1:11" x14ac:dyDescent="0.3">
      <c r="A1436" s="14">
        <v>2023</v>
      </c>
      <c r="B1436" s="14">
        <f t="shared" si="68"/>
        <v>27</v>
      </c>
      <c r="C1436" s="9">
        <v>45110</v>
      </c>
      <c r="D1436" s="9">
        <v>45114</v>
      </c>
      <c r="E1436" s="14">
        <f>VLOOKUP(F1436,CarrierID!A:B,2,0)</f>
        <v>12</v>
      </c>
      <c r="F1436" s="15" t="s">
        <v>25</v>
      </c>
      <c r="G1436" t="str">
        <f>VLOOKUP(F1436,Carrier_Category!A:B,2,0)</f>
        <v>Commuter</v>
      </c>
      <c r="H1436" s="5">
        <v>20</v>
      </c>
      <c r="I1436" s="7">
        <f t="shared" si="70"/>
        <v>152</v>
      </c>
      <c r="J1436" s="5">
        <v>508</v>
      </c>
      <c r="K1436" s="18">
        <f t="shared" si="69"/>
        <v>25.4</v>
      </c>
    </row>
    <row r="1437" spans="1:11" x14ac:dyDescent="0.3">
      <c r="A1437" s="14">
        <v>2023</v>
      </c>
      <c r="B1437" s="14">
        <f t="shared" si="68"/>
        <v>27</v>
      </c>
      <c r="C1437" s="9">
        <v>45110</v>
      </c>
      <c r="D1437" s="9">
        <v>45114</v>
      </c>
      <c r="E1437" s="14">
        <f>VLOOKUP(F1437,CarrierID!A:B,2,0)</f>
        <v>10</v>
      </c>
      <c r="F1437" s="15" t="s">
        <v>8</v>
      </c>
      <c r="G1437" t="str">
        <f>VLOOKUP(F1437,Carrier_Category!A:B,2,0)</f>
        <v>Intercity</v>
      </c>
      <c r="H1437" s="5">
        <v>24</v>
      </c>
      <c r="I1437" s="7">
        <f t="shared" si="70"/>
        <v>21</v>
      </c>
      <c r="J1437" s="5">
        <v>698</v>
      </c>
      <c r="K1437" s="18">
        <f t="shared" si="69"/>
        <v>29.083333333333332</v>
      </c>
    </row>
    <row r="1438" spans="1:11" x14ac:dyDescent="0.3">
      <c r="A1438" s="14">
        <v>2023</v>
      </c>
      <c r="B1438" s="14">
        <f t="shared" si="68"/>
        <v>27</v>
      </c>
      <c r="C1438" s="9">
        <v>45110</v>
      </c>
      <c r="D1438" s="9">
        <v>45114</v>
      </c>
      <c r="E1438" s="14">
        <f>VLOOKUP(F1438,CarrierID!A:B,2,0)</f>
        <v>6</v>
      </c>
      <c r="F1438" s="15" t="s">
        <v>9</v>
      </c>
      <c r="G1438" t="str">
        <f>VLOOKUP(F1438,Carrier_Category!A:B,2,0)</f>
        <v>Commuter</v>
      </c>
      <c r="H1438" s="5">
        <v>75</v>
      </c>
      <c r="I1438" s="7">
        <f t="shared" si="70"/>
        <v>24</v>
      </c>
      <c r="J1438" s="5">
        <v>1203</v>
      </c>
      <c r="K1438" s="18">
        <f t="shared" si="69"/>
        <v>16.04</v>
      </c>
    </row>
    <row r="1439" spans="1:11" x14ac:dyDescent="0.3">
      <c r="A1439" s="14">
        <v>2023</v>
      </c>
      <c r="B1439" s="14">
        <f t="shared" si="68"/>
        <v>28</v>
      </c>
      <c r="C1439" s="9">
        <v>45117</v>
      </c>
      <c r="D1439" s="9">
        <v>45121</v>
      </c>
      <c r="E1439" s="14">
        <f>VLOOKUP(F1439,CarrierID!A:B,2,0)</f>
        <v>1</v>
      </c>
      <c r="F1439" s="15" t="s">
        <v>0</v>
      </c>
      <c r="G1439" t="str">
        <f>VLOOKUP(F1439,Carrier_Category!A:B,2,0)</f>
        <v>Commuter</v>
      </c>
      <c r="H1439" s="5">
        <v>38</v>
      </c>
      <c r="I1439" s="7">
        <f t="shared" si="70"/>
        <v>68</v>
      </c>
      <c r="J1439" s="5">
        <v>1269</v>
      </c>
      <c r="K1439" s="18">
        <f t="shared" si="69"/>
        <v>33.39473684210526</v>
      </c>
    </row>
    <row r="1440" spans="1:11" x14ac:dyDescent="0.3">
      <c r="A1440" s="14">
        <v>2023</v>
      </c>
      <c r="B1440" s="14">
        <f t="shared" si="68"/>
        <v>28</v>
      </c>
      <c r="C1440" s="9">
        <v>45117</v>
      </c>
      <c r="D1440" s="9">
        <v>45121</v>
      </c>
      <c r="E1440" s="14">
        <f>VLOOKUP(F1440,CarrierID!A:B,2,0)</f>
        <v>5</v>
      </c>
      <c r="F1440" s="15" t="s">
        <v>1</v>
      </c>
      <c r="G1440" t="str">
        <f>VLOOKUP(F1440,Carrier_Category!A:B,2,0)</f>
        <v>Intercity</v>
      </c>
      <c r="H1440" s="5">
        <v>62</v>
      </c>
      <c r="I1440" s="7">
        <f t="shared" si="70"/>
        <v>32</v>
      </c>
      <c r="J1440" s="5">
        <v>2180</v>
      </c>
      <c r="K1440" s="18">
        <f t="shared" si="69"/>
        <v>35.161290322580648</v>
      </c>
    </row>
    <row r="1441" spans="1:11" x14ac:dyDescent="0.3">
      <c r="A1441" s="14">
        <v>2023</v>
      </c>
      <c r="B1441" s="14">
        <f t="shared" si="68"/>
        <v>28</v>
      </c>
      <c r="C1441" s="9">
        <v>45117</v>
      </c>
      <c r="D1441" s="9">
        <v>45121</v>
      </c>
      <c r="E1441" s="14">
        <f>VLOOKUP(F1441,CarrierID!A:B,2,0)</f>
        <v>8</v>
      </c>
      <c r="F1441" s="15" t="s">
        <v>2</v>
      </c>
      <c r="G1441" t="str">
        <f>VLOOKUP(F1441,Carrier_Category!A:B,2,0)</f>
        <v>Commuter</v>
      </c>
      <c r="H1441" s="5">
        <v>19</v>
      </c>
      <c r="I1441" s="7">
        <f t="shared" si="70"/>
        <v>63</v>
      </c>
      <c r="J1441" s="5">
        <v>763</v>
      </c>
      <c r="K1441" s="18">
        <f t="shared" si="69"/>
        <v>40.157894736842103</v>
      </c>
    </row>
    <row r="1442" spans="1:11" x14ac:dyDescent="0.3">
      <c r="A1442" s="14">
        <v>2023</v>
      </c>
      <c r="B1442" s="14">
        <f t="shared" si="68"/>
        <v>28</v>
      </c>
      <c r="C1442" s="9">
        <v>45117</v>
      </c>
      <c r="D1442" s="9">
        <v>45121</v>
      </c>
      <c r="E1442" s="14">
        <f>VLOOKUP(F1442,CarrierID!A:B,2,0)</f>
        <v>9</v>
      </c>
      <c r="F1442" s="15" t="s">
        <v>3</v>
      </c>
      <c r="G1442" t="str">
        <f>VLOOKUP(F1442,Carrier_Category!A:B,2,0)</f>
        <v>NJT</v>
      </c>
      <c r="H1442" s="5">
        <v>2348</v>
      </c>
      <c r="I1442" s="7">
        <f t="shared" si="70"/>
        <v>16</v>
      </c>
      <c r="J1442" s="5">
        <v>74523</v>
      </c>
      <c r="K1442" s="18">
        <f t="shared" si="69"/>
        <v>31.73892674616695</v>
      </c>
    </row>
    <row r="1443" spans="1:11" x14ac:dyDescent="0.3">
      <c r="A1443" s="14">
        <v>2023</v>
      </c>
      <c r="B1443" s="14">
        <f t="shared" si="68"/>
        <v>28</v>
      </c>
      <c r="C1443" s="9">
        <v>45117</v>
      </c>
      <c r="D1443" s="9">
        <v>45121</v>
      </c>
      <c r="E1443" s="14">
        <f>VLOOKUP(F1443,CarrierID!A:B,2,0)</f>
        <v>7</v>
      </c>
      <c r="F1443" s="15" t="s">
        <v>4</v>
      </c>
      <c r="G1443" t="str">
        <f>VLOOKUP(F1443,Carrier_Category!A:B,2,0)</f>
        <v>Commuter</v>
      </c>
      <c r="H1443" s="5">
        <v>42</v>
      </c>
      <c r="I1443" s="7">
        <f t="shared" si="70"/>
        <v>2361</v>
      </c>
      <c r="J1443" s="5">
        <v>1443</v>
      </c>
      <c r="K1443" s="18">
        <f t="shared" si="69"/>
        <v>34.357142857142854</v>
      </c>
    </row>
    <row r="1444" spans="1:11" x14ac:dyDescent="0.3">
      <c r="A1444" s="14">
        <v>2023</v>
      </c>
      <c r="B1444" s="14">
        <f t="shared" si="68"/>
        <v>28</v>
      </c>
      <c r="C1444" s="9">
        <v>45117</v>
      </c>
      <c r="D1444" s="9">
        <v>45121</v>
      </c>
      <c r="E1444" s="14">
        <f>VLOOKUP(F1444,CarrierID!A:B,2,0)</f>
        <v>11</v>
      </c>
      <c r="F1444" s="15" t="s">
        <v>5</v>
      </c>
      <c r="G1444" t="str">
        <f>VLOOKUP(F1444,Carrier_Category!A:B,2,0)</f>
        <v>Intercity</v>
      </c>
      <c r="H1444" s="5">
        <v>26</v>
      </c>
      <c r="I1444" s="7">
        <f t="shared" si="70"/>
        <v>33</v>
      </c>
      <c r="J1444" s="5">
        <v>841</v>
      </c>
      <c r="K1444" s="18">
        <f t="shared" si="69"/>
        <v>32.346153846153847</v>
      </c>
    </row>
    <row r="1445" spans="1:11" x14ac:dyDescent="0.3">
      <c r="A1445" s="14">
        <v>2023</v>
      </c>
      <c r="B1445" s="14">
        <f t="shared" si="68"/>
        <v>28</v>
      </c>
      <c r="C1445" s="9">
        <v>45117</v>
      </c>
      <c r="D1445" s="9">
        <v>45121</v>
      </c>
      <c r="E1445" s="14">
        <f>VLOOKUP(F1445,CarrierID!A:B,2,0)</f>
        <v>3</v>
      </c>
      <c r="F1445" s="15" t="s">
        <v>6</v>
      </c>
      <c r="G1445" t="str">
        <f>VLOOKUP(F1445,Carrier_Category!A:B,2,0)</f>
        <v>Commuter</v>
      </c>
      <c r="H1445" s="5">
        <v>151</v>
      </c>
      <c r="I1445" s="7">
        <f t="shared" si="70"/>
        <v>25</v>
      </c>
      <c r="J1445" s="5">
        <v>5094</v>
      </c>
      <c r="K1445" s="18">
        <f t="shared" si="69"/>
        <v>33.735099337748345</v>
      </c>
    </row>
    <row r="1446" spans="1:11" x14ac:dyDescent="0.3">
      <c r="A1446" s="14">
        <v>2023</v>
      </c>
      <c r="B1446" s="14">
        <f t="shared" si="68"/>
        <v>28</v>
      </c>
      <c r="C1446" s="9">
        <v>45117</v>
      </c>
      <c r="D1446" s="9">
        <v>45121</v>
      </c>
      <c r="E1446" s="14">
        <f>VLOOKUP(F1446,CarrierID!A:B,2,0)</f>
        <v>12</v>
      </c>
      <c r="F1446" s="15" t="s">
        <v>25</v>
      </c>
      <c r="G1446" t="str">
        <f>VLOOKUP(F1446,Carrier_Category!A:B,2,0)</f>
        <v>Commuter</v>
      </c>
      <c r="H1446" s="5">
        <v>24</v>
      </c>
      <c r="I1446" s="7">
        <f t="shared" si="70"/>
        <v>120</v>
      </c>
      <c r="J1446" s="5">
        <v>675</v>
      </c>
      <c r="K1446" s="18">
        <f t="shared" si="69"/>
        <v>28.125</v>
      </c>
    </row>
    <row r="1447" spans="1:11" x14ac:dyDescent="0.3">
      <c r="A1447" s="14">
        <v>2023</v>
      </c>
      <c r="B1447" s="14">
        <f t="shared" si="68"/>
        <v>28</v>
      </c>
      <c r="C1447" s="9">
        <v>45117</v>
      </c>
      <c r="D1447" s="9">
        <v>45121</v>
      </c>
      <c r="E1447" s="14">
        <f>VLOOKUP(F1447,CarrierID!A:B,2,0)</f>
        <v>10</v>
      </c>
      <c r="F1447" s="15" t="s">
        <v>8</v>
      </c>
      <c r="G1447" t="str">
        <f>VLOOKUP(F1447,Carrier_Category!A:B,2,0)</f>
        <v>Intercity</v>
      </c>
      <c r="H1447" s="5">
        <v>23</v>
      </c>
      <c r="I1447" s="7">
        <f t="shared" si="70"/>
        <v>20</v>
      </c>
      <c r="J1447" s="5">
        <v>679</v>
      </c>
      <c r="K1447" s="18">
        <f t="shared" si="69"/>
        <v>29.521739130434781</v>
      </c>
    </row>
    <row r="1448" spans="1:11" x14ac:dyDescent="0.3">
      <c r="A1448" s="14">
        <v>2023</v>
      </c>
      <c r="B1448" s="14">
        <f t="shared" si="68"/>
        <v>28</v>
      </c>
      <c r="C1448" s="9">
        <v>45117</v>
      </c>
      <c r="D1448" s="9">
        <v>45121</v>
      </c>
      <c r="E1448" s="14">
        <f>VLOOKUP(F1448,CarrierID!A:B,2,0)</f>
        <v>6</v>
      </c>
      <c r="F1448" s="15" t="s">
        <v>9</v>
      </c>
      <c r="G1448" t="str">
        <f>VLOOKUP(F1448,Carrier_Category!A:B,2,0)</f>
        <v>Commuter</v>
      </c>
      <c r="H1448" s="5">
        <v>87</v>
      </c>
      <c r="I1448" s="7">
        <f t="shared" si="70"/>
        <v>24</v>
      </c>
      <c r="J1448" s="5">
        <v>1399</v>
      </c>
      <c r="K1448" s="18">
        <f t="shared" si="69"/>
        <v>16.080459770114942</v>
      </c>
    </row>
    <row r="1449" spans="1:11" x14ac:dyDescent="0.3">
      <c r="A1449" s="14">
        <v>2023</v>
      </c>
      <c r="B1449" s="14">
        <f t="shared" si="68"/>
        <v>29</v>
      </c>
      <c r="C1449" s="9">
        <v>45124</v>
      </c>
      <c r="D1449" s="9">
        <v>45128</v>
      </c>
      <c r="E1449" s="14">
        <f>VLOOKUP(F1449,CarrierID!A:B,2,0)</f>
        <v>1</v>
      </c>
      <c r="F1449" s="15" t="s">
        <v>0</v>
      </c>
      <c r="G1449" t="str">
        <f>VLOOKUP(F1449,Carrier_Category!A:B,2,0)</f>
        <v>Commuter</v>
      </c>
      <c r="H1449" s="5">
        <v>38</v>
      </c>
      <c r="I1449" s="7">
        <f t="shared" si="70"/>
        <v>75</v>
      </c>
      <c r="J1449" s="5">
        <v>1269</v>
      </c>
      <c r="K1449" s="18">
        <f t="shared" si="69"/>
        <v>33.39473684210526</v>
      </c>
    </row>
    <row r="1450" spans="1:11" x14ac:dyDescent="0.3">
      <c r="A1450" s="14">
        <v>2023</v>
      </c>
      <c r="B1450" s="14">
        <f t="shared" si="68"/>
        <v>29</v>
      </c>
      <c r="C1450" s="9">
        <v>45124</v>
      </c>
      <c r="D1450" s="9">
        <v>45128</v>
      </c>
      <c r="E1450" s="14">
        <f>VLOOKUP(F1450,CarrierID!A:B,2,0)</f>
        <v>5</v>
      </c>
      <c r="F1450" s="15" t="s">
        <v>1</v>
      </c>
      <c r="G1450" t="str">
        <f>VLOOKUP(F1450,Carrier_Category!A:B,2,0)</f>
        <v>Intercity</v>
      </c>
      <c r="H1450" s="5">
        <v>62</v>
      </c>
      <c r="I1450" s="7">
        <f t="shared" si="70"/>
        <v>38</v>
      </c>
      <c r="J1450" s="5">
        <v>2150</v>
      </c>
      <c r="K1450" s="18">
        <f t="shared" si="69"/>
        <v>34.677419354838712</v>
      </c>
    </row>
    <row r="1451" spans="1:11" x14ac:dyDescent="0.3">
      <c r="A1451" s="14">
        <v>2023</v>
      </c>
      <c r="B1451" s="14">
        <f t="shared" si="68"/>
        <v>29</v>
      </c>
      <c r="C1451" s="9">
        <v>45124</v>
      </c>
      <c r="D1451" s="9">
        <v>45128</v>
      </c>
      <c r="E1451" s="14">
        <f>VLOOKUP(F1451,CarrierID!A:B,2,0)</f>
        <v>8</v>
      </c>
      <c r="F1451" s="15" t="s">
        <v>2</v>
      </c>
      <c r="G1451" t="str">
        <f>VLOOKUP(F1451,Carrier_Category!A:B,2,0)</f>
        <v>Commuter</v>
      </c>
      <c r="H1451" s="5">
        <v>18</v>
      </c>
      <c r="I1451" s="7">
        <f t="shared" si="70"/>
        <v>62</v>
      </c>
      <c r="J1451" s="5">
        <v>778</v>
      </c>
      <c r="K1451" s="18">
        <f t="shared" si="69"/>
        <v>43.222222222222221</v>
      </c>
    </row>
    <row r="1452" spans="1:11" x14ac:dyDescent="0.3">
      <c r="A1452" s="14">
        <v>2023</v>
      </c>
      <c r="B1452" s="14">
        <f t="shared" si="68"/>
        <v>29</v>
      </c>
      <c r="C1452" s="9">
        <v>45124</v>
      </c>
      <c r="D1452" s="9">
        <v>45128</v>
      </c>
      <c r="E1452" s="14">
        <f>VLOOKUP(F1452,CarrierID!A:B,2,0)</f>
        <v>9</v>
      </c>
      <c r="F1452" s="15" t="s">
        <v>3</v>
      </c>
      <c r="G1452" t="str">
        <f>VLOOKUP(F1452,Carrier_Category!A:B,2,0)</f>
        <v>NJT</v>
      </c>
      <c r="H1452" s="5">
        <v>2359</v>
      </c>
      <c r="I1452" s="7">
        <f t="shared" si="70"/>
        <v>19</v>
      </c>
      <c r="J1452" s="5">
        <v>75292</v>
      </c>
      <c r="K1452" s="18">
        <f t="shared" si="69"/>
        <v>31.916913946587538</v>
      </c>
    </row>
    <row r="1453" spans="1:11" x14ac:dyDescent="0.3">
      <c r="A1453" s="14">
        <v>2023</v>
      </c>
      <c r="B1453" s="14">
        <f t="shared" si="68"/>
        <v>29</v>
      </c>
      <c r="C1453" s="9">
        <v>45124</v>
      </c>
      <c r="D1453" s="9">
        <v>45128</v>
      </c>
      <c r="E1453" s="14">
        <f>VLOOKUP(F1453,CarrierID!A:B,2,0)</f>
        <v>7</v>
      </c>
      <c r="F1453" s="15" t="s">
        <v>4</v>
      </c>
      <c r="G1453" t="str">
        <f>VLOOKUP(F1453,Carrier_Category!A:B,2,0)</f>
        <v>Commuter</v>
      </c>
      <c r="H1453" s="5">
        <v>42</v>
      </c>
      <c r="I1453" s="7">
        <f t="shared" si="70"/>
        <v>2348</v>
      </c>
      <c r="J1453" s="5">
        <v>1387</v>
      </c>
      <c r="K1453" s="18">
        <f t="shared" si="69"/>
        <v>33.023809523809526</v>
      </c>
    </row>
    <row r="1454" spans="1:11" x14ac:dyDescent="0.3">
      <c r="A1454" s="14">
        <v>2023</v>
      </c>
      <c r="B1454" s="14">
        <f t="shared" si="68"/>
        <v>29</v>
      </c>
      <c r="C1454" s="9">
        <v>45124</v>
      </c>
      <c r="D1454" s="9">
        <v>45128</v>
      </c>
      <c r="E1454" s="14">
        <f>VLOOKUP(F1454,CarrierID!A:B,2,0)</f>
        <v>11</v>
      </c>
      <c r="F1454" s="15" t="s">
        <v>5</v>
      </c>
      <c r="G1454" t="str">
        <f>VLOOKUP(F1454,Carrier_Category!A:B,2,0)</f>
        <v>Intercity</v>
      </c>
      <c r="H1454" s="5">
        <v>24</v>
      </c>
      <c r="I1454" s="7">
        <f t="shared" si="70"/>
        <v>42</v>
      </c>
      <c r="J1454" s="5">
        <v>714</v>
      </c>
      <c r="K1454" s="18">
        <f t="shared" si="69"/>
        <v>29.75</v>
      </c>
    </row>
    <row r="1455" spans="1:11" x14ac:dyDescent="0.3">
      <c r="A1455" s="14">
        <v>2023</v>
      </c>
      <c r="B1455" s="14">
        <f t="shared" si="68"/>
        <v>29</v>
      </c>
      <c r="C1455" s="9">
        <v>45124</v>
      </c>
      <c r="D1455" s="9">
        <v>45128</v>
      </c>
      <c r="E1455" s="14">
        <f>VLOOKUP(F1455,CarrierID!A:B,2,0)</f>
        <v>3</v>
      </c>
      <c r="F1455" s="15" t="s">
        <v>6</v>
      </c>
      <c r="G1455" t="str">
        <f>VLOOKUP(F1455,Carrier_Category!A:B,2,0)</f>
        <v>Commuter</v>
      </c>
      <c r="H1455" s="5">
        <v>152</v>
      </c>
      <c r="I1455" s="7">
        <f t="shared" si="70"/>
        <v>26</v>
      </c>
      <c r="J1455" s="5">
        <v>5320</v>
      </c>
      <c r="K1455" s="18">
        <f t="shared" si="69"/>
        <v>35</v>
      </c>
    </row>
    <row r="1456" spans="1:11" x14ac:dyDescent="0.3">
      <c r="A1456" s="14">
        <v>2023</v>
      </c>
      <c r="B1456" s="14">
        <f t="shared" si="68"/>
        <v>29</v>
      </c>
      <c r="C1456" s="9">
        <v>45124</v>
      </c>
      <c r="D1456" s="9">
        <v>45128</v>
      </c>
      <c r="E1456" s="14">
        <f>VLOOKUP(F1456,CarrierID!A:B,2,0)</f>
        <v>12</v>
      </c>
      <c r="F1456" s="15" t="s">
        <v>25</v>
      </c>
      <c r="G1456" t="str">
        <f>VLOOKUP(F1456,Carrier_Category!A:B,2,0)</f>
        <v>Commuter</v>
      </c>
      <c r="H1456" s="5">
        <v>24</v>
      </c>
      <c r="I1456" s="7">
        <f t="shared" si="70"/>
        <v>151</v>
      </c>
      <c r="J1456" s="5">
        <v>697</v>
      </c>
      <c r="K1456" s="18">
        <f t="shared" si="69"/>
        <v>29.041666666666668</v>
      </c>
    </row>
    <row r="1457" spans="1:11" x14ac:dyDescent="0.3">
      <c r="A1457" s="14">
        <v>2023</v>
      </c>
      <c r="B1457" s="14">
        <f t="shared" si="68"/>
        <v>29</v>
      </c>
      <c r="C1457" s="9">
        <v>45124</v>
      </c>
      <c r="D1457" s="9">
        <v>45128</v>
      </c>
      <c r="E1457" s="14">
        <f>VLOOKUP(F1457,CarrierID!A:B,2,0)</f>
        <v>10</v>
      </c>
      <c r="F1457" s="15" t="s">
        <v>8</v>
      </c>
      <c r="G1457" t="str">
        <f>VLOOKUP(F1457,Carrier_Category!A:B,2,0)</f>
        <v>Intercity</v>
      </c>
      <c r="H1457" s="5">
        <v>23</v>
      </c>
      <c r="I1457" s="7">
        <f t="shared" si="70"/>
        <v>24</v>
      </c>
      <c r="J1457" s="5">
        <v>725</v>
      </c>
      <c r="K1457" s="18">
        <f t="shared" si="69"/>
        <v>31.521739130434781</v>
      </c>
    </row>
    <row r="1458" spans="1:11" x14ac:dyDescent="0.3">
      <c r="A1458" s="14">
        <v>2023</v>
      </c>
      <c r="B1458" s="14">
        <f t="shared" si="68"/>
        <v>29</v>
      </c>
      <c r="C1458" s="9">
        <v>45124</v>
      </c>
      <c r="D1458" s="9">
        <v>45128</v>
      </c>
      <c r="E1458" s="14">
        <f>VLOOKUP(F1458,CarrierID!A:B,2,0)</f>
        <v>6</v>
      </c>
      <c r="F1458" s="15" t="s">
        <v>9</v>
      </c>
      <c r="G1458" t="str">
        <f>VLOOKUP(F1458,Carrier_Category!A:B,2,0)</f>
        <v>Commuter</v>
      </c>
      <c r="H1458" s="5">
        <v>87</v>
      </c>
      <c r="I1458" s="7">
        <f t="shared" si="70"/>
        <v>23</v>
      </c>
      <c r="J1458" s="5">
        <v>1399</v>
      </c>
      <c r="K1458" s="18">
        <f t="shared" si="69"/>
        <v>16.080459770114942</v>
      </c>
    </row>
    <row r="1459" spans="1:11" x14ac:dyDescent="0.3">
      <c r="A1459" s="14">
        <v>2023</v>
      </c>
      <c r="B1459" s="14">
        <f t="shared" si="68"/>
        <v>30</v>
      </c>
      <c r="C1459" s="9">
        <v>45131</v>
      </c>
      <c r="D1459" s="9">
        <v>45135</v>
      </c>
      <c r="E1459" s="14">
        <f>VLOOKUP(F1459,CarrierID!A:B,2,0)</f>
        <v>1</v>
      </c>
      <c r="F1459" s="15" t="s">
        <v>0</v>
      </c>
      <c r="G1459" t="str">
        <f>VLOOKUP(F1459,Carrier_Category!A:B,2,0)</f>
        <v>Commuter</v>
      </c>
      <c r="H1459" s="5">
        <v>38</v>
      </c>
      <c r="I1459" s="7">
        <f t="shared" si="70"/>
        <v>87</v>
      </c>
      <c r="J1459" s="5">
        <v>1168</v>
      </c>
      <c r="K1459" s="18">
        <f t="shared" si="69"/>
        <v>30.736842105263158</v>
      </c>
    </row>
    <row r="1460" spans="1:11" x14ac:dyDescent="0.3">
      <c r="A1460" s="14">
        <v>2023</v>
      </c>
      <c r="B1460" s="14">
        <f t="shared" si="68"/>
        <v>30</v>
      </c>
      <c r="C1460" s="9">
        <v>45131</v>
      </c>
      <c r="D1460" s="9">
        <v>45135</v>
      </c>
      <c r="E1460" s="14">
        <f>VLOOKUP(F1460,CarrierID!A:B,2,0)</f>
        <v>5</v>
      </c>
      <c r="F1460" s="15" t="s">
        <v>1</v>
      </c>
      <c r="G1460" t="str">
        <f>VLOOKUP(F1460,Carrier_Category!A:B,2,0)</f>
        <v>Intercity</v>
      </c>
      <c r="H1460" s="5">
        <v>62</v>
      </c>
      <c r="I1460" s="7">
        <f t="shared" si="70"/>
        <v>38</v>
      </c>
      <c r="J1460" s="5">
        <v>2237</v>
      </c>
      <c r="K1460" s="18">
        <f t="shared" si="69"/>
        <v>36.08064516129032</v>
      </c>
    </row>
    <row r="1461" spans="1:11" x14ac:dyDescent="0.3">
      <c r="A1461" s="14">
        <v>2023</v>
      </c>
      <c r="B1461" s="14">
        <f t="shared" si="68"/>
        <v>30</v>
      </c>
      <c r="C1461" s="9">
        <v>45131</v>
      </c>
      <c r="D1461" s="9">
        <v>45135</v>
      </c>
      <c r="E1461" s="14">
        <f>VLOOKUP(F1461,CarrierID!A:B,2,0)</f>
        <v>8</v>
      </c>
      <c r="F1461" s="15" t="s">
        <v>2</v>
      </c>
      <c r="G1461" t="str">
        <f>VLOOKUP(F1461,Carrier_Category!A:B,2,0)</f>
        <v>Commuter</v>
      </c>
      <c r="H1461" s="5">
        <v>18</v>
      </c>
      <c r="I1461" s="7">
        <f t="shared" si="70"/>
        <v>62</v>
      </c>
      <c r="J1461" s="5">
        <v>799</v>
      </c>
      <c r="K1461" s="18">
        <f t="shared" si="69"/>
        <v>44.388888888888886</v>
      </c>
    </row>
    <row r="1462" spans="1:11" x14ac:dyDescent="0.3">
      <c r="A1462" s="14">
        <v>2023</v>
      </c>
      <c r="B1462" s="14">
        <f t="shared" si="68"/>
        <v>30</v>
      </c>
      <c r="C1462" s="9">
        <v>45131</v>
      </c>
      <c r="D1462" s="9">
        <v>45135</v>
      </c>
      <c r="E1462" s="14">
        <f>VLOOKUP(F1462,CarrierID!A:B,2,0)</f>
        <v>9</v>
      </c>
      <c r="F1462" s="15" t="s">
        <v>3</v>
      </c>
      <c r="G1462" t="str">
        <f>VLOOKUP(F1462,Carrier_Category!A:B,2,0)</f>
        <v>NJT</v>
      </c>
      <c r="H1462" s="5">
        <v>2257</v>
      </c>
      <c r="I1462" s="7">
        <f t="shared" si="70"/>
        <v>18</v>
      </c>
      <c r="J1462" s="5">
        <v>74310</v>
      </c>
      <c r="K1462" s="18">
        <f t="shared" si="69"/>
        <v>32.924235711120957</v>
      </c>
    </row>
    <row r="1463" spans="1:11" x14ac:dyDescent="0.3">
      <c r="A1463" s="14">
        <v>2023</v>
      </c>
      <c r="B1463" s="14">
        <f t="shared" si="68"/>
        <v>30</v>
      </c>
      <c r="C1463" s="9">
        <v>45131</v>
      </c>
      <c r="D1463" s="9">
        <v>45135</v>
      </c>
      <c r="E1463" s="14">
        <f>VLOOKUP(F1463,CarrierID!A:B,2,0)</f>
        <v>7</v>
      </c>
      <c r="F1463" s="15" t="s">
        <v>4</v>
      </c>
      <c r="G1463" t="str">
        <f>VLOOKUP(F1463,Carrier_Category!A:B,2,0)</f>
        <v>Commuter</v>
      </c>
      <c r="H1463" s="5">
        <v>42</v>
      </c>
      <c r="I1463" s="7">
        <f t="shared" si="70"/>
        <v>2359</v>
      </c>
      <c r="J1463" s="5">
        <v>1359</v>
      </c>
      <c r="K1463" s="18">
        <f t="shared" si="69"/>
        <v>32.357142857142854</v>
      </c>
    </row>
    <row r="1464" spans="1:11" x14ac:dyDescent="0.3">
      <c r="A1464" s="14">
        <v>2023</v>
      </c>
      <c r="B1464" s="14">
        <f t="shared" si="68"/>
        <v>30</v>
      </c>
      <c r="C1464" s="9">
        <v>45131</v>
      </c>
      <c r="D1464" s="9">
        <v>45135</v>
      </c>
      <c r="E1464" s="14">
        <f>VLOOKUP(F1464,CarrierID!A:B,2,0)</f>
        <v>11</v>
      </c>
      <c r="F1464" s="15" t="s">
        <v>5</v>
      </c>
      <c r="G1464" t="str">
        <f>VLOOKUP(F1464,Carrier_Category!A:B,2,0)</f>
        <v>Intercity</v>
      </c>
      <c r="H1464" s="5">
        <v>24</v>
      </c>
      <c r="I1464" s="7">
        <f t="shared" si="70"/>
        <v>42</v>
      </c>
      <c r="J1464" s="5">
        <v>747</v>
      </c>
      <c r="K1464" s="18">
        <f t="shared" si="69"/>
        <v>31.125</v>
      </c>
    </row>
    <row r="1465" spans="1:11" x14ac:dyDescent="0.3">
      <c r="A1465" s="14">
        <v>2023</v>
      </c>
      <c r="B1465" s="14">
        <f t="shared" si="68"/>
        <v>30</v>
      </c>
      <c r="C1465" s="9">
        <v>45131</v>
      </c>
      <c r="D1465" s="9">
        <v>45135</v>
      </c>
      <c r="E1465" s="14">
        <f>VLOOKUP(F1465,CarrierID!A:B,2,0)</f>
        <v>3</v>
      </c>
      <c r="F1465" s="15" t="s">
        <v>6</v>
      </c>
      <c r="G1465" t="str">
        <f>VLOOKUP(F1465,Carrier_Category!A:B,2,0)</f>
        <v>Commuter</v>
      </c>
      <c r="H1465" s="5">
        <v>152</v>
      </c>
      <c r="I1465" s="7">
        <f t="shared" si="70"/>
        <v>24</v>
      </c>
      <c r="J1465" s="5">
        <v>5049</v>
      </c>
      <c r="K1465" s="18">
        <f t="shared" si="69"/>
        <v>33.217105263157897</v>
      </c>
    </row>
    <row r="1466" spans="1:11" x14ac:dyDescent="0.3">
      <c r="A1466" s="14">
        <v>2023</v>
      </c>
      <c r="B1466" s="14">
        <f t="shared" si="68"/>
        <v>30</v>
      </c>
      <c r="C1466" s="9">
        <v>45131</v>
      </c>
      <c r="D1466" s="9">
        <v>45135</v>
      </c>
      <c r="E1466" s="14">
        <f>VLOOKUP(F1466,CarrierID!A:B,2,0)</f>
        <v>12</v>
      </c>
      <c r="F1466" s="15" t="s">
        <v>25</v>
      </c>
      <c r="G1466" t="str">
        <f>VLOOKUP(F1466,Carrier_Category!A:B,2,0)</f>
        <v>Commuter</v>
      </c>
      <c r="H1466" s="5">
        <v>24</v>
      </c>
      <c r="I1466" s="7">
        <f t="shared" si="70"/>
        <v>152</v>
      </c>
      <c r="J1466" s="5">
        <v>688</v>
      </c>
      <c r="K1466" s="18">
        <f t="shared" si="69"/>
        <v>28.666666666666668</v>
      </c>
    </row>
    <row r="1467" spans="1:11" x14ac:dyDescent="0.3">
      <c r="A1467" s="14">
        <v>2023</v>
      </c>
      <c r="B1467" s="14">
        <f t="shared" si="68"/>
        <v>30</v>
      </c>
      <c r="C1467" s="9">
        <v>45131</v>
      </c>
      <c r="D1467" s="9">
        <v>45135</v>
      </c>
      <c r="E1467" s="14">
        <f>VLOOKUP(F1467,CarrierID!A:B,2,0)</f>
        <v>10</v>
      </c>
      <c r="F1467" s="15" t="s">
        <v>8</v>
      </c>
      <c r="G1467" t="str">
        <f>VLOOKUP(F1467,Carrier_Category!A:B,2,0)</f>
        <v>Intercity</v>
      </c>
      <c r="H1467" s="5">
        <v>23</v>
      </c>
      <c r="I1467" s="7">
        <f t="shared" si="70"/>
        <v>24</v>
      </c>
      <c r="J1467" s="5">
        <v>814</v>
      </c>
      <c r="K1467" s="18">
        <f t="shared" si="69"/>
        <v>35.391304347826086</v>
      </c>
    </row>
    <row r="1468" spans="1:11" x14ac:dyDescent="0.3">
      <c r="A1468" s="14">
        <v>2023</v>
      </c>
      <c r="B1468" s="14">
        <f t="shared" si="68"/>
        <v>30</v>
      </c>
      <c r="C1468" s="9">
        <v>45131</v>
      </c>
      <c r="D1468" s="9">
        <v>45135</v>
      </c>
      <c r="E1468" s="14">
        <f>VLOOKUP(F1468,CarrierID!A:B,2,0)</f>
        <v>6</v>
      </c>
      <c r="F1468" s="15" t="s">
        <v>9</v>
      </c>
      <c r="G1468" t="str">
        <f>VLOOKUP(F1468,Carrier_Category!A:B,2,0)</f>
        <v>Commuter</v>
      </c>
      <c r="H1468" s="5">
        <v>82</v>
      </c>
      <c r="I1468" s="7">
        <f t="shared" si="70"/>
        <v>23</v>
      </c>
      <c r="J1468" s="5">
        <v>1434</v>
      </c>
      <c r="K1468" s="18">
        <f t="shared" si="69"/>
        <v>17.487804878048781</v>
      </c>
    </row>
    <row r="1469" spans="1:11" x14ac:dyDescent="0.3">
      <c r="A1469" s="14">
        <v>2023</v>
      </c>
      <c r="B1469" s="14">
        <f t="shared" si="68"/>
        <v>31</v>
      </c>
      <c r="C1469" s="9">
        <v>45138</v>
      </c>
      <c r="D1469" s="9">
        <v>45142</v>
      </c>
      <c r="E1469" s="14">
        <f>VLOOKUP(F1469,CarrierID!A:B,2,0)</f>
        <v>1</v>
      </c>
      <c r="F1469" s="15" t="s">
        <v>0</v>
      </c>
      <c r="G1469" t="str">
        <f>VLOOKUP(F1469,Carrier_Category!A:B,2,0)</f>
        <v>Commuter</v>
      </c>
      <c r="H1469" s="5">
        <v>38</v>
      </c>
      <c r="I1469" s="7">
        <f t="shared" si="70"/>
        <v>87</v>
      </c>
      <c r="J1469" s="5">
        <v>1212</v>
      </c>
      <c r="K1469" s="18">
        <f t="shared" si="69"/>
        <v>31.894736842105264</v>
      </c>
    </row>
    <row r="1470" spans="1:11" x14ac:dyDescent="0.3">
      <c r="A1470" s="14">
        <v>2023</v>
      </c>
      <c r="B1470" s="14">
        <f t="shared" si="68"/>
        <v>31</v>
      </c>
      <c r="C1470" s="9">
        <v>45138</v>
      </c>
      <c r="D1470" s="9">
        <v>45142</v>
      </c>
      <c r="E1470" s="14">
        <f>VLOOKUP(F1470,CarrierID!A:B,2,0)</f>
        <v>5</v>
      </c>
      <c r="F1470" s="15" t="s">
        <v>1</v>
      </c>
      <c r="G1470" t="str">
        <f>VLOOKUP(F1470,Carrier_Category!A:B,2,0)</f>
        <v>Intercity</v>
      </c>
      <c r="H1470" s="5">
        <v>64</v>
      </c>
      <c r="I1470" s="7">
        <f t="shared" si="70"/>
        <v>38</v>
      </c>
      <c r="J1470" s="5">
        <v>2318</v>
      </c>
      <c r="K1470" s="18">
        <f t="shared" si="69"/>
        <v>36.21875</v>
      </c>
    </row>
    <row r="1471" spans="1:11" x14ac:dyDescent="0.3">
      <c r="A1471" s="14">
        <v>2023</v>
      </c>
      <c r="B1471" s="14">
        <f t="shared" si="68"/>
        <v>31</v>
      </c>
      <c r="C1471" s="9">
        <v>45138</v>
      </c>
      <c r="D1471" s="9">
        <v>45142</v>
      </c>
      <c r="E1471" s="14">
        <f>VLOOKUP(F1471,CarrierID!A:B,2,0)</f>
        <v>8</v>
      </c>
      <c r="F1471" s="15" t="s">
        <v>2</v>
      </c>
      <c r="G1471" t="str">
        <f>VLOOKUP(F1471,Carrier_Category!A:B,2,0)</f>
        <v>Commuter</v>
      </c>
      <c r="H1471" s="5">
        <v>19</v>
      </c>
      <c r="I1471" s="7">
        <f t="shared" si="70"/>
        <v>62</v>
      </c>
      <c r="J1471" s="5">
        <v>786</v>
      </c>
      <c r="K1471" s="18">
        <f t="shared" si="69"/>
        <v>41.368421052631582</v>
      </c>
    </row>
    <row r="1472" spans="1:11" x14ac:dyDescent="0.3">
      <c r="A1472" s="14">
        <v>2023</v>
      </c>
      <c r="B1472" s="14">
        <f t="shared" si="68"/>
        <v>31</v>
      </c>
      <c r="C1472" s="9">
        <v>45138</v>
      </c>
      <c r="D1472" s="9">
        <v>45142</v>
      </c>
      <c r="E1472" s="14">
        <f>VLOOKUP(F1472,CarrierID!A:B,2,0)</f>
        <v>9</v>
      </c>
      <c r="F1472" s="15" t="s">
        <v>3</v>
      </c>
      <c r="G1472" t="str">
        <f>VLOOKUP(F1472,Carrier_Category!A:B,2,0)</f>
        <v>NJT</v>
      </c>
      <c r="H1472" s="5">
        <v>2368</v>
      </c>
      <c r="I1472" s="7">
        <f t="shared" si="70"/>
        <v>18</v>
      </c>
      <c r="J1472" s="5">
        <v>75725</v>
      </c>
      <c r="K1472" s="18">
        <f t="shared" si="69"/>
        <v>31.978462837837839</v>
      </c>
    </row>
    <row r="1473" spans="1:11" x14ac:dyDescent="0.3">
      <c r="A1473" s="14">
        <v>2023</v>
      </c>
      <c r="B1473" s="14">
        <f t="shared" si="68"/>
        <v>31</v>
      </c>
      <c r="C1473" s="9">
        <v>45138</v>
      </c>
      <c r="D1473" s="9">
        <v>45142</v>
      </c>
      <c r="E1473" s="14">
        <f>VLOOKUP(F1473,CarrierID!A:B,2,0)</f>
        <v>7</v>
      </c>
      <c r="F1473" s="15" t="s">
        <v>4</v>
      </c>
      <c r="G1473" t="str">
        <f>VLOOKUP(F1473,Carrier_Category!A:B,2,0)</f>
        <v>Commuter</v>
      </c>
      <c r="H1473" s="5">
        <v>43</v>
      </c>
      <c r="I1473" s="7">
        <f t="shared" si="70"/>
        <v>2257</v>
      </c>
      <c r="J1473" s="5">
        <v>1317</v>
      </c>
      <c r="K1473" s="18">
        <f t="shared" si="69"/>
        <v>30.627906976744185</v>
      </c>
    </row>
    <row r="1474" spans="1:11" x14ac:dyDescent="0.3">
      <c r="A1474" s="14">
        <v>2023</v>
      </c>
      <c r="B1474" s="14">
        <f t="shared" si="68"/>
        <v>31</v>
      </c>
      <c r="C1474" s="9">
        <v>45138</v>
      </c>
      <c r="D1474" s="9">
        <v>45142</v>
      </c>
      <c r="E1474" s="14">
        <f>VLOOKUP(F1474,CarrierID!A:B,2,0)</f>
        <v>11</v>
      </c>
      <c r="F1474" s="15" t="s">
        <v>5</v>
      </c>
      <c r="G1474" t="str">
        <f>VLOOKUP(F1474,Carrier_Category!A:B,2,0)</f>
        <v>Intercity</v>
      </c>
      <c r="H1474" s="5">
        <v>24</v>
      </c>
      <c r="I1474" s="7">
        <f t="shared" si="70"/>
        <v>42</v>
      </c>
      <c r="J1474" s="5">
        <v>720</v>
      </c>
      <c r="K1474" s="18">
        <f t="shared" si="69"/>
        <v>30</v>
      </c>
    </row>
    <row r="1475" spans="1:11" x14ac:dyDescent="0.3">
      <c r="A1475" s="14">
        <v>2023</v>
      </c>
      <c r="B1475" s="14">
        <f t="shared" si="68"/>
        <v>31</v>
      </c>
      <c r="C1475" s="9">
        <v>45138</v>
      </c>
      <c r="D1475" s="9">
        <v>45142</v>
      </c>
      <c r="E1475" s="14">
        <f>VLOOKUP(F1475,CarrierID!A:B,2,0)</f>
        <v>3</v>
      </c>
      <c r="F1475" s="15" t="s">
        <v>6</v>
      </c>
      <c r="G1475" t="str">
        <f>VLOOKUP(F1475,Carrier_Category!A:B,2,0)</f>
        <v>Commuter</v>
      </c>
      <c r="H1475" s="5">
        <v>153</v>
      </c>
      <c r="I1475" s="7">
        <f t="shared" si="70"/>
        <v>24</v>
      </c>
      <c r="J1475" s="5">
        <v>5123</v>
      </c>
      <c r="K1475" s="18">
        <f t="shared" si="69"/>
        <v>33.483660130718953</v>
      </c>
    </row>
    <row r="1476" spans="1:11" x14ac:dyDescent="0.3">
      <c r="A1476" s="14">
        <v>2023</v>
      </c>
      <c r="B1476" s="14">
        <f t="shared" si="68"/>
        <v>31</v>
      </c>
      <c r="C1476" s="9">
        <v>45138</v>
      </c>
      <c r="D1476" s="9">
        <v>45142</v>
      </c>
      <c r="E1476" s="14">
        <f>VLOOKUP(F1476,CarrierID!A:B,2,0)</f>
        <v>12</v>
      </c>
      <c r="F1476" s="15" t="s">
        <v>25</v>
      </c>
      <c r="G1476" t="str">
        <f>VLOOKUP(F1476,Carrier_Category!A:B,2,0)</f>
        <v>Commuter</v>
      </c>
      <c r="H1476" s="5">
        <v>24</v>
      </c>
      <c r="I1476" s="7">
        <f t="shared" si="70"/>
        <v>152</v>
      </c>
      <c r="J1476" s="5">
        <v>679</v>
      </c>
      <c r="K1476" s="18">
        <f t="shared" si="69"/>
        <v>28.291666666666668</v>
      </c>
    </row>
    <row r="1477" spans="1:11" x14ac:dyDescent="0.3">
      <c r="A1477" s="14">
        <v>2023</v>
      </c>
      <c r="B1477" s="14">
        <f t="shared" ref="B1477:B1540" si="71">_xlfn.ISOWEEKNUM(C1477)</f>
        <v>31</v>
      </c>
      <c r="C1477" s="9">
        <v>45138</v>
      </c>
      <c r="D1477" s="9">
        <v>45142</v>
      </c>
      <c r="E1477" s="14">
        <f>VLOOKUP(F1477,CarrierID!A:B,2,0)</f>
        <v>10</v>
      </c>
      <c r="F1477" s="15" t="s">
        <v>8</v>
      </c>
      <c r="G1477" t="str">
        <f>VLOOKUP(F1477,Carrier_Category!A:B,2,0)</f>
        <v>Intercity</v>
      </c>
      <c r="H1477" s="5">
        <v>23</v>
      </c>
      <c r="I1477" s="7">
        <f t="shared" si="70"/>
        <v>24</v>
      </c>
      <c r="J1477" s="5">
        <v>745</v>
      </c>
      <c r="K1477" s="18">
        <f t="shared" ref="K1477:K1540" si="72">J1477/H1477</f>
        <v>32.391304347826086</v>
      </c>
    </row>
    <row r="1478" spans="1:11" x14ac:dyDescent="0.3">
      <c r="A1478" s="14">
        <v>2023</v>
      </c>
      <c r="B1478" s="14">
        <f t="shared" si="71"/>
        <v>31</v>
      </c>
      <c r="C1478" s="9">
        <v>45138</v>
      </c>
      <c r="D1478" s="9">
        <v>45142</v>
      </c>
      <c r="E1478" s="14">
        <f>VLOOKUP(F1478,CarrierID!A:B,2,0)</f>
        <v>6</v>
      </c>
      <c r="F1478" s="15" t="s">
        <v>9</v>
      </c>
      <c r="G1478" t="str">
        <f>VLOOKUP(F1478,Carrier_Category!A:B,2,0)</f>
        <v>Commuter</v>
      </c>
      <c r="H1478" s="5">
        <v>82</v>
      </c>
      <c r="I1478" s="7">
        <f t="shared" si="70"/>
        <v>23</v>
      </c>
      <c r="J1478" s="5">
        <v>1434</v>
      </c>
      <c r="K1478" s="18">
        <f t="shared" si="72"/>
        <v>17.487804878048781</v>
      </c>
    </row>
    <row r="1479" spans="1:11" x14ac:dyDescent="0.3">
      <c r="A1479" s="14">
        <v>2023</v>
      </c>
      <c r="B1479" s="14">
        <f t="shared" si="71"/>
        <v>32</v>
      </c>
      <c r="C1479" s="9">
        <v>45145</v>
      </c>
      <c r="D1479" s="9">
        <v>45149</v>
      </c>
      <c r="E1479" s="14">
        <f>VLOOKUP(F1479,CarrierID!A:B,2,0)</f>
        <v>1</v>
      </c>
      <c r="F1479" s="15" t="s">
        <v>0</v>
      </c>
      <c r="G1479" t="str">
        <f>VLOOKUP(F1479,Carrier_Category!A:B,2,0)</f>
        <v>Commuter</v>
      </c>
      <c r="H1479" s="5">
        <v>38</v>
      </c>
      <c r="I1479" s="7">
        <f t="shared" si="70"/>
        <v>82</v>
      </c>
      <c r="J1479" s="5">
        <v>1164</v>
      </c>
      <c r="K1479" s="18">
        <f t="shared" si="72"/>
        <v>30.631578947368421</v>
      </c>
    </row>
    <row r="1480" spans="1:11" x14ac:dyDescent="0.3">
      <c r="A1480" s="14">
        <v>2023</v>
      </c>
      <c r="B1480" s="14">
        <f t="shared" si="71"/>
        <v>32</v>
      </c>
      <c r="C1480" s="9">
        <v>45145</v>
      </c>
      <c r="D1480" s="9">
        <v>45149</v>
      </c>
      <c r="E1480" s="14">
        <f>VLOOKUP(F1480,CarrierID!A:B,2,0)</f>
        <v>5</v>
      </c>
      <c r="F1480" s="15" t="s">
        <v>1</v>
      </c>
      <c r="G1480" t="str">
        <f>VLOOKUP(F1480,Carrier_Category!A:B,2,0)</f>
        <v>Intercity</v>
      </c>
      <c r="H1480" s="5">
        <v>63</v>
      </c>
      <c r="I1480" s="7">
        <f t="shared" si="70"/>
        <v>38</v>
      </c>
      <c r="J1480" s="5">
        <v>2319</v>
      </c>
      <c r="K1480" s="18">
        <f t="shared" si="72"/>
        <v>36.80952380952381</v>
      </c>
    </row>
    <row r="1481" spans="1:11" x14ac:dyDescent="0.3">
      <c r="A1481" s="14">
        <v>2023</v>
      </c>
      <c r="B1481" s="14">
        <f t="shared" si="71"/>
        <v>32</v>
      </c>
      <c r="C1481" s="9">
        <v>45145</v>
      </c>
      <c r="D1481" s="9">
        <v>45149</v>
      </c>
      <c r="E1481" s="14">
        <f>VLOOKUP(F1481,CarrierID!A:B,2,0)</f>
        <v>8</v>
      </c>
      <c r="F1481" s="15" t="s">
        <v>2</v>
      </c>
      <c r="G1481" t="str">
        <f>VLOOKUP(F1481,Carrier_Category!A:B,2,0)</f>
        <v>Commuter</v>
      </c>
      <c r="H1481" s="5">
        <v>19</v>
      </c>
      <c r="I1481" s="7">
        <f t="shared" si="70"/>
        <v>64</v>
      </c>
      <c r="J1481" s="5">
        <v>776</v>
      </c>
      <c r="K1481" s="18">
        <f t="shared" si="72"/>
        <v>40.842105263157897</v>
      </c>
    </row>
    <row r="1482" spans="1:11" x14ac:dyDescent="0.3">
      <c r="A1482" s="14">
        <v>2023</v>
      </c>
      <c r="B1482" s="14">
        <f t="shared" si="71"/>
        <v>32</v>
      </c>
      <c r="C1482" s="9">
        <v>45145</v>
      </c>
      <c r="D1482" s="9">
        <v>45149</v>
      </c>
      <c r="E1482" s="14">
        <f>VLOOKUP(F1482,CarrierID!A:B,2,0)</f>
        <v>9</v>
      </c>
      <c r="F1482" s="15" t="s">
        <v>3</v>
      </c>
      <c r="G1482" t="str">
        <f>VLOOKUP(F1482,Carrier_Category!A:B,2,0)</f>
        <v>NJT</v>
      </c>
      <c r="H1482" s="5">
        <v>2372</v>
      </c>
      <c r="I1482" s="7">
        <f t="shared" si="70"/>
        <v>19</v>
      </c>
      <c r="J1482" s="5">
        <v>76016</v>
      </c>
      <c r="K1482" s="18">
        <f t="shared" si="72"/>
        <v>32.047217537942664</v>
      </c>
    </row>
    <row r="1483" spans="1:11" x14ac:dyDescent="0.3">
      <c r="A1483" s="14">
        <v>2023</v>
      </c>
      <c r="B1483" s="14">
        <f t="shared" si="71"/>
        <v>32</v>
      </c>
      <c r="C1483" s="9">
        <v>45145</v>
      </c>
      <c r="D1483" s="9">
        <v>45149</v>
      </c>
      <c r="E1483" s="14">
        <f>VLOOKUP(F1483,CarrierID!A:B,2,0)</f>
        <v>7</v>
      </c>
      <c r="F1483" s="15" t="s">
        <v>4</v>
      </c>
      <c r="G1483" t="str">
        <f>VLOOKUP(F1483,Carrier_Category!A:B,2,0)</f>
        <v>Commuter</v>
      </c>
      <c r="H1483" s="5">
        <v>42</v>
      </c>
      <c r="I1483" s="7">
        <f t="shared" si="70"/>
        <v>2368</v>
      </c>
      <c r="J1483" s="5">
        <v>1298</v>
      </c>
      <c r="K1483" s="18">
        <f t="shared" si="72"/>
        <v>30.904761904761905</v>
      </c>
    </row>
    <row r="1484" spans="1:11" x14ac:dyDescent="0.3">
      <c r="A1484" s="14">
        <v>2023</v>
      </c>
      <c r="B1484" s="14">
        <f t="shared" si="71"/>
        <v>32</v>
      </c>
      <c r="C1484" s="9">
        <v>45145</v>
      </c>
      <c r="D1484" s="9">
        <v>45149</v>
      </c>
      <c r="E1484" s="14">
        <f>VLOOKUP(F1484,CarrierID!A:B,2,0)</f>
        <v>11</v>
      </c>
      <c r="F1484" s="15" t="s">
        <v>5</v>
      </c>
      <c r="G1484" t="str">
        <f>VLOOKUP(F1484,Carrier_Category!A:B,2,0)</f>
        <v>Intercity</v>
      </c>
      <c r="H1484" s="5">
        <v>25</v>
      </c>
      <c r="I1484" s="7">
        <f t="shared" si="70"/>
        <v>43</v>
      </c>
      <c r="J1484" s="5">
        <v>756</v>
      </c>
      <c r="K1484" s="18">
        <f t="shared" si="72"/>
        <v>30.24</v>
      </c>
    </row>
    <row r="1485" spans="1:11" x14ac:dyDescent="0.3">
      <c r="A1485" s="14">
        <v>2023</v>
      </c>
      <c r="B1485" s="14">
        <f t="shared" si="71"/>
        <v>32</v>
      </c>
      <c r="C1485" s="9">
        <v>45145</v>
      </c>
      <c r="D1485" s="9">
        <v>45149</v>
      </c>
      <c r="E1485" s="14">
        <f>VLOOKUP(F1485,CarrierID!A:B,2,0)</f>
        <v>3</v>
      </c>
      <c r="F1485" s="15" t="s">
        <v>6</v>
      </c>
      <c r="G1485" t="str">
        <f>VLOOKUP(F1485,Carrier_Category!A:B,2,0)</f>
        <v>Commuter</v>
      </c>
      <c r="H1485" s="5">
        <v>152</v>
      </c>
      <c r="I1485" s="7">
        <f t="shared" ref="I1485:I1548" si="73">H1474</f>
        <v>24</v>
      </c>
      <c r="J1485" s="5">
        <v>5007</v>
      </c>
      <c r="K1485" s="18">
        <f t="shared" si="72"/>
        <v>32.940789473684212</v>
      </c>
    </row>
    <row r="1486" spans="1:11" x14ac:dyDescent="0.3">
      <c r="A1486" s="14">
        <v>2023</v>
      </c>
      <c r="B1486" s="14">
        <f t="shared" si="71"/>
        <v>32</v>
      </c>
      <c r="C1486" s="9">
        <v>45145</v>
      </c>
      <c r="D1486" s="9">
        <v>45149</v>
      </c>
      <c r="E1486" s="14">
        <f>VLOOKUP(F1486,CarrierID!A:B,2,0)</f>
        <v>12</v>
      </c>
      <c r="F1486" s="15" t="s">
        <v>25</v>
      </c>
      <c r="G1486" t="str">
        <f>VLOOKUP(F1486,Carrier_Category!A:B,2,0)</f>
        <v>Commuter</v>
      </c>
      <c r="H1486" s="5">
        <v>24</v>
      </c>
      <c r="I1486" s="7">
        <f t="shared" si="73"/>
        <v>153</v>
      </c>
      <c r="J1486" s="5">
        <v>646</v>
      </c>
      <c r="K1486" s="18">
        <f t="shared" si="72"/>
        <v>26.916666666666668</v>
      </c>
    </row>
    <row r="1487" spans="1:11" x14ac:dyDescent="0.3">
      <c r="A1487" s="14">
        <v>2023</v>
      </c>
      <c r="B1487" s="14">
        <f t="shared" si="71"/>
        <v>32</v>
      </c>
      <c r="C1487" s="9">
        <v>45145</v>
      </c>
      <c r="D1487" s="9">
        <v>45149</v>
      </c>
      <c r="E1487" s="14">
        <f>VLOOKUP(F1487,CarrierID!A:B,2,0)</f>
        <v>10</v>
      </c>
      <c r="F1487" s="15" t="s">
        <v>8</v>
      </c>
      <c r="G1487" t="str">
        <f>VLOOKUP(F1487,Carrier_Category!A:B,2,0)</f>
        <v>Intercity</v>
      </c>
      <c r="H1487" s="5">
        <v>23</v>
      </c>
      <c r="I1487" s="7">
        <f t="shared" si="73"/>
        <v>24</v>
      </c>
      <c r="J1487" s="5">
        <v>745</v>
      </c>
      <c r="K1487" s="18">
        <f t="shared" si="72"/>
        <v>32.391304347826086</v>
      </c>
    </row>
    <row r="1488" spans="1:11" x14ac:dyDescent="0.3">
      <c r="A1488" s="14">
        <v>2023</v>
      </c>
      <c r="B1488" s="14">
        <f t="shared" si="71"/>
        <v>32</v>
      </c>
      <c r="C1488" s="9">
        <v>45145</v>
      </c>
      <c r="D1488" s="9">
        <v>45149</v>
      </c>
      <c r="E1488" s="14">
        <f>VLOOKUP(F1488,CarrierID!A:B,2,0)</f>
        <v>6</v>
      </c>
      <c r="F1488" s="15" t="s">
        <v>9</v>
      </c>
      <c r="G1488" t="str">
        <f>VLOOKUP(F1488,Carrier_Category!A:B,2,0)</f>
        <v>Commuter</v>
      </c>
      <c r="H1488" s="5">
        <v>81</v>
      </c>
      <c r="I1488" s="7">
        <f t="shared" si="73"/>
        <v>23</v>
      </c>
      <c r="J1488" s="5">
        <v>1344</v>
      </c>
      <c r="K1488" s="18">
        <f t="shared" si="72"/>
        <v>16.592592592592592</v>
      </c>
    </row>
    <row r="1489" spans="1:11" x14ac:dyDescent="0.3">
      <c r="A1489" s="14">
        <v>2023</v>
      </c>
      <c r="B1489" s="14">
        <f t="shared" si="71"/>
        <v>33</v>
      </c>
      <c r="C1489" s="9">
        <v>45152</v>
      </c>
      <c r="D1489" s="9">
        <v>45156</v>
      </c>
      <c r="E1489" s="14">
        <f>VLOOKUP(F1489,CarrierID!A:B,2,0)</f>
        <v>1</v>
      </c>
      <c r="F1489" s="15" t="s">
        <v>0</v>
      </c>
      <c r="G1489" t="str">
        <f>VLOOKUP(F1489,Carrier_Category!A:B,2,0)</f>
        <v>Commuter</v>
      </c>
      <c r="H1489" s="5">
        <v>38</v>
      </c>
      <c r="I1489" s="7">
        <f t="shared" si="73"/>
        <v>82</v>
      </c>
      <c r="J1489" s="5">
        <v>1169</v>
      </c>
      <c r="K1489" s="18">
        <f t="shared" si="72"/>
        <v>30.763157894736842</v>
      </c>
    </row>
    <row r="1490" spans="1:11" x14ac:dyDescent="0.3">
      <c r="A1490" s="14">
        <v>2023</v>
      </c>
      <c r="B1490" s="14">
        <f t="shared" si="71"/>
        <v>33</v>
      </c>
      <c r="C1490" s="9">
        <v>45152</v>
      </c>
      <c r="D1490" s="9">
        <v>45156</v>
      </c>
      <c r="E1490" s="14">
        <f>VLOOKUP(F1490,CarrierID!A:B,2,0)</f>
        <v>5</v>
      </c>
      <c r="F1490" s="15" t="s">
        <v>1</v>
      </c>
      <c r="G1490" t="str">
        <f>VLOOKUP(F1490,Carrier_Category!A:B,2,0)</f>
        <v>Intercity</v>
      </c>
      <c r="H1490" s="5">
        <v>62</v>
      </c>
      <c r="I1490" s="7">
        <f t="shared" si="73"/>
        <v>38</v>
      </c>
      <c r="J1490" s="5">
        <v>2341</v>
      </c>
      <c r="K1490" s="18">
        <f t="shared" si="72"/>
        <v>37.758064516129032</v>
      </c>
    </row>
    <row r="1491" spans="1:11" x14ac:dyDescent="0.3">
      <c r="A1491" s="14">
        <v>2023</v>
      </c>
      <c r="B1491" s="14">
        <f t="shared" si="71"/>
        <v>33</v>
      </c>
      <c r="C1491" s="9">
        <v>45152</v>
      </c>
      <c r="D1491" s="9">
        <v>45156</v>
      </c>
      <c r="E1491" s="14">
        <f>VLOOKUP(F1491,CarrierID!A:B,2,0)</f>
        <v>8</v>
      </c>
      <c r="F1491" s="15" t="s">
        <v>2</v>
      </c>
      <c r="G1491" t="str">
        <f>VLOOKUP(F1491,Carrier_Category!A:B,2,0)</f>
        <v>Commuter</v>
      </c>
      <c r="H1491" s="5">
        <v>19</v>
      </c>
      <c r="I1491" s="7">
        <f t="shared" si="73"/>
        <v>63</v>
      </c>
      <c r="J1491" s="5">
        <v>769</v>
      </c>
      <c r="K1491" s="18">
        <f t="shared" si="72"/>
        <v>40.473684210526315</v>
      </c>
    </row>
    <row r="1492" spans="1:11" x14ac:dyDescent="0.3">
      <c r="A1492" s="14">
        <v>2023</v>
      </c>
      <c r="B1492" s="14">
        <f t="shared" si="71"/>
        <v>33</v>
      </c>
      <c r="C1492" s="9">
        <v>45152</v>
      </c>
      <c r="D1492" s="9">
        <v>45156</v>
      </c>
      <c r="E1492" s="14">
        <f>VLOOKUP(F1492,CarrierID!A:B,2,0)</f>
        <v>9</v>
      </c>
      <c r="F1492" s="15" t="s">
        <v>3</v>
      </c>
      <c r="G1492" t="str">
        <f>VLOOKUP(F1492,Carrier_Category!A:B,2,0)</f>
        <v>NJT</v>
      </c>
      <c r="H1492" s="5">
        <v>2357</v>
      </c>
      <c r="I1492" s="7">
        <f t="shared" si="73"/>
        <v>19</v>
      </c>
      <c r="J1492" s="5">
        <v>75043</v>
      </c>
      <c r="K1492" s="18">
        <f t="shared" si="72"/>
        <v>31.838353839626645</v>
      </c>
    </row>
    <row r="1493" spans="1:11" x14ac:dyDescent="0.3">
      <c r="A1493" s="14">
        <v>2023</v>
      </c>
      <c r="B1493" s="14">
        <f t="shared" si="71"/>
        <v>33</v>
      </c>
      <c r="C1493" s="9">
        <v>45152</v>
      </c>
      <c r="D1493" s="9">
        <v>45156</v>
      </c>
      <c r="E1493" s="14">
        <f>VLOOKUP(F1493,CarrierID!A:B,2,0)</f>
        <v>7</v>
      </c>
      <c r="F1493" s="15" t="s">
        <v>4</v>
      </c>
      <c r="G1493" t="str">
        <f>VLOOKUP(F1493,Carrier_Category!A:B,2,0)</f>
        <v>Commuter</v>
      </c>
      <c r="H1493" s="5">
        <v>42</v>
      </c>
      <c r="I1493" s="7">
        <f t="shared" si="73"/>
        <v>2372</v>
      </c>
      <c r="J1493" s="5">
        <v>1286</v>
      </c>
      <c r="K1493" s="18">
        <f t="shared" si="72"/>
        <v>30.61904761904762</v>
      </c>
    </row>
    <row r="1494" spans="1:11" x14ac:dyDescent="0.3">
      <c r="A1494" s="14">
        <v>2023</v>
      </c>
      <c r="B1494" s="14">
        <f t="shared" si="71"/>
        <v>33</v>
      </c>
      <c r="C1494" s="9">
        <v>45152</v>
      </c>
      <c r="D1494" s="9">
        <v>45156</v>
      </c>
      <c r="E1494" s="14">
        <f>VLOOKUP(F1494,CarrierID!A:B,2,0)</f>
        <v>11</v>
      </c>
      <c r="F1494" s="15" t="s">
        <v>5</v>
      </c>
      <c r="G1494" t="str">
        <f>VLOOKUP(F1494,Carrier_Category!A:B,2,0)</f>
        <v>Intercity</v>
      </c>
      <c r="H1494" s="5">
        <v>25</v>
      </c>
      <c r="I1494" s="7">
        <f t="shared" si="73"/>
        <v>42</v>
      </c>
      <c r="J1494" s="5">
        <v>774</v>
      </c>
      <c r="K1494" s="18">
        <f t="shared" si="72"/>
        <v>30.96</v>
      </c>
    </row>
    <row r="1495" spans="1:11" x14ac:dyDescent="0.3">
      <c r="A1495" s="14">
        <v>2023</v>
      </c>
      <c r="B1495" s="14">
        <f t="shared" si="71"/>
        <v>33</v>
      </c>
      <c r="C1495" s="9">
        <v>45152</v>
      </c>
      <c r="D1495" s="9">
        <v>45156</v>
      </c>
      <c r="E1495" s="14">
        <f>VLOOKUP(F1495,CarrierID!A:B,2,0)</f>
        <v>3</v>
      </c>
      <c r="F1495" s="15" t="s">
        <v>6</v>
      </c>
      <c r="G1495" t="str">
        <f>VLOOKUP(F1495,Carrier_Category!A:B,2,0)</f>
        <v>Commuter</v>
      </c>
      <c r="H1495" s="5">
        <v>151</v>
      </c>
      <c r="I1495" s="7">
        <f t="shared" si="73"/>
        <v>25</v>
      </c>
      <c r="J1495" s="5">
        <v>4896</v>
      </c>
      <c r="K1495" s="18">
        <f t="shared" si="72"/>
        <v>32.423841059602651</v>
      </c>
    </row>
    <row r="1496" spans="1:11" x14ac:dyDescent="0.3">
      <c r="A1496" s="14">
        <v>2023</v>
      </c>
      <c r="B1496" s="14">
        <f t="shared" si="71"/>
        <v>33</v>
      </c>
      <c r="C1496" s="9">
        <v>45152</v>
      </c>
      <c r="D1496" s="9">
        <v>45156</v>
      </c>
      <c r="E1496" s="14">
        <f>VLOOKUP(F1496,CarrierID!A:B,2,0)</f>
        <v>12</v>
      </c>
      <c r="F1496" s="15" t="s">
        <v>25</v>
      </c>
      <c r="G1496" t="str">
        <f>VLOOKUP(F1496,Carrier_Category!A:B,2,0)</f>
        <v>Commuter</v>
      </c>
      <c r="H1496" s="5">
        <v>24</v>
      </c>
      <c r="I1496" s="7">
        <f t="shared" si="73"/>
        <v>152</v>
      </c>
      <c r="J1496" s="5">
        <v>676</v>
      </c>
      <c r="K1496" s="18">
        <f t="shared" si="72"/>
        <v>28.166666666666668</v>
      </c>
    </row>
    <row r="1497" spans="1:11" x14ac:dyDescent="0.3">
      <c r="A1497" s="14">
        <v>2023</v>
      </c>
      <c r="B1497" s="14">
        <f t="shared" si="71"/>
        <v>33</v>
      </c>
      <c r="C1497" s="9">
        <v>45152</v>
      </c>
      <c r="D1497" s="9">
        <v>45156</v>
      </c>
      <c r="E1497" s="14">
        <f>VLOOKUP(F1497,CarrierID!A:B,2,0)</f>
        <v>10</v>
      </c>
      <c r="F1497" s="15" t="s">
        <v>8</v>
      </c>
      <c r="G1497" t="str">
        <f>VLOOKUP(F1497,Carrier_Category!A:B,2,0)</f>
        <v>Intercity</v>
      </c>
      <c r="H1497" s="5">
        <v>23</v>
      </c>
      <c r="I1497" s="7">
        <f t="shared" si="73"/>
        <v>24</v>
      </c>
      <c r="J1497" s="5">
        <v>745</v>
      </c>
      <c r="K1497" s="18">
        <f t="shared" si="72"/>
        <v>32.391304347826086</v>
      </c>
    </row>
    <row r="1498" spans="1:11" x14ac:dyDescent="0.3">
      <c r="A1498" s="14">
        <v>2023</v>
      </c>
      <c r="B1498" s="14">
        <f t="shared" si="71"/>
        <v>33</v>
      </c>
      <c r="C1498" s="9">
        <v>45152</v>
      </c>
      <c r="D1498" s="9">
        <v>45156</v>
      </c>
      <c r="E1498" s="14">
        <f>VLOOKUP(F1498,CarrierID!A:B,2,0)</f>
        <v>6</v>
      </c>
      <c r="F1498" s="15" t="s">
        <v>9</v>
      </c>
      <c r="G1498" t="str">
        <f>VLOOKUP(F1498,Carrier_Category!A:B,2,0)</f>
        <v>Commuter</v>
      </c>
      <c r="H1498" s="5">
        <v>81</v>
      </c>
      <c r="I1498" s="7">
        <f t="shared" si="73"/>
        <v>23</v>
      </c>
      <c r="J1498" s="5">
        <v>1344</v>
      </c>
      <c r="K1498" s="18">
        <f t="shared" si="72"/>
        <v>16.592592592592592</v>
      </c>
    </row>
    <row r="1499" spans="1:11" x14ac:dyDescent="0.3">
      <c r="A1499" s="14">
        <v>2023</v>
      </c>
      <c r="B1499" s="14">
        <f t="shared" si="71"/>
        <v>34</v>
      </c>
      <c r="C1499" s="9">
        <v>45159</v>
      </c>
      <c r="D1499" s="9">
        <v>45163</v>
      </c>
      <c r="E1499" s="14">
        <f>VLOOKUP(F1499,CarrierID!A:B,2,0)</f>
        <v>1</v>
      </c>
      <c r="F1499" s="15" t="s">
        <v>0</v>
      </c>
      <c r="G1499" t="str">
        <f>VLOOKUP(F1499,Carrier_Category!A:B,2,0)</f>
        <v>Commuter</v>
      </c>
      <c r="H1499" s="5">
        <v>38</v>
      </c>
      <c r="I1499" s="7">
        <f t="shared" si="73"/>
        <v>81</v>
      </c>
      <c r="J1499" s="5">
        <v>1077</v>
      </c>
      <c r="K1499" s="18">
        <f t="shared" si="72"/>
        <v>28.342105263157894</v>
      </c>
    </row>
    <row r="1500" spans="1:11" x14ac:dyDescent="0.3">
      <c r="A1500" s="14">
        <v>2023</v>
      </c>
      <c r="B1500" s="14">
        <f t="shared" si="71"/>
        <v>34</v>
      </c>
      <c r="C1500" s="9">
        <v>45159</v>
      </c>
      <c r="D1500" s="9">
        <v>45163</v>
      </c>
      <c r="E1500" s="14">
        <f>VLOOKUP(F1500,CarrierID!A:B,2,0)</f>
        <v>5</v>
      </c>
      <c r="F1500" s="15" t="s">
        <v>1</v>
      </c>
      <c r="G1500" t="str">
        <f>VLOOKUP(F1500,Carrier_Category!A:B,2,0)</f>
        <v>Intercity</v>
      </c>
      <c r="H1500" s="5">
        <v>62</v>
      </c>
      <c r="I1500" s="7">
        <f t="shared" si="73"/>
        <v>38</v>
      </c>
      <c r="J1500" s="5">
        <v>2322</v>
      </c>
      <c r="K1500" s="18">
        <f t="shared" si="72"/>
        <v>37.451612903225808</v>
      </c>
    </row>
    <row r="1501" spans="1:11" x14ac:dyDescent="0.3">
      <c r="A1501" s="14">
        <v>2023</v>
      </c>
      <c r="B1501" s="14">
        <f t="shared" si="71"/>
        <v>34</v>
      </c>
      <c r="C1501" s="9">
        <v>45159</v>
      </c>
      <c r="D1501" s="9">
        <v>45163</v>
      </c>
      <c r="E1501" s="14">
        <f>VLOOKUP(F1501,CarrierID!A:B,2,0)</f>
        <v>8</v>
      </c>
      <c r="F1501" s="15" t="s">
        <v>2</v>
      </c>
      <c r="G1501" t="str">
        <f>VLOOKUP(F1501,Carrier_Category!A:B,2,0)</f>
        <v>Commuter</v>
      </c>
      <c r="H1501" s="5">
        <v>19</v>
      </c>
      <c r="I1501" s="7">
        <f t="shared" si="73"/>
        <v>62</v>
      </c>
      <c r="J1501" s="5">
        <v>741</v>
      </c>
      <c r="K1501" s="18">
        <f t="shared" si="72"/>
        <v>39</v>
      </c>
    </row>
    <row r="1502" spans="1:11" x14ac:dyDescent="0.3">
      <c r="A1502" s="14">
        <v>2023</v>
      </c>
      <c r="B1502" s="14">
        <f t="shared" si="71"/>
        <v>34</v>
      </c>
      <c r="C1502" s="9">
        <v>45159</v>
      </c>
      <c r="D1502" s="9">
        <v>45163</v>
      </c>
      <c r="E1502" s="14">
        <f>VLOOKUP(F1502,CarrierID!A:B,2,0)</f>
        <v>9</v>
      </c>
      <c r="F1502" s="15" t="s">
        <v>3</v>
      </c>
      <c r="G1502" t="str">
        <f>VLOOKUP(F1502,Carrier_Category!A:B,2,0)</f>
        <v>NJT</v>
      </c>
      <c r="H1502" s="5">
        <v>2391</v>
      </c>
      <c r="I1502" s="7">
        <f t="shared" si="73"/>
        <v>19</v>
      </c>
      <c r="J1502" s="5">
        <v>73071</v>
      </c>
      <c r="K1502" s="18">
        <f t="shared" si="72"/>
        <v>30.560853199498119</v>
      </c>
    </row>
    <row r="1503" spans="1:11" x14ac:dyDescent="0.3">
      <c r="A1503" s="14">
        <v>2023</v>
      </c>
      <c r="B1503" s="14">
        <f t="shared" si="71"/>
        <v>34</v>
      </c>
      <c r="C1503" s="9">
        <v>45159</v>
      </c>
      <c r="D1503" s="9">
        <v>45163</v>
      </c>
      <c r="E1503" s="14">
        <f>VLOOKUP(F1503,CarrierID!A:B,2,0)</f>
        <v>7</v>
      </c>
      <c r="F1503" s="15" t="s">
        <v>4</v>
      </c>
      <c r="G1503" t="str">
        <f>VLOOKUP(F1503,Carrier_Category!A:B,2,0)</f>
        <v>Commuter</v>
      </c>
      <c r="H1503" s="5">
        <v>42</v>
      </c>
      <c r="I1503" s="7">
        <f t="shared" si="73"/>
        <v>2357</v>
      </c>
      <c r="J1503" s="5">
        <v>1222</v>
      </c>
      <c r="K1503" s="18">
        <f t="shared" si="72"/>
        <v>29.095238095238095</v>
      </c>
    </row>
    <row r="1504" spans="1:11" x14ac:dyDescent="0.3">
      <c r="A1504" s="14">
        <v>2023</v>
      </c>
      <c r="B1504" s="14">
        <f t="shared" si="71"/>
        <v>34</v>
      </c>
      <c r="C1504" s="9">
        <v>45159</v>
      </c>
      <c r="D1504" s="9">
        <v>45163</v>
      </c>
      <c r="E1504" s="14">
        <f>VLOOKUP(F1504,CarrierID!A:B,2,0)</f>
        <v>11</v>
      </c>
      <c r="F1504" s="15" t="s">
        <v>5</v>
      </c>
      <c r="G1504" t="str">
        <f>VLOOKUP(F1504,Carrier_Category!A:B,2,0)</f>
        <v>Intercity</v>
      </c>
      <c r="H1504" s="5">
        <v>25</v>
      </c>
      <c r="I1504" s="7">
        <f t="shared" si="73"/>
        <v>42</v>
      </c>
      <c r="J1504" s="5">
        <v>747</v>
      </c>
      <c r="K1504" s="18">
        <f t="shared" si="72"/>
        <v>29.88</v>
      </c>
    </row>
    <row r="1505" spans="1:11" x14ac:dyDescent="0.3">
      <c r="A1505" s="14">
        <v>2023</v>
      </c>
      <c r="B1505" s="14">
        <f t="shared" si="71"/>
        <v>34</v>
      </c>
      <c r="C1505" s="9">
        <v>45159</v>
      </c>
      <c r="D1505" s="9">
        <v>45163</v>
      </c>
      <c r="E1505" s="14">
        <f>VLOOKUP(F1505,CarrierID!A:B,2,0)</f>
        <v>3</v>
      </c>
      <c r="F1505" s="15" t="s">
        <v>6</v>
      </c>
      <c r="G1505" t="str">
        <f>VLOOKUP(F1505,Carrier_Category!A:B,2,0)</f>
        <v>Commuter</v>
      </c>
      <c r="H1505" s="5">
        <v>150</v>
      </c>
      <c r="I1505" s="7">
        <f t="shared" si="73"/>
        <v>25</v>
      </c>
      <c r="J1505" s="5">
        <v>4674</v>
      </c>
      <c r="K1505" s="18">
        <f t="shared" si="72"/>
        <v>31.16</v>
      </c>
    </row>
    <row r="1506" spans="1:11" x14ac:dyDescent="0.3">
      <c r="A1506" s="14">
        <v>2023</v>
      </c>
      <c r="B1506" s="14">
        <f t="shared" si="71"/>
        <v>34</v>
      </c>
      <c r="C1506" s="9">
        <v>45159</v>
      </c>
      <c r="D1506" s="9">
        <v>45163</v>
      </c>
      <c r="E1506" s="14">
        <f>VLOOKUP(F1506,CarrierID!A:B,2,0)</f>
        <v>12</v>
      </c>
      <c r="F1506" s="15" t="s">
        <v>25</v>
      </c>
      <c r="G1506" t="str">
        <f>VLOOKUP(F1506,Carrier_Category!A:B,2,0)</f>
        <v>Commuter</v>
      </c>
      <c r="H1506" s="5">
        <v>24</v>
      </c>
      <c r="I1506" s="7">
        <f t="shared" si="73"/>
        <v>151</v>
      </c>
      <c r="J1506" s="5">
        <v>635</v>
      </c>
      <c r="K1506" s="18">
        <f t="shared" si="72"/>
        <v>26.458333333333332</v>
      </c>
    </row>
    <row r="1507" spans="1:11" x14ac:dyDescent="0.3">
      <c r="A1507" s="14">
        <v>2023</v>
      </c>
      <c r="B1507" s="14">
        <f t="shared" si="71"/>
        <v>34</v>
      </c>
      <c r="C1507" s="9">
        <v>45159</v>
      </c>
      <c r="D1507" s="9">
        <v>45163</v>
      </c>
      <c r="E1507" s="14">
        <f>VLOOKUP(F1507,CarrierID!A:B,2,0)</f>
        <v>10</v>
      </c>
      <c r="F1507" s="15" t="s">
        <v>8</v>
      </c>
      <c r="G1507" t="str">
        <f>VLOOKUP(F1507,Carrier_Category!A:B,2,0)</f>
        <v>Intercity</v>
      </c>
      <c r="H1507" s="5">
        <v>23</v>
      </c>
      <c r="I1507" s="7">
        <f t="shared" si="73"/>
        <v>24</v>
      </c>
      <c r="J1507" s="5">
        <v>745</v>
      </c>
      <c r="K1507" s="18">
        <f t="shared" si="72"/>
        <v>32.391304347826086</v>
      </c>
    </row>
    <row r="1508" spans="1:11" x14ac:dyDescent="0.3">
      <c r="A1508" s="14">
        <v>2023</v>
      </c>
      <c r="B1508" s="14">
        <f t="shared" si="71"/>
        <v>34</v>
      </c>
      <c r="C1508" s="9">
        <v>45159</v>
      </c>
      <c r="D1508" s="9">
        <v>45163</v>
      </c>
      <c r="E1508" s="14">
        <f>VLOOKUP(F1508,CarrierID!A:B,2,0)</f>
        <v>6</v>
      </c>
      <c r="F1508" s="15" t="s">
        <v>9</v>
      </c>
      <c r="G1508" t="str">
        <f>VLOOKUP(F1508,Carrier_Category!A:B,2,0)</f>
        <v>Commuter</v>
      </c>
      <c r="H1508" s="5">
        <v>77</v>
      </c>
      <c r="I1508" s="7">
        <f t="shared" si="73"/>
        <v>23</v>
      </c>
      <c r="J1508" s="5">
        <v>1387</v>
      </c>
      <c r="K1508" s="18">
        <f t="shared" si="72"/>
        <v>18.012987012987011</v>
      </c>
    </row>
    <row r="1509" spans="1:11" x14ac:dyDescent="0.3">
      <c r="A1509" s="14">
        <v>2023</v>
      </c>
      <c r="B1509" s="14">
        <f t="shared" si="71"/>
        <v>35</v>
      </c>
      <c r="C1509" s="9">
        <v>45166</v>
      </c>
      <c r="D1509" s="9">
        <v>45170</v>
      </c>
      <c r="E1509" s="14">
        <f>VLOOKUP(F1509,CarrierID!A:B,2,0)</f>
        <v>1</v>
      </c>
      <c r="F1509" s="15" t="s">
        <v>0</v>
      </c>
      <c r="G1509" t="str">
        <f>VLOOKUP(F1509,Carrier_Category!A:B,2,0)</f>
        <v>Commuter</v>
      </c>
      <c r="H1509" s="5">
        <v>38</v>
      </c>
      <c r="I1509" s="7">
        <f t="shared" si="73"/>
        <v>81</v>
      </c>
      <c r="J1509" s="5">
        <v>1087</v>
      </c>
      <c r="K1509" s="18">
        <f t="shared" si="72"/>
        <v>28.605263157894736</v>
      </c>
    </row>
    <row r="1510" spans="1:11" x14ac:dyDescent="0.3">
      <c r="A1510" s="14">
        <v>2023</v>
      </c>
      <c r="B1510" s="14">
        <f t="shared" si="71"/>
        <v>35</v>
      </c>
      <c r="C1510" s="9">
        <v>45166</v>
      </c>
      <c r="D1510" s="9">
        <v>45170</v>
      </c>
      <c r="E1510" s="14">
        <f>VLOOKUP(F1510,CarrierID!A:B,2,0)</f>
        <v>5</v>
      </c>
      <c r="F1510" s="15" t="s">
        <v>1</v>
      </c>
      <c r="G1510" t="str">
        <f>VLOOKUP(F1510,Carrier_Category!A:B,2,0)</f>
        <v>Intercity</v>
      </c>
      <c r="H1510" s="5">
        <v>62</v>
      </c>
      <c r="I1510" s="7">
        <f t="shared" si="73"/>
        <v>38</v>
      </c>
      <c r="J1510" s="5">
        <v>2112</v>
      </c>
      <c r="K1510" s="18">
        <f t="shared" si="72"/>
        <v>34.064516129032256</v>
      </c>
    </row>
    <row r="1511" spans="1:11" x14ac:dyDescent="0.3">
      <c r="A1511" s="14">
        <v>2023</v>
      </c>
      <c r="B1511" s="14">
        <f t="shared" si="71"/>
        <v>35</v>
      </c>
      <c r="C1511" s="9">
        <v>45166</v>
      </c>
      <c r="D1511" s="9">
        <v>45170</v>
      </c>
      <c r="E1511" s="14">
        <f>VLOOKUP(F1511,CarrierID!A:B,2,0)</f>
        <v>8</v>
      </c>
      <c r="F1511" s="15" t="s">
        <v>2</v>
      </c>
      <c r="G1511" t="str">
        <f>VLOOKUP(F1511,Carrier_Category!A:B,2,0)</f>
        <v>Commuter</v>
      </c>
      <c r="H1511" s="5">
        <v>18</v>
      </c>
      <c r="I1511" s="7">
        <f t="shared" si="73"/>
        <v>62</v>
      </c>
      <c r="J1511" s="5">
        <v>735</v>
      </c>
      <c r="K1511" s="18">
        <f t="shared" si="72"/>
        <v>40.833333333333336</v>
      </c>
    </row>
    <row r="1512" spans="1:11" x14ac:dyDescent="0.3">
      <c r="A1512" s="14">
        <v>2023</v>
      </c>
      <c r="B1512" s="14">
        <f t="shared" si="71"/>
        <v>35</v>
      </c>
      <c r="C1512" s="9">
        <v>45166</v>
      </c>
      <c r="D1512" s="9">
        <v>45170</v>
      </c>
      <c r="E1512" s="14">
        <f>VLOOKUP(F1512,CarrierID!A:B,2,0)</f>
        <v>9</v>
      </c>
      <c r="F1512" s="15" t="s">
        <v>3</v>
      </c>
      <c r="G1512" t="str">
        <f>VLOOKUP(F1512,Carrier_Category!A:B,2,0)</f>
        <v>NJT</v>
      </c>
      <c r="H1512" s="5">
        <v>2362</v>
      </c>
      <c r="I1512" s="7">
        <f t="shared" si="73"/>
        <v>19</v>
      </c>
      <c r="J1512" s="5">
        <v>70560</v>
      </c>
      <c r="K1512" s="18">
        <f t="shared" si="72"/>
        <v>29.872988992379341</v>
      </c>
    </row>
    <row r="1513" spans="1:11" x14ac:dyDescent="0.3">
      <c r="A1513" s="14">
        <v>2023</v>
      </c>
      <c r="B1513" s="14">
        <f t="shared" si="71"/>
        <v>35</v>
      </c>
      <c r="C1513" s="9">
        <v>45166</v>
      </c>
      <c r="D1513" s="9">
        <v>45170</v>
      </c>
      <c r="E1513" s="14">
        <f>VLOOKUP(F1513,CarrierID!A:B,2,0)</f>
        <v>7</v>
      </c>
      <c r="F1513" s="15" t="s">
        <v>4</v>
      </c>
      <c r="G1513" t="str">
        <f>VLOOKUP(F1513,Carrier_Category!A:B,2,0)</f>
        <v>Commuter</v>
      </c>
      <c r="H1513" s="5">
        <v>42</v>
      </c>
      <c r="I1513" s="7">
        <f t="shared" si="73"/>
        <v>2391</v>
      </c>
      <c r="J1513" s="5">
        <v>1209</v>
      </c>
      <c r="K1513" s="18">
        <f t="shared" si="72"/>
        <v>28.785714285714285</v>
      </c>
    </row>
    <row r="1514" spans="1:11" x14ac:dyDescent="0.3">
      <c r="A1514" s="14">
        <v>2023</v>
      </c>
      <c r="B1514" s="14">
        <f t="shared" si="71"/>
        <v>35</v>
      </c>
      <c r="C1514" s="9">
        <v>45166</v>
      </c>
      <c r="D1514" s="9">
        <v>45170</v>
      </c>
      <c r="E1514" s="14">
        <f>VLOOKUP(F1514,CarrierID!A:B,2,0)</f>
        <v>11</v>
      </c>
      <c r="F1514" s="15" t="s">
        <v>5</v>
      </c>
      <c r="G1514" t="str">
        <f>VLOOKUP(F1514,Carrier_Category!A:B,2,0)</f>
        <v>Intercity</v>
      </c>
      <c r="H1514" s="5">
        <v>24</v>
      </c>
      <c r="I1514" s="7">
        <f t="shared" si="73"/>
        <v>42</v>
      </c>
      <c r="J1514" s="5">
        <v>640</v>
      </c>
      <c r="K1514" s="18">
        <f t="shared" si="72"/>
        <v>26.666666666666668</v>
      </c>
    </row>
    <row r="1515" spans="1:11" x14ac:dyDescent="0.3">
      <c r="A1515" s="14">
        <v>2023</v>
      </c>
      <c r="B1515" s="14">
        <f t="shared" si="71"/>
        <v>35</v>
      </c>
      <c r="C1515" s="9">
        <v>45166</v>
      </c>
      <c r="D1515" s="9">
        <v>45170</v>
      </c>
      <c r="E1515" s="14">
        <f>VLOOKUP(F1515,CarrierID!A:B,2,0)</f>
        <v>3</v>
      </c>
      <c r="F1515" s="15" t="s">
        <v>6</v>
      </c>
      <c r="G1515" t="str">
        <f>VLOOKUP(F1515,Carrier_Category!A:B,2,0)</f>
        <v>Commuter</v>
      </c>
      <c r="H1515" s="5">
        <v>151</v>
      </c>
      <c r="I1515" s="7">
        <f t="shared" si="73"/>
        <v>25</v>
      </c>
      <c r="J1515" s="5">
        <v>4527</v>
      </c>
      <c r="K1515" s="18">
        <f t="shared" si="72"/>
        <v>29.980132450331126</v>
      </c>
    </row>
    <row r="1516" spans="1:11" x14ac:dyDescent="0.3">
      <c r="A1516" s="14">
        <v>2023</v>
      </c>
      <c r="B1516" s="14">
        <f t="shared" si="71"/>
        <v>35</v>
      </c>
      <c r="C1516" s="9">
        <v>45166</v>
      </c>
      <c r="D1516" s="9">
        <v>45170</v>
      </c>
      <c r="E1516" s="14">
        <f>VLOOKUP(F1516,CarrierID!A:B,2,0)</f>
        <v>12</v>
      </c>
      <c r="F1516" s="15" t="s">
        <v>25</v>
      </c>
      <c r="G1516" t="str">
        <f>VLOOKUP(F1516,Carrier_Category!A:B,2,0)</f>
        <v>Commuter</v>
      </c>
      <c r="H1516" s="5">
        <v>24</v>
      </c>
      <c r="I1516" s="7">
        <f t="shared" si="73"/>
        <v>150</v>
      </c>
      <c r="J1516" s="5">
        <v>627</v>
      </c>
      <c r="K1516" s="18">
        <f t="shared" si="72"/>
        <v>26.125</v>
      </c>
    </row>
    <row r="1517" spans="1:11" x14ac:dyDescent="0.3">
      <c r="A1517" s="14">
        <v>2023</v>
      </c>
      <c r="B1517" s="14">
        <f t="shared" si="71"/>
        <v>35</v>
      </c>
      <c r="C1517" s="9">
        <v>45166</v>
      </c>
      <c r="D1517" s="9">
        <v>45170</v>
      </c>
      <c r="E1517" s="14">
        <f>VLOOKUP(F1517,CarrierID!A:B,2,0)</f>
        <v>10</v>
      </c>
      <c r="F1517" s="15" t="s">
        <v>8</v>
      </c>
      <c r="G1517" t="str">
        <f>VLOOKUP(F1517,Carrier_Category!A:B,2,0)</f>
        <v>Intercity</v>
      </c>
      <c r="H1517" s="5">
        <v>23</v>
      </c>
      <c r="I1517" s="7">
        <f t="shared" si="73"/>
        <v>24</v>
      </c>
      <c r="J1517" s="5">
        <v>745</v>
      </c>
      <c r="K1517" s="18">
        <f t="shared" si="72"/>
        <v>32.391304347826086</v>
      </c>
    </row>
    <row r="1518" spans="1:11" x14ac:dyDescent="0.3">
      <c r="A1518" s="14">
        <v>2023</v>
      </c>
      <c r="B1518" s="14">
        <f t="shared" si="71"/>
        <v>35</v>
      </c>
      <c r="C1518" s="9">
        <v>45166</v>
      </c>
      <c r="D1518" s="9">
        <v>45170</v>
      </c>
      <c r="E1518" s="14">
        <f>VLOOKUP(F1518,CarrierID!A:B,2,0)</f>
        <v>6</v>
      </c>
      <c r="F1518" s="15" t="s">
        <v>9</v>
      </c>
      <c r="G1518" t="str">
        <f>VLOOKUP(F1518,Carrier_Category!A:B,2,0)</f>
        <v>Commuter</v>
      </c>
      <c r="H1518" s="5">
        <v>83</v>
      </c>
      <c r="I1518" s="7">
        <f t="shared" si="73"/>
        <v>23</v>
      </c>
      <c r="J1518" s="5">
        <v>1263</v>
      </c>
      <c r="K1518" s="18">
        <f t="shared" si="72"/>
        <v>15.216867469879517</v>
      </c>
    </row>
    <row r="1519" spans="1:11" x14ac:dyDescent="0.3">
      <c r="A1519" s="14">
        <v>2023</v>
      </c>
      <c r="B1519" s="14">
        <f t="shared" si="71"/>
        <v>36</v>
      </c>
      <c r="C1519" s="9">
        <v>45173</v>
      </c>
      <c r="D1519" s="9">
        <v>45268</v>
      </c>
      <c r="E1519" s="14">
        <f>VLOOKUP(F1519,CarrierID!A:B,2,0)</f>
        <v>1</v>
      </c>
      <c r="F1519" s="15" t="s">
        <v>0</v>
      </c>
      <c r="G1519" t="str">
        <f>VLOOKUP(F1519,Carrier_Category!A:B,2,0)</f>
        <v>Commuter</v>
      </c>
      <c r="H1519" s="5">
        <v>38</v>
      </c>
      <c r="I1519" s="7">
        <f t="shared" si="73"/>
        <v>77</v>
      </c>
      <c r="J1519" s="5">
        <v>1318</v>
      </c>
      <c r="K1519" s="18">
        <f t="shared" si="72"/>
        <v>34.684210526315788</v>
      </c>
    </row>
    <row r="1520" spans="1:11" x14ac:dyDescent="0.3">
      <c r="A1520" s="14">
        <v>2023</v>
      </c>
      <c r="B1520" s="14">
        <f t="shared" si="71"/>
        <v>36</v>
      </c>
      <c r="C1520" s="9">
        <v>45173</v>
      </c>
      <c r="D1520" s="9">
        <v>45268</v>
      </c>
      <c r="E1520" s="14">
        <f>VLOOKUP(F1520,CarrierID!A:B,2,0)</f>
        <v>5</v>
      </c>
      <c r="F1520" s="15" t="s">
        <v>1</v>
      </c>
      <c r="G1520" t="str">
        <f>VLOOKUP(F1520,Carrier_Category!A:B,2,0)</f>
        <v>Intercity</v>
      </c>
      <c r="H1520" s="5">
        <v>60</v>
      </c>
      <c r="I1520" s="7">
        <f t="shared" si="73"/>
        <v>38</v>
      </c>
      <c r="J1520" s="5">
        <v>1971</v>
      </c>
      <c r="K1520" s="18">
        <f t="shared" si="72"/>
        <v>32.85</v>
      </c>
    </row>
    <row r="1521" spans="1:11" x14ac:dyDescent="0.3">
      <c r="A1521" s="14">
        <v>2023</v>
      </c>
      <c r="B1521" s="14">
        <f t="shared" si="71"/>
        <v>36</v>
      </c>
      <c r="C1521" s="9">
        <v>45173</v>
      </c>
      <c r="D1521" s="9">
        <v>45268</v>
      </c>
      <c r="E1521" s="14">
        <f>VLOOKUP(F1521,CarrierID!A:B,2,0)</f>
        <v>8</v>
      </c>
      <c r="F1521" s="15" t="s">
        <v>2</v>
      </c>
      <c r="G1521" t="str">
        <f>VLOOKUP(F1521,Carrier_Category!A:B,2,0)</f>
        <v>Commuter</v>
      </c>
      <c r="H1521" s="5">
        <v>16</v>
      </c>
      <c r="I1521" s="7">
        <f t="shared" si="73"/>
        <v>62</v>
      </c>
      <c r="J1521" s="5">
        <v>678</v>
      </c>
      <c r="K1521" s="18">
        <f t="shared" si="72"/>
        <v>42.375</v>
      </c>
    </row>
    <row r="1522" spans="1:11" x14ac:dyDescent="0.3">
      <c r="A1522" s="14">
        <v>2023</v>
      </c>
      <c r="B1522" s="14">
        <f t="shared" si="71"/>
        <v>36</v>
      </c>
      <c r="C1522" s="9">
        <v>45173</v>
      </c>
      <c r="D1522" s="9">
        <v>45268</v>
      </c>
      <c r="E1522" s="14">
        <f>VLOOKUP(F1522,CarrierID!A:B,2,0)</f>
        <v>9</v>
      </c>
      <c r="F1522" s="15" t="s">
        <v>3</v>
      </c>
      <c r="G1522" t="str">
        <f>VLOOKUP(F1522,Carrier_Category!A:B,2,0)</f>
        <v>NJT</v>
      </c>
      <c r="H1522" s="5">
        <v>2385</v>
      </c>
      <c r="I1522" s="7">
        <f t="shared" si="73"/>
        <v>18</v>
      </c>
      <c r="J1522" s="5">
        <v>76255</v>
      </c>
      <c r="K1522" s="18">
        <f t="shared" si="72"/>
        <v>31.972746331236898</v>
      </c>
    </row>
    <row r="1523" spans="1:11" x14ac:dyDescent="0.3">
      <c r="A1523" s="14">
        <v>2023</v>
      </c>
      <c r="B1523" s="14">
        <f t="shared" si="71"/>
        <v>36</v>
      </c>
      <c r="C1523" s="9">
        <v>45173</v>
      </c>
      <c r="D1523" s="9">
        <v>45268</v>
      </c>
      <c r="E1523" s="14">
        <f>VLOOKUP(F1523,CarrierID!A:B,2,0)</f>
        <v>7</v>
      </c>
      <c r="F1523" s="15" t="s">
        <v>4</v>
      </c>
      <c r="G1523" t="str">
        <f>VLOOKUP(F1523,Carrier_Category!A:B,2,0)</f>
        <v>Commuter</v>
      </c>
      <c r="H1523" s="5">
        <v>36</v>
      </c>
      <c r="I1523" s="7">
        <f t="shared" si="73"/>
        <v>2362</v>
      </c>
      <c r="J1523" s="5">
        <v>1135</v>
      </c>
      <c r="K1523" s="18">
        <f t="shared" si="72"/>
        <v>31.527777777777779</v>
      </c>
    </row>
    <row r="1524" spans="1:11" x14ac:dyDescent="0.3">
      <c r="A1524" s="14">
        <v>2023</v>
      </c>
      <c r="B1524" s="14">
        <f t="shared" si="71"/>
        <v>36</v>
      </c>
      <c r="C1524" s="9">
        <v>45173</v>
      </c>
      <c r="D1524" s="9">
        <v>45268</v>
      </c>
      <c r="E1524" s="14">
        <f>VLOOKUP(F1524,CarrierID!A:B,2,0)</f>
        <v>11</v>
      </c>
      <c r="F1524" s="15" t="s">
        <v>5</v>
      </c>
      <c r="G1524" t="str">
        <f>VLOOKUP(F1524,Carrier_Category!A:B,2,0)</f>
        <v>Intercity</v>
      </c>
      <c r="H1524" s="5">
        <v>26</v>
      </c>
      <c r="I1524" s="7">
        <f t="shared" si="73"/>
        <v>42</v>
      </c>
      <c r="J1524" s="5">
        <v>708</v>
      </c>
      <c r="K1524" s="18">
        <f t="shared" si="72"/>
        <v>27.23076923076923</v>
      </c>
    </row>
    <row r="1525" spans="1:11" x14ac:dyDescent="0.3">
      <c r="A1525" s="14">
        <v>2023</v>
      </c>
      <c r="B1525" s="14">
        <f t="shared" si="71"/>
        <v>36</v>
      </c>
      <c r="C1525" s="9">
        <v>45173</v>
      </c>
      <c r="D1525" s="9">
        <v>45268</v>
      </c>
      <c r="E1525" s="14">
        <f>VLOOKUP(F1525,CarrierID!A:B,2,0)</f>
        <v>3</v>
      </c>
      <c r="F1525" s="15" t="s">
        <v>6</v>
      </c>
      <c r="G1525" t="str">
        <f>VLOOKUP(F1525,Carrier_Category!A:B,2,0)</f>
        <v>Commuter</v>
      </c>
      <c r="H1525" s="5">
        <v>150</v>
      </c>
      <c r="I1525" s="7">
        <f t="shared" si="73"/>
        <v>24</v>
      </c>
      <c r="J1525" s="5">
        <v>5166</v>
      </c>
      <c r="K1525" s="18">
        <f t="shared" si="72"/>
        <v>34.44</v>
      </c>
    </row>
    <row r="1526" spans="1:11" x14ac:dyDescent="0.3">
      <c r="A1526" s="14">
        <v>2023</v>
      </c>
      <c r="B1526" s="14">
        <f t="shared" si="71"/>
        <v>36</v>
      </c>
      <c r="C1526" s="9">
        <v>45173</v>
      </c>
      <c r="D1526" s="9">
        <v>45268</v>
      </c>
      <c r="E1526" s="14">
        <f>VLOOKUP(F1526,CarrierID!A:B,2,0)</f>
        <v>12</v>
      </c>
      <c r="F1526" s="15" t="s">
        <v>25</v>
      </c>
      <c r="G1526" t="str">
        <f>VLOOKUP(F1526,Carrier_Category!A:B,2,0)</f>
        <v>Commuter</v>
      </c>
      <c r="H1526" s="5">
        <v>22</v>
      </c>
      <c r="I1526" s="7">
        <f t="shared" si="73"/>
        <v>151</v>
      </c>
      <c r="J1526" s="5">
        <v>607</v>
      </c>
      <c r="K1526" s="18">
        <f t="shared" si="72"/>
        <v>27.59090909090909</v>
      </c>
    </row>
    <row r="1527" spans="1:11" x14ac:dyDescent="0.3">
      <c r="A1527" s="14">
        <v>2023</v>
      </c>
      <c r="B1527" s="14">
        <f t="shared" si="71"/>
        <v>36</v>
      </c>
      <c r="C1527" s="9">
        <v>45173</v>
      </c>
      <c r="D1527" s="9">
        <v>45268</v>
      </c>
      <c r="E1527" s="14">
        <f>VLOOKUP(F1527,CarrierID!A:B,2,0)</f>
        <v>10</v>
      </c>
      <c r="F1527" s="15" t="s">
        <v>8</v>
      </c>
      <c r="G1527" t="str">
        <f>VLOOKUP(F1527,Carrier_Category!A:B,2,0)</f>
        <v>Intercity</v>
      </c>
      <c r="H1527" s="5">
        <v>23</v>
      </c>
      <c r="I1527" s="7">
        <f t="shared" si="73"/>
        <v>24</v>
      </c>
      <c r="J1527" s="5">
        <v>745</v>
      </c>
      <c r="K1527" s="18">
        <f t="shared" si="72"/>
        <v>32.391304347826086</v>
      </c>
    </row>
    <row r="1528" spans="1:11" x14ac:dyDescent="0.3">
      <c r="A1528" s="14">
        <v>2023</v>
      </c>
      <c r="B1528" s="14">
        <f t="shared" si="71"/>
        <v>36</v>
      </c>
      <c r="C1528" s="9">
        <v>45173</v>
      </c>
      <c r="D1528" s="9">
        <v>45268</v>
      </c>
      <c r="E1528" s="14">
        <f>VLOOKUP(F1528,CarrierID!A:B,2,0)</f>
        <v>6</v>
      </c>
      <c r="F1528" s="15" t="s">
        <v>9</v>
      </c>
      <c r="G1528" t="str">
        <f>VLOOKUP(F1528,Carrier_Category!A:B,2,0)</f>
        <v>Commuter</v>
      </c>
      <c r="H1528" s="5">
        <v>78</v>
      </c>
      <c r="I1528" s="7">
        <f t="shared" si="73"/>
        <v>23</v>
      </c>
      <c r="J1528" s="5">
        <v>1235</v>
      </c>
      <c r="K1528" s="18">
        <f t="shared" si="72"/>
        <v>15.833333333333334</v>
      </c>
    </row>
    <row r="1529" spans="1:11" x14ac:dyDescent="0.3">
      <c r="A1529" s="14">
        <v>2023</v>
      </c>
      <c r="B1529" s="14">
        <f t="shared" si="71"/>
        <v>37</v>
      </c>
      <c r="C1529" s="9">
        <v>45180</v>
      </c>
      <c r="D1529" s="9">
        <v>45265</v>
      </c>
      <c r="E1529" s="14">
        <f>VLOOKUP(F1529,CarrierID!A:B,2,0)</f>
        <v>1</v>
      </c>
      <c r="F1529" s="15" t="s">
        <v>0</v>
      </c>
      <c r="G1529" t="str">
        <f>VLOOKUP(F1529,Carrier_Category!A:B,2,0)</f>
        <v>Commuter</v>
      </c>
      <c r="H1529" s="5">
        <v>38</v>
      </c>
      <c r="I1529" s="7">
        <f t="shared" si="73"/>
        <v>83</v>
      </c>
      <c r="J1529" s="5">
        <v>1318</v>
      </c>
      <c r="K1529" s="18">
        <f t="shared" si="72"/>
        <v>34.684210526315788</v>
      </c>
    </row>
    <row r="1530" spans="1:11" x14ac:dyDescent="0.3">
      <c r="A1530" s="14">
        <v>2023</v>
      </c>
      <c r="B1530" s="14">
        <f t="shared" si="71"/>
        <v>37</v>
      </c>
      <c r="C1530" s="9">
        <v>45180</v>
      </c>
      <c r="D1530" s="9">
        <v>45265</v>
      </c>
      <c r="E1530" s="14">
        <f>VLOOKUP(F1530,CarrierID!A:B,2,0)</f>
        <v>5</v>
      </c>
      <c r="F1530" s="15" t="s">
        <v>1</v>
      </c>
      <c r="G1530" t="str">
        <f>VLOOKUP(F1530,Carrier_Category!A:B,2,0)</f>
        <v>Intercity</v>
      </c>
      <c r="H1530" s="5">
        <v>63</v>
      </c>
      <c r="I1530" s="7">
        <f t="shared" si="73"/>
        <v>38</v>
      </c>
      <c r="J1530" s="5">
        <v>1686</v>
      </c>
      <c r="K1530" s="18">
        <f t="shared" si="72"/>
        <v>26.761904761904763</v>
      </c>
    </row>
    <row r="1531" spans="1:11" x14ac:dyDescent="0.3">
      <c r="A1531" s="14">
        <v>2023</v>
      </c>
      <c r="B1531" s="14">
        <f t="shared" si="71"/>
        <v>37</v>
      </c>
      <c r="C1531" s="9">
        <v>45180</v>
      </c>
      <c r="D1531" s="9">
        <v>45265</v>
      </c>
      <c r="E1531" s="14">
        <f>VLOOKUP(F1531,CarrierID!A:B,2,0)</f>
        <v>8</v>
      </c>
      <c r="F1531" s="15" t="s">
        <v>2</v>
      </c>
      <c r="G1531" t="str">
        <f>VLOOKUP(F1531,Carrier_Category!A:B,2,0)</f>
        <v>Commuter</v>
      </c>
      <c r="H1531" s="5">
        <v>18</v>
      </c>
      <c r="I1531" s="7">
        <f t="shared" si="73"/>
        <v>60</v>
      </c>
      <c r="J1531" s="5">
        <v>754</v>
      </c>
      <c r="K1531" s="18">
        <f t="shared" si="72"/>
        <v>41.888888888888886</v>
      </c>
    </row>
    <row r="1532" spans="1:11" x14ac:dyDescent="0.3">
      <c r="A1532" s="14">
        <v>2023</v>
      </c>
      <c r="B1532" s="14">
        <f t="shared" si="71"/>
        <v>37</v>
      </c>
      <c r="C1532" s="9">
        <v>45180</v>
      </c>
      <c r="D1532" s="9">
        <v>45265</v>
      </c>
      <c r="E1532" s="14">
        <f>VLOOKUP(F1532,CarrierID!A:B,2,0)</f>
        <v>9</v>
      </c>
      <c r="F1532" s="15" t="s">
        <v>3</v>
      </c>
      <c r="G1532" t="str">
        <f>VLOOKUP(F1532,Carrier_Category!A:B,2,0)</f>
        <v>NJT</v>
      </c>
      <c r="H1532" s="5">
        <v>2426</v>
      </c>
      <c r="I1532" s="7">
        <f t="shared" si="73"/>
        <v>16</v>
      </c>
      <c r="J1532" s="5">
        <v>78912</v>
      </c>
      <c r="K1532" s="18">
        <f t="shared" si="72"/>
        <v>32.527617477328938</v>
      </c>
    </row>
    <row r="1533" spans="1:11" x14ac:dyDescent="0.3">
      <c r="A1533" s="14">
        <v>2023</v>
      </c>
      <c r="B1533" s="14">
        <f t="shared" si="71"/>
        <v>37</v>
      </c>
      <c r="C1533" s="9">
        <v>45180</v>
      </c>
      <c r="D1533" s="9">
        <v>45265</v>
      </c>
      <c r="E1533" s="14">
        <f>VLOOKUP(F1533,CarrierID!A:B,2,0)</f>
        <v>7</v>
      </c>
      <c r="F1533" s="15" t="s">
        <v>4</v>
      </c>
      <c r="G1533" t="str">
        <f>VLOOKUP(F1533,Carrier_Category!A:B,2,0)</f>
        <v>Commuter</v>
      </c>
      <c r="H1533" s="5">
        <v>42</v>
      </c>
      <c r="I1533" s="7">
        <f t="shared" si="73"/>
        <v>2385</v>
      </c>
      <c r="J1533" s="5">
        <v>1539</v>
      </c>
      <c r="K1533" s="18">
        <f t="shared" si="72"/>
        <v>36.642857142857146</v>
      </c>
    </row>
    <row r="1534" spans="1:11" x14ac:dyDescent="0.3">
      <c r="A1534" s="14">
        <v>2023</v>
      </c>
      <c r="B1534" s="14">
        <f t="shared" si="71"/>
        <v>37</v>
      </c>
      <c r="C1534" s="9">
        <v>45180</v>
      </c>
      <c r="D1534" s="9">
        <v>45265</v>
      </c>
      <c r="E1534" s="14">
        <f>VLOOKUP(F1534,CarrierID!A:B,2,0)</f>
        <v>11</v>
      </c>
      <c r="F1534" s="15" t="s">
        <v>5</v>
      </c>
      <c r="G1534" t="str">
        <f>VLOOKUP(F1534,Carrier_Category!A:B,2,0)</f>
        <v>Intercity</v>
      </c>
      <c r="H1534" s="5">
        <v>24</v>
      </c>
      <c r="I1534" s="7">
        <f t="shared" si="73"/>
        <v>36</v>
      </c>
      <c r="J1534" s="5">
        <v>509</v>
      </c>
      <c r="K1534" s="18">
        <f t="shared" si="72"/>
        <v>21.208333333333332</v>
      </c>
    </row>
    <row r="1535" spans="1:11" x14ac:dyDescent="0.3">
      <c r="A1535" s="14">
        <v>2023</v>
      </c>
      <c r="B1535" s="14">
        <f t="shared" si="71"/>
        <v>37</v>
      </c>
      <c r="C1535" s="9">
        <v>45180</v>
      </c>
      <c r="D1535" s="9">
        <v>45265</v>
      </c>
      <c r="E1535" s="14">
        <f>VLOOKUP(F1535,CarrierID!A:B,2,0)</f>
        <v>3</v>
      </c>
      <c r="F1535" s="15" t="s">
        <v>6</v>
      </c>
      <c r="G1535" t="str">
        <f>VLOOKUP(F1535,Carrier_Category!A:B,2,0)</f>
        <v>Commuter</v>
      </c>
      <c r="H1535" s="5">
        <v>150</v>
      </c>
      <c r="I1535" s="7">
        <f t="shared" si="73"/>
        <v>26</v>
      </c>
      <c r="J1535" s="5">
        <v>5166</v>
      </c>
      <c r="K1535" s="18">
        <f t="shared" si="72"/>
        <v>34.44</v>
      </c>
    </row>
    <row r="1536" spans="1:11" x14ac:dyDescent="0.3">
      <c r="A1536" s="14">
        <v>2023</v>
      </c>
      <c r="B1536" s="14">
        <f t="shared" si="71"/>
        <v>37</v>
      </c>
      <c r="C1536" s="9">
        <v>45180</v>
      </c>
      <c r="D1536" s="9">
        <v>45265</v>
      </c>
      <c r="E1536" s="14">
        <f>VLOOKUP(F1536,CarrierID!A:B,2,0)</f>
        <v>12</v>
      </c>
      <c r="F1536" s="15" t="s">
        <v>25</v>
      </c>
      <c r="G1536" t="str">
        <f>VLOOKUP(F1536,Carrier_Category!A:B,2,0)</f>
        <v>Commuter</v>
      </c>
      <c r="H1536" s="5">
        <v>24</v>
      </c>
      <c r="I1536" s="7">
        <f t="shared" si="73"/>
        <v>150</v>
      </c>
      <c r="J1536" s="5">
        <v>695</v>
      </c>
      <c r="K1536" s="18">
        <f t="shared" si="72"/>
        <v>28.958333333333332</v>
      </c>
    </row>
    <row r="1537" spans="1:11" x14ac:dyDescent="0.3">
      <c r="A1537" s="14">
        <v>2023</v>
      </c>
      <c r="B1537" s="14">
        <f t="shared" si="71"/>
        <v>37</v>
      </c>
      <c r="C1537" s="9">
        <v>45180</v>
      </c>
      <c r="D1537" s="9">
        <v>45265</v>
      </c>
      <c r="E1537" s="14">
        <f>VLOOKUP(F1537,CarrierID!A:B,2,0)</f>
        <v>10</v>
      </c>
      <c r="F1537" s="15" t="s">
        <v>8</v>
      </c>
      <c r="G1537" t="str">
        <f>VLOOKUP(F1537,Carrier_Category!A:B,2,0)</f>
        <v>Intercity</v>
      </c>
      <c r="H1537" s="5">
        <v>23</v>
      </c>
      <c r="I1537" s="7">
        <f t="shared" si="73"/>
        <v>22</v>
      </c>
      <c r="J1537" s="5">
        <v>745</v>
      </c>
      <c r="K1537" s="18">
        <f t="shared" si="72"/>
        <v>32.391304347826086</v>
      </c>
    </row>
    <row r="1538" spans="1:11" x14ac:dyDescent="0.3">
      <c r="A1538" s="14">
        <v>2023</v>
      </c>
      <c r="B1538" s="14">
        <f t="shared" si="71"/>
        <v>37</v>
      </c>
      <c r="C1538" s="9">
        <v>45180</v>
      </c>
      <c r="D1538" s="9">
        <v>45265</v>
      </c>
      <c r="E1538" s="14">
        <f>VLOOKUP(F1538,CarrierID!A:B,2,0)</f>
        <v>6</v>
      </c>
      <c r="F1538" s="15" t="s">
        <v>9</v>
      </c>
      <c r="G1538" t="str">
        <f>VLOOKUP(F1538,Carrier_Category!A:B,2,0)</f>
        <v>Commuter</v>
      </c>
      <c r="H1538" s="5">
        <v>86</v>
      </c>
      <c r="I1538" s="7">
        <f t="shared" si="73"/>
        <v>23</v>
      </c>
      <c r="J1538" s="5">
        <v>1420</v>
      </c>
      <c r="K1538" s="18">
        <f t="shared" si="72"/>
        <v>16.511627906976745</v>
      </c>
    </row>
    <row r="1539" spans="1:11" x14ac:dyDescent="0.3">
      <c r="A1539" s="14">
        <v>2023</v>
      </c>
      <c r="B1539" s="14">
        <f t="shared" si="71"/>
        <v>38</v>
      </c>
      <c r="C1539" s="9">
        <v>45187</v>
      </c>
      <c r="D1539" s="9">
        <v>45262</v>
      </c>
      <c r="E1539" s="14">
        <f>VLOOKUP(F1539,CarrierID!A:B,2,0)</f>
        <v>1</v>
      </c>
      <c r="F1539" s="15" t="s">
        <v>0</v>
      </c>
      <c r="G1539" t="str">
        <f>VLOOKUP(F1539,Carrier_Category!A:B,2,0)</f>
        <v>Commuter</v>
      </c>
      <c r="H1539" s="5">
        <v>44</v>
      </c>
      <c r="I1539" s="7">
        <f t="shared" si="73"/>
        <v>78</v>
      </c>
      <c r="J1539" s="5">
        <v>1494</v>
      </c>
      <c r="K1539" s="18">
        <f t="shared" si="72"/>
        <v>33.954545454545453</v>
      </c>
    </row>
    <row r="1540" spans="1:11" x14ac:dyDescent="0.3">
      <c r="A1540" s="14">
        <v>2023</v>
      </c>
      <c r="B1540" s="14">
        <f t="shared" si="71"/>
        <v>38</v>
      </c>
      <c r="C1540" s="9">
        <v>45187</v>
      </c>
      <c r="D1540" s="9">
        <v>45262</v>
      </c>
      <c r="E1540" s="14">
        <f>VLOOKUP(F1540,CarrierID!A:B,2,0)</f>
        <v>5</v>
      </c>
      <c r="F1540" s="15" t="s">
        <v>1</v>
      </c>
      <c r="G1540" t="str">
        <f>VLOOKUP(F1540,Carrier_Category!A:B,2,0)</f>
        <v>Intercity</v>
      </c>
      <c r="H1540" s="5">
        <v>62</v>
      </c>
      <c r="I1540" s="7">
        <f t="shared" si="73"/>
        <v>38</v>
      </c>
      <c r="J1540" s="5">
        <v>1661</v>
      </c>
      <c r="K1540" s="18">
        <f t="shared" si="72"/>
        <v>26.79032258064516</v>
      </c>
    </row>
    <row r="1541" spans="1:11" x14ac:dyDescent="0.3">
      <c r="A1541" s="14">
        <v>2023</v>
      </c>
      <c r="B1541" s="14">
        <f t="shared" ref="B1541:B1604" si="74">_xlfn.ISOWEEKNUM(C1541)</f>
        <v>38</v>
      </c>
      <c r="C1541" s="9">
        <v>45187</v>
      </c>
      <c r="D1541" s="9">
        <v>45262</v>
      </c>
      <c r="E1541" s="14">
        <f>VLOOKUP(F1541,CarrierID!A:B,2,0)</f>
        <v>8</v>
      </c>
      <c r="F1541" s="15" t="s">
        <v>2</v>
      </c>
      <c r="G1541" t="str">
        <f>VLOOKUP(F1541,Carrier_Category!A:B,2,0)</f>
        <v>Commuter</v>
      </c>
      <c r="H1541" s="5">
        <v>19</v>
      </c>
      <c r="I1541" s="7">
        <f t="shared" si="73"/>
        <v>63</v>
      </c>
      <c r="J1541" s="5">
        <v>780</v>
      </c>
      <c r="K1541" s="18">
        <f t="shared" ref="K1541:K1604" si="75">J1541/H1541</f>
        <v>41.05263157894737</v>
      </c>
    </row>
    <row r="1542" spans="1:11" x14ac:dyDescent="0.3">
      <c r="A1542" s="14">
        <v>2023</v>
      </c>
      <c r="B1542" s="14">
        <f t="shared" si="74"/>
        <v>38</v>
      </c>
      <c r="C1542" s="9">
        <v>45187</v>
      </c>
      <c r="D1542" s="9">
        <v>45262</v>
      </c>
      <c r="E1542" s="14">
        <f>VLOOKUP(F1542,CarrierID!A:B,2,0)</f>
        <v>9</v>
      </c>
      <c r="F1542" s="15" t="s">
        <v>3</v>
      </c>
      <c r="G1542" t="str">
        <f>VLOOKUP(F1542,Carrier_Category!A:B,2,0)</f>
        <v>NJT</v>
      </c>
      <c r="H1542" s="5">
        <v>2433</v>
      </c>
      <c r="I1542" s="7">
        <f t="shared" si="73"/>
        <v>18</v>
      </c>
      <c r="J1542" s="5">
        <v>81469</v>
      </c>
      <c r="K1542" s="18">
        <f t="shared" si="75"/>
        <v>33.484997944923961</v>
      </c>
    </row>
    <row r="1543" spans="1:11" x14ac:dyDescent="0.3">
      <c r="A1543" s="14">
        <v>2023</v>
      </c>
      <c r="B1543" s="14">
        <f t="shared" si="74"/>
        <v>38</v>
      </c>
      <c r="C1543" s="9">
        <v>45187</v>
      </c>
      <c r="D1543" s="9">
        <v>45262</v>
      </c>
      <c r="E1543" s="14">
        <f>VLOOKUP(F1543,CarrierID!A:B,2,0)</f>
        <v>7</v>
      </c>
      <c r="F1543" s="15" t="s">
        <v>4</v>
      </c>
      <c r="G1543" t="str">
        <f>VLOOKUP(F1543,Carrier_Category!A:B,2,0)</f>
        <v>Commuter</v>
      </c>
      <c r="H1543" s="5">
        <v>42</v>
      </c>
      <c r="I1543" s="7">
        <f t="shared" si="73"/>
        <v>2426</v>
      </c>
      <c r="J1543" s="5">
        <v>1371</v>
      </c>
      <c r="K1543" s="18">
        <f t="shared" si="75"/>
        <v>32.642857142857146</v>
      </c>
    </row>
    <row r="1544" spans="1:11" x14ac:dyDescent="0.3">
      <c r="A1544" s="14">
        <v>2023</v>
      </c>
      <c r="B1544" s="14">
        <f t="shared" si="74"/>
        <v>38</v>
      </c>
      <c r="C1544" s="9">
        <v>45187</v>
      </c>
      <c r="D1544" s="9">
        <v>45262</v>
      </c>
      <c r="E1544" s="14">
        <f>VLOOKUP(F1544,CarrierID!A:B,2,0)</f>
        <v>11</v>
      </c>
      <c r="F1544" s="15" t="s">
        <v>5</v>
      </c>
      <c r="G1544" t="str">
        <f>VLOOKUP(F1544,Carrier_Category!A:B,2,0)</f>
        <v>Intercity</v>
      </c>
      <c r="H1544" s="5">
        <v>24</v>
      </c>
      <c r="I1544" s="7">
        <f t="shared" si="73"/>
        <v>42</v>
      </c>
      <c r="J1544" s="5">
        <v>500</v>
      </c>
      <c r="K1544" s="18">
        <f t="shared" si="75"/>
        <v>20.833333333333332</v>
      </c>
    </row>
    <row r="1545" spans="1:11" x14ac:dyDescent="0.3">
      <c r="A1545" s="14">
        <v>2023</v>
      </c>
      <c r="B1545" s="14">
        <f t="shared" si="74"/>
        <v>38</v>
      </c>
      <c r="C1545" s="9">
        <v>45187</v>
      </c>
      <c r="D1545" s="9">
        <v>45262</v>
      </c>
      <c r="E1545" s="14">
        <f>VLOOKUP(F1545,CarrierID!A:B,2,0)</f>
        <v>3</v>
      </c>
      <c r="F1545" s="15" t="s">
        <v>6</v>
      </c>
      <c r="G1545" t="str">
        <f>VLOOKUP(F1545,Carrier_Category!A:B,2,0)</f>
        <v>Commuter</v>
      </c>
      <c r="H1545" s="5">
        <v>152</v>
      </c>
      <c r="I1545" s="7">
        <f t="shared" si="73"/>
        <v>24</v>
      </c>
      <c r="J1545" s="5">
        <v>5354</v>
      </c>
      <c r="K1545" s="18">
        <f t="shared" si="75"/>
        <v>35.223684210526315</v>
      </c>
    </row>
    <row r="1546" spans="1:11" x14ac:dyDescent="0.3">
      <c r="A1546" s="14">
        <v>2023</v>
      </c>
      <c r="B1546" s="14">
        <f t="shared" si="74"/>
        <v>38</v>
      </c>
      <c r="C1546" s="9">
        <v>45187</v>
      </c>
      <c r="D1546" s="9">
        <v>45262</v>
      </c>
      <c r="E1546" s="14">
        <f>VLOOKUP(F1546,CarrierID!A:B,2,0)</f>
        <v>12</v>
      </c>
      <c r="F1546" s="15" t="s">
        <v>25</v>
      </c>
      <c r="G1546" t="str">
        <f>VLOOKUP(F1546,Carrier_Category!A:B,2,0)</f>
        <v>Commuter</v>
      </c>
      <c r="H1546" s="5">
        <v>24</v>
      </c>
      <c r="I1546" s="7">
        <f t="shared" si="73"/>
        <v>150</v>
      </c>
      <c r="J1546" s="5">
        <v>720</v>
      </c>
      <c r="K1546" s="18">
        <f t="shared" si="75"/>
        <v>30</v>
      </c>
    </row>
    <row r="1547" spans="1:11" x14ac:dyDescent="0.3">
      <c r="A1547" s="14">
        <v>2023</v>
      </c>
      <c r="B1547" s="14">
        <f t="shared" si="74"/>
        <v>38</v>
      </c>
      <c r="C1547" s="9">
        <v>45187</v>
      </c>
      <c r="D1547" s="9">
        <v>45262</v>
      </c>
      <c r="E1547" s="14">
        <f>VLOOKUP(F1547,CarrierID!A:B,2,0)</f>
        <v>10</v>
      </c>
      <c r="F1547" s="15" t="s">
        <v>8</v>
      </c>
      <c r="G1547" t="str">
        <f>VLOOKUP(F1547,Carrier_Category!A:B,2,0)</f>
        <v>Intercity</v>
      </c>
      <c r="H1547" s="5">
        <v>23</v>
      </c>
      <c r="I1547" s="7">
        <f t="shared" si="73"/>
        <v>24</v>
      </c>
      <c r="J1547" s="5">
        <v>745</v>
      </c>
      <c r="K1547" s="18">
        <f t="shared" si="75"/>
        <v>32.391304347826086</v>
      </c>
    </row>
    <row r="1548" spans="1:11" x14ac:dyDescent="0.3">
      <c r="A1548" s="14">
        <v>2023</v>
      </c>
      <c r="B1548" s="14">
        <f t="shared" si="74"/>
        <v>38</v>
      </c>
      <c r="C1548" s="9">
        <v>45187</v>
      </c>
      <c r="D1548" s="9">
        <v>45262</v>
      </c>
      <c r="E1548" s="14">
        <f>VLOOKUP(F1548,CarrierID!A:B,2,0)</f>
        <v>6</v>
      </c>
      <c r="F1548" s="15" t="s">
        <v>9</v>
      </c>
      <c r="G1548" t="str">
        <f>VLOOKUP(F1548,Carrier_Category!A:B,2,0)</f>
        <v>Commuter</v>
      </c>
      <c r="H1548" s="5">
        <v>86</v>
      </c>
      <c r="I1548" s="7">
        <f t="shared" si="73"/>
        <v>23</v>
      </c>
      <c r="J1548" s="5">
        <v>1420</v>
      </c>
      <c r="K1548" s="18">
        <f t="shared" si="75"/>
        <v>16.511627906976745</v>
      </c>
    </row>
    <row r="1549" spans="1:11" x14ac:dyDescent="0.3">
      <c r="A1549" s="14">
        <v>2023</v>
      </c>
      <c r="B1549" s="14">
        <f t="shared" si="74"/>
        <v>39</v>
      </c>
      <c r="C1549" s="9">
        <v>45194</v>
      </c>
      <c r="D1549" s="9">
        <v>45269</v>
      </c>
      <c r="E1549" s="14">
        <f>VLOOKUP(F1549,CarrierID!A:B,2,0)</f>
        <v>1</v>
      </c>
      <c r="F1549" s="15" t="s">
        <v>0</v>
      </c>
      <c r="G1549" t="str">
        <f>VLOOKUP(F1549,Carrier_Category!A:B,2,0)</f>
        <v>Commuter</v>
      </c>
      <c r="H1549" s="5">
        <v>44</v>
      </c>
      <c r="I1549" s="7">
        <f t="shared" ref="I1549:I1612" si="76">H1538</f>
        <v>86</v>
      </c>
      <c r="J1549" s="5">
        <v>1542</v>
      </c>
      <c r="K1549" s="18">
        <f t="shared" si="75"/>
        <v>35.045454545454547</v>
      </c>
    </row>
    <row r="1550" spans="1:11" x14ac:dyDescent="0.3">
      <c r="A1550" s="14">
        <v>2023</v>
      </c>
      <c r="B1550" s="14">
        <f t="shared" si="74"/>
        <v>39</v>
      </c>
      <c r="C1550" s="9">
        <v>45194</v>
      </c>
      <c r="D1550" s="9">
        <v>45269</v>
      </c>
      <c r="E1550" s="14">
        <f>VLOOKUP(F1550,CarrierID!A:B,2,0)</f>
        <v>5</v>
      </c>
      <c r="F1550" s="15" t="s">
        <v>1</v>
      </c>
      <c r="G1550" t="str">
        <f>VLOOKUP(F1550,Carrier_Category!A:B,2,0)</f>
        <v>Intercity</v>
      </c>
      <c r="H1550" s="5">
        <v>61</v>
      </c>
      <c r="I1550" s="7">
        <f t="shared" si="76"/>
        <v>44</v>
      </c>
      <c r="J1550" s="5">
        <v>1644</v>
      </c>
      <c r="K1550" s="18">
        <f t="shared" si="75"/>
        <v>26.950819672131146</v>
      </c>
    </row>
    <row r="1551" spans="1:11" x14ac:dyDescent="0.3">
      <c r="A1551" s="14">
        <v>2023</v>
      </c>
      <c r="B1551" s="14">
        <f t="shared" si="74"/>
        <v>39</v>
      </c>
      <c r="C1551" s="9">
        <v>45194</v>
      </c>
      <c r="D1551" s="9">
        <v>45269</v>
      </c>
      <c r="E1551" s="14">
        <f>VLOOKUP(F1551,CarrierID!A:B,2,0)</f>
        <v>8</v>
      </c>
      <c r="F1551" s="15" t="s">
        <v>2</v>
      </c>
      <c r="G1551" t="str">
        <f>VLOOKUP(F1551,Carrier_Category!A:B,2,0)</f>
        <v>Commuter</v>
      </c>
      <c r="H1551" s="5">
        <v>19</v>
      </c>
      <c r="I1551" s="7">
        <f t="shared" si="76"/>
        <v>62</v>
      </c>
      <c r="J1551" s="5">
        <v>758</v>
      </c>
      <c r="K1551" s="18">
        <f t="shared" si="75"/>
        <v>39.89473684210526</v>
      </c>
    </row>
    <row r="1552" spans="1:11" x14ac:dyDescent="0.3">
      <c r="A1552" s="14">
        <v>2023</v>
      </c>
      <c r="B1552" s="14">
        <f t="shared" si="74"/>
        <v>39</v>
      </c>
      <c r="C1552" s="9">
        <v>45194</v>
      </c>
      <c r="D1552" s="9">
        <v>45269</v>
      </c>
      <c r="E1552" s="14">
        <f>VLOOKUP(F1552,CarrierID!A:B,2,0)</f>
        <v>9</v>
      </c>
      <c r="F1552" s="15" t="s">
        <v>3</v>
      </c>
      <c r="G1552" t="str">
        <f>VLOOKUP(F1552,Carrier_Category!A:B,2,0)</f>
        <v>NJT</v>
      </c>
      <c r="H1552" s="5">
        <v>2413</v>
      </c>
      <c r="I1552" s="7">
        <f t="shared" si="76"/>
        <v>19</v>
      </c>
      <c r="J1552" s="5">
        <v>80018</v>
      </c>
      <c r="K1552" s="18">
        <f t="shared" si="75"/>
        <v>33.161210111893908</v>
      </c>
    </row>
    <row r="1553" spans="1:11" x14ac:dyDescent="0.3">
      <c r="A1553" s="14">
        <v>2023</v>
      </c>
      <c r="B1553" s="14">
        <f t="shared" si="74"/>
        <v>39</v>
      </c>
      <c r="C1553" s="9">
        <v>45194</v>
      </c>
      <c r="D1553" s="9">
        <v>45269</v>
      </c>
      <c r="E1553" s="14">
        <f>VLOOKUP(F1553,CarrierID!A:B,2,0)</f>
        <v>7</v>
      </c>
      <c r="F1553" s="15" t="s">
        <v>4</v>
      </c>
      <c r="G1553" t="str">
        <f>VLOOKUP(F1553,Carrier_Category!A:B,2,0)</f>
        <v>Commuter</v>
      </c>
      <c r="H1553" s="5">
        <v>42</v>
      </c>
      <c r="I1553" s="7">
        <f t="shared" si="76"/>
        <v>2433</v>
      </c>
      <c r="J1553" s="5">
        <v>1360</v>
      </c>
      <c r="K1553" s="18">
        <f t="shared" si="75"/>
        <v>32.38095238095238</v>
      </c>
    </row>
    <row r="1554" spans="1:11" x14ac:dyDescent="0.3">
      <c r="A1554" s="14">
        <v>2023</v>
      </c>
      <c r="B1554" s="14">
        <f t="shared" si="74"/>
        <v>39</v>
      </c>
      <c r="C1554" s="9">
        <v>45194</v>
      </c>
      <c r="D1554" s="9">
        <v>45269</v>
      </c>
      <c r="E1554" s="14">
        <f>VLOOKUP(F1554,CarrierID!A:B,2,0)</f>
        <v>11</v>
      </c>
      <c r="F1554" s="15" t="s">
        <v>5</v>
      </c>
      <c r="G1554" t="str">
        <f>VLOOKUP(F1554,Carrier_Category!A:B,2,0)</f>
        <v>Intercity</v>
      </c>
      <c r="H1554" s="5">
        <v>23</v>
      </c>
      <c r="I1554" s="7">
        <f t="shared" si="76"/>
        <v>42</v>
      </c>
      <c r="J1554" s="5">
        <v>488</v>
      </c>
      <c r="K1554" s="18">
        <f t="shared" si="75"/>
        <v>21.217391304347824</v>
      </c>
    </row>
    <row r="1555" spans="1:11" x14ac:dyDescent="0.3">
      <c r="A1555" s="14">
        <v>2023</v>
      </c>
      <c r="B1555" s="14">
        <f t="shared" si="74"/>
        <v>39</v>
      </c>
      <c r="C1555" s="9">
        <v>45194</v>
      </c>
      <c r="D1555" s="9">
        <v>45269</v>
      </c>
      <c r="E1555" s="14">
        <f>VLOOKUP(F1555,CarrierID!A:B,2,0)</f>
        <v>3</v>
      </c>
      <c r="F1555" s="15" t="s">
        <v>6</v>
      </c>
      <c r="G1555" t="str">
        <f>VLOOKUP(F1555,Carrier_Category!A:B,2,0)</f>
        <v>Commuter</v>
      </c>
      <c r="H1555" s="5">
        <v>151</v>
      </c>
      <c r="I1555" s="7">
        <f t="shared" si="76"/>
        <v>24</v>
      </c>
      <c r="J1555" s="5">
        <v>5198</v>
      </c>
      <c r="K1555" s="18">
        <f t="shared" si="75"/>
        <v>34.423841059602651</v>
      </c>
    </row>
    <row r="1556" spans="1:11" x14ac:dyDescent="0.3">
      <c r="A1556" s="14">
        <v>2023</v>
      </c>
      <c r="B1556" s="14">
        <f t="shared" si="74"/>
        <v>39</v>
      </c>
      <c r="C1556" s="9">
        <v>45194</v>
      </c>
      <c r="D1556" s="9">
        <v>45269</v>
      </c>
      <c r="E1556" s="14">
        <f>VLOOKUP(F1556,CarrierID!A:B,2,0)</f>
        <v>12</v>
      </c>
      <c r="F1556" s="15" t="s">
        <v>25</v>
      </c>
      <c r="G1556" t="str">
        <f>VLOOKUP(F1556,Carrier_Category!A:B,2,0)</f>
        <v>Commuter</v>
      </c>
      <c r="H1556" s="5">
        <v>23</v>
      </c>
      <c r="I1556" s="7">
        <f t="shared" si="76"/>
        <v>152</v>
      </c>
      <c r="J1556" s="5">
        <v>685</v>
      </c>
      <c r="K1556" s="18">
        <f t="shared" si="75"/>
        <v>29.782608695652176</v>
      </c>
    </row>
    <row r="1557" spans="1:11" x14ac:dyDescent="0.3">
      <c r="A1557" s="14">
        <v>2023</v>
      </c>
      <c r="B1557" s="14">
        <f t="shared" si="74"/>
        <v>39</v>
      </c>
      <c r="C1557" s="9">
        <v>45194</v>
      </c>
      <c r="D1557" s="9">
        <v>45269</v>
      </c>
      <c r="E1557" s="14">
        <f>VLOOKUP(F1557,CarrierID!A:B,2,0)</f>
        <v>10</v>
      </c>
      <c r="F1557" s="15" t="s">
        <v>8</v>
      </c>
      <c r="G1557" t="str">
        <f>VLOOKUP(F1557,Carrier_Category!A:B,2,0)</f>
        <v>Intercity</v>
      </c>
      <c r="H1557" s="5">
        <v>23</v>
      </c>
      <c r="I1557" s="7">
        <f t="shared" si="76"/>
        <v>24</v>
      </c>
      <c r="J1557" s="5">
        <v>745</v>
      </c>
      <c r="K1557" s="18">
        <f t="shared" si="75"/>
        <v>32.391304347826086</v>
      </c>
    </row>
    <row r="1558" spans="1:11" x14ac:dyDescent="0.3">
      <c r="A1558" s="14">
        <v>2023</v>
      </c>
      <c r="B1558" s="14">
        <f t="shared" si="74"/>
        <v>39</v>
      </c>
      <c r="C1558" s="9">
        <v>45194</v>
      </c>
      <c r="D1558" s="9">
        <v>45269</v>
      </c>
      <c r="E1558" s="14">
        <f>VLOOKUP(F1558,CarrierID!A:B,2,0)</f>
        <v>6</v>
      </c>
      <c r="F1558" s="15" t="s">
        <v>9</v>
      </c>
      <c r="G1558" t="str">
        <f>VLOOKUP(F1558,Carrier_Category!A:B,2,0)</f>
        <v>Commuter</v>
      </c>
      <c r="H1558" s="5">
        <v>86</v>
      </c>
      <c r="I1558" s="7">
        <f t="shared" si="76"/>
        <v>23</v>
      </c>
      <c r="J1558" s="5">
        <v>1420</v>
      </c>
      <c r="K1558" s="18">
        <f t="shared" si="75"/>
        <v>16.511627906976745</v>
      </c>
    </row>
    <row r="1559" spans="1:11" x14ac:dyDescent="0.3">
      <c r="A1559" s="14">
        <v>2023</v>
      </c>
      <c r="B1559" s="14">
        <f t="shared" si="74"/>
        <v>40</v>
      </c>
      <c r="C1559" s="9">
        <v>45201</v>
      </c>
      <c r="D1559" s="9">
        <v>45266</v>
      </c>
      <c r="E1559" s="14">
        <f>VLOOKUP(F1559,CarrierID!A:B,2,0)</f>
        <v>1</v>
      </c>
      <c r="F1559" s="15" t="s">
        <v>0</v>
      </c>
      <c r="G1559" t="str">
        <f>VLOOKUP(F1559,Carrier_Category!A:B,2,0)</f>
        <v>Commuter</v>
      </c>
      <c r="H1559" s="5">
        <v>44</v>
      </c>
      <c r="I1559" s="7">
        <f t="shared" si="76"/>
        <v>86</v>
      </c>
      <c r="J1559" s="5">
        <v>1249</v>
      </c>
      <c r="K1559" s="18">
        <f t="shared" si="75"/>
        <v>28.386363636363637</v>
      </c>
    </row>
    <row r="1560" spans="1:11" x14ac:dyDescent="0.3">
      <c r="A1560" s="14">
        <v>2023</v>
      </c>
      <c r="B1560" s="14">
        <f t="shared" si="74"/>
        <v>40</v>
      </c>
      <c r="C1560" s="9">
        <v>45201</v>
      </c>
      <c r="D1560" s="9">
        <v>45266</v>
      </c>
      <c r="E1560" s="14">
        <f>VLOOKUP(F1560,CarrierID!A:B,2,0)</f>
        <v>5</v>
      </c>
      <c r="F1560" s="15" t="s">
        <v>1</v>
      </c>
      <c r="G1560" t="str">
        <f>VLOOKUP(F1560,Carrier_Category!A:B,2,0)</f>
        <v>Intercity</v>
      </c>
      <c r="H1560" s="5">
        <v>60</v>
      </c>
      <c r="I1560" s="7">
        <f t="shared" si="76"/>
        <v>44</v>
      </c>
      <c r="J1560" s="5">
        <v>1670</v>
      </c>
      <c r="K1560" s="18">
        <f t="shared" si="75"/>
        <v>27.833333333333332</v>
      </c>
    </row>
    <row r="1561" spans="1:11" x14ac:dyDescent="0.3">
      <c r="A1561" s="14">
        <v>2023</v>
      </c>
      <c r="B1561" s="14">
        <f t="shared" si="74"/>
        <v>40</v>
      </c>
      <c r="C1561" s="9">
        <v>45201</v>
      </c>
      <c r="D1561" s="9">
        <v>45266</v>
      </c>
      <c r="E1561" s="14">
        <f>VLOOKUP(F1561,CarrierID!A:B,2,0)</f>
        <v>8</v>
      </c>
      <c r="F1561" s="15" t="s">
        <v>2</v>
      </c>
      <c r="G1561" t="str">
        <f>VLOOKUP(F1561,Carrier_Category!A:B,2,0)</f>
        <v>Commuter</v>
      </c>
      <c r="H1561" s="5">
        <v>19</v>
      </c>
      <c r="I1561" s="7">
        <f t="shared" si="76"/>
        <v>61</v>
      </c>
      <c r="J1561" s="5">
        <v>789</v>
      </c>
      <c r="K1561" s="18">
        <f t="shared" si="75"/>
        <v>41.526315789473685</v>
      </c>
    </row>
    <row r="1562" spans="1:11" x14ac:dyDescent="0.3">
      <c r="A1562" s="14">
        <v>2023</v>
      </c>
      <c r="B1562" s="14">
        <f t="shared" si="74"/>
        <v>40</v>
      </c>
      <c r="C1562" s="9">
        <v>45201</v>
      </c>
      <c r="D1562" s="9">
        <v>45266</v>
      </c>
      <c r="E1562" s="14">
        <f>VLOOKUP(F1562,CarrierID!A:B,2,0)</f>
        <v>9</v>
      </c>
      <c r="F1562" s="15" t="s">
        <v>3</v>
      </c>
      <c r="G1562" t="str">
        <f>VLOOKUP(F1562,Carrier_Category!A:B,2,0)</f>
        <v>NJT</v>
      </c>
      <c r="H1562" s="5">
        <v>2430</v>
      </c>
      <c r="I1562" s="7">
        <f t="shared" si="76"/>
        <v>19</v>
      </c>
      <c r="J1562" s="5">
        <v>79025</v>
      </c>
      <c r="K1562" s="18">
        <f t="shared" si="75"/>
        <v>32.520576131687243</v>
      </c>
    </row>
    <row r="1563" spans="1:11" x14ac:dyDescent="0.3">
      <c r="A1563" s="14">
        <v>2023</v>
      </c>
      <c r="B1563" s="14">
        <f t="shared" si="74"/>
        <v>40</v>
      </c>
      <c r="C1563" s="9">
        <v>45201</v>
      </c>
      <c r="D1563" s="9">
        <v>45266</v>
      </c>
      <c r="E1563" s="14">
        <f>VLOOKUP(F1563,CarrierID!A:B,2,0)</f>
        <v>7</v>
      </c>
      <c r="F1563" s="15" t="s">
        <v>4</v>
      </c>
      <c r="G1563" t="str">
        <f>VLOOKUP(F1563,Carrier_Category!A:B,2,0)</f>
        <v>Commuter</v>
      </c>
      <c r="H1563" s="5">
        <v>43</v>
      </c>
      <c r="I1563" s="7">
        <f t="shared" si="76"/>
        <v>2413</v>
      </c>
      <c r="J1563" s="5">
        <v>1391</v>
      </c>
      <c r="K1563" s="18">
        <f t="shared" si="75"/>
        <v>32.348837209302324</v>
      </c>
    </row>
    <row r="1564" spans="1:11" x14ac:dyDescent="0.3">
      <c r="A1564" s="14">
        <v>2023</v>
      </c>
      <c r="B1564" s="14">
        <f t="shared" si="74"/>
        <v>40</v>
      </c>
      <c r="C1564" s="9">
        <v>45201</v>
      </c>
      <c r="D1564" s="9">
        <v>45266</v>
      </c>
      <c r="E1564" s="14">
        <f>VLOOKUP(F1564,CarrierID!A:B,2,0)</f>
        <v>11</v>
      </c>
      <c r="F1564" s="15" t="s">
        <v>5</v>
      </c>
      <c r="G1564" t="str">
        <f>VLOOKUP(F1564,Carrier_Category!A:B,2,0)</f>
        <v>Intercity</v>
      </c>
      <c r="H1564" s="5">
        <v>22</v>
      </c>
      <c r="I1564" s="7">
        <f t="shared" si="76"/>
        <v>42</v>
      </c>
      <c r="J1564" s="5">
        <v>477</v>
      </c>
      <c r="K1564" s="18">
        <f t="shared" si="75"/>
        <v>21.681818181818183</v>
      </c>
    </row>
    <row r="1565" spans="1:11" x14ac:dyDescent="0.3">
      <c r="A1565" s="14">
        <v>2023</v>
      </c>
      <c r="B1565" s="14">
        <f t="shared" si="74"/>
        <v>40</v>
      </c>
      <c r="C1565" s="9">
        <v>45201</v>
      </c>
      <c r="D1565" s="9">
        <v>45266</v>
      </c>
      <c r="E1565" s="14">
        <f>VLOOKUP(F1565,CarrierID!A:B,2,0)</f>
        <v>3</v>
      </c>
      <c r="F1565" s="15" t="s">
        <v>6</v>
      </c>
      <c r="G1565" t="str">
        <f>VLOOKUP(F1565,Carrier_Category!A:B,2,0)</f>
        <v>Commuter</v>
      </c>
      <c r="H1565" s="5">
        <v>160</v>
      </c>
      <c r="I1565" s="7">
        <f t="shared" si="76"/>
        <v>23</v>
      </c>
      <c r="J1565" s="5">
        <v>5420</v>
      </c>
      <c r="K1565" s="18">
        <f t="shared" si="75"/>
        <v>33.875</v>
      </c>
    </row>
    <row r="1566" spans="1:11" x14ac:dyDescent="0.3">
      <c r="A1566" s="14">
        <v>2023</v>
      </c>
      <c r="B1566" s="14">
        <f t="shared" si="74"/>
        <v>40</v>
      </c>
      <c r="C1566" s="9">
        <v>45201</v>
      </c>
      <c r="D1566" s="9">
        <v>45266</v>
      </c>
      <c r="E1566" s="14">
        <f>VLOOKUP(F1566,CarrierID!A:B,2,0)</f>
        <v>12</v>
      </c>
      <c r="F1566" s="15" t="s">
        <v>25</v>
      </c>
      <c r="G1566" t="str">
        <f>VLOOKUP(F1566,Carrier_Category!A:B,2,0)</f>
        <v>Commuter</v>
      </c>
      <c r="H1566" s="5">
        <v>21</v>
      </c>
      <c r="I1566" s="7">
        <f t="shared" si="76"/>
        <v>151</v>
      </c>
      <c r="J1566" s="5">
        <v>580</v>
      </c>
      <c r="K1566" s="18">
        <f t="shared" si="75"/>
        <v>27.61904761904762</v>
      </c>
    </row>
    <row r="1567" spans="1:11" x14ac:dyDescent="0.3">
      <c r="A1567" s="14">
        <v>2023</v>
      </c>
      <c r="B1567" s="14">
        <f t="shared" si="74"/>
        <v>40</v>
      </c>
      <c r="C1567" s="9">
        <v>45201</v>
      </c>
      <c r="D1567" s="9">
        <v>45266</v>
      </c>
      <c r="E1567" s="14">
        <f>VLOOKUP(F1567,CarrierID!A:B,2,0)</f>
        <v>10</v>
      </c>
      <c r="F1567" s="15" t="s">
        <v>8</v>
      </c>
      <c r="G1567" t="str">
        <f>VLOOKUP(F1567,Carrier_Category!A:B,2,0)</f>
        <v>Intercity</v>
      </c>
      <c r="H1567" s="5">
        <v>23</v>
      </c>
      <c r="I1567" s="7">
        <f t="shared" si="76"/>
        <v>23</v>
      </c>
      <c r="J1567" s="5">
        <v>745</v>
      </c>
      <c r="K1567" s="18">
        <f t="shared" si="75"/>
        <v>32.391304347826086</v>
      </c>
    </row>
    <row r="1568" spans="1:11" x14ac:dyDescent="0.3">
      <c r="A1568" s="14">
        <v>2023</v>
      </c>
      <c r="B1568" s="14">
        <f t="shared" si="74"/>
        <v>40</v>
      </c>
      <c r="C1568" s="9">
        <v>45201</v>
      </c>
      <c r="D1568" s="9">
        <v>45266</v>
      </c>
      <c r="E1568" s="14">
        <f>VLOOKUP(F1568,CarrierID!A:B,2,0)</f>
        <v>6</v>
      </c>
      <c r="F1568" s="15" t="s">
        <v>9</v>
      </c>
      <c r="G1568" t="str">
        <f>VLOOKUP(F1568,Carrier_Category!A:B,2,0)</f>
        <v>Commuter</v>
      </c>
      <c r="H1568" s="5">
        <v>86</v>
      </c>
      <c r="I1568" s="7">
        <f t="shared" si="76"/>
        <v>23</v>
      </c>
      <c r="J1568" s="5">
        <v>1420</v>
      </c>
      <c r="K1568" s="18">
        <f t="shared" si="75"/>
        <v>16.511627906976745</v>
      </c>
    </row>
    <row r="1569" spans="1:11" x14ac:dyDescent="0.3">
      <c r="A1569" s="14">
        <v>2023</v>
      </c>
      <c r="B1569" s="14">
        <f t="shared" si="74"/>
        <v>41</v>
      </c>
      <c r="C1569" s="9">
        <v>45208</v>
      </c>
      <c r="D1569" s="9">
        <v>45263</v>
      </c>
      <c r="E1569" s="14">
        <f>VLOOKUP(F1569,CarrierID!A:B,2,0)</f>
        <v>1</v>
      </c>
      <c r="F1569" s="15" t="s">
        <v>0</v>
      </c>
      <c r="G1569" t="str">
        <f>VLOOKUP(F1569,Carrier_Category!A:B,2,0)</f>
        <v>Commuter</v>
      </c>
      <c r="H1569" s="5">
        <v>40</v>
      </c>
      <c r="I1569" s="7">
        <f t="shared" si="76"/>
        <v>86</v>
      </c>
      <c r="J1569" s="5">
        <v>1136</v>
      </c>
      <c r="K1569" s="18">
        <f t="shared" si="75"/>
        <v>28.4</v>
      </c>
    </row>
    <row r="1570" spans="1:11" x14ac:dyDescent="0.3">
      <c r="A1570" s="14">
        <v>2023</v>
      </c>
      <c r="B1570" s="14">
        <f t="shared" si="74"/>
        <v>41</v>
      </c>
      <c r="C1570" s="9">
        <v>45208</v>
      </c>
      <c r="D1570" s="9">
        <v>45263</v>
      </c>
      <c r="E1570" s="14">
        <f>VLOOKUP(F1570,CarrierID!A:B,2,0)</f>
        <v>5</v>
      </c>
      <c r="F1570" s="15" t="s">
        <v>1</v>
      </c>
      <c r="G1570" t="str">
        <f>VLOOKUP(F1570,Carrier_Category!A:B,2,0)</f>
        <v>Intercity</v>
      </c>
      <c r="H1570" s="5">
        <v>60</v>
      </c>
      <c r="I1570" s="7">
        <f t="shared" si="76"/>
        <v>44</v>
      </c>
      <c r="J1570" s="5">
        <v>1670</v>
      </c>
      <c r="K1570" s="18">
        <f t="shared" si="75"/>
        <v>27.833333333333332</v>
      </c>
    </row>
    <row r="1571" spans="1:11" x14ac:dyDescent="0.3">
      <c r="A1571" s="14">
        <v>2023</v>
      </c>
      <c r="B1571" s="14">
        <f t="shared" si="74"/>
        <v>41</v>
      </c>
      <c r="C1571" s="9">
        <v>45208</v>
      </c>
      <c r="D1571" s="9">
        <v>45263</v>
      </c>
      <c r="E1571" s="14">
        <f>VLOOKUP(F1571,CarrierID!A:B,2,0)</f>
        <v>8</v>
      </c>
      <c r="F1571" s="15" t="s">
        <v>2</v>
      </c>
      <c r="G1571" t="str">
        <f>VLOOKUP(F1571,Carrier_Category!A:B,2,0)</f>
        <v>Commuter</v>
      </c>
      <c r="H1571" s="5">
        <v>19</v>
      </c>
      <c r="I1571" s="7">
        <f t="shared" si="76"/>
        <v>60</v>
      </c>
      <c r="J1571" s="5">
        <v>734</v>
      </c>
      <c r="K1571" s="18">
        <f t="shared" si="75"/>
        <v>38.631578947368418</v>
      </c>
    </row>
    <row r="1572" spans="1:11" x14ac:dyDescent="0.3">
      <c r="A1572" s="14">
        <v>2023</v>
      </c>
      <c r="B1572" s="14">
        <f t="shared" si="74"/>
        <v>41</v>
      </c>
      <c r="C1572" s="9">
        <v>45208</v>
      </c>
      <c r="D1572" s="9">
        <v>45263</v>
      </c>
      <c r="E1572" s="14">
        <f>VLOOKUP(F1572,CarrierID!A:B,2,0)</f>
        <v>9</v>
      </c>
      <c r="F1572" s="15" t="s">
        <v>3</v>
      </c>
      <c r="G1572" t="str">
        <f>VLOOKUP(F1572,Carrier_Category!A:B,2,0)</f>
        <v>NJT</v>
      </c>
      <c r="H1572" s="5">
        <v>2439</v>
      </c>
      <c r="I1572" s="7">
        <f t="shared" si="76"/>
        <v>19</v>
      </c>
      <c r="J1572" s="5">
        <v>81192</v>
      </c>
      <c r="K1572" s="18">
        <f t="shared" si="75"/>
        <v>33.289052890528907</v>
      </c>
    </row>
    <row r="1573" spans="1:11" x14ac:dyDescent="0.3">
      <c r="A1573" s="14">
        <v>2023</v>
      </c>
      <c r="B1573" s="14">
        <f t="shared" si="74"/>
        <v>41</v>
      </c>
      <c r="C1573" s="9">
        <v>45208</v>
      </c>
      <c r="D1573" s="9">
        <v>45263</v>
      </c>
      <c r="E1573" s="14">
        <f>VLOOKUP(F1573,CarrierID!A:B,2,0)</f>
        <v>7</v>
      </c>
      <c r="F1573" s="15" t="s">
        <v>4</v>
      </c>
      <c r="G1573" t="str">
        <f>VLOOKUP(F1573,Carrier_Category!A:B,2,0)</f>
        <v>Commuter</v>
      </c>
      <c r="H1573" s="5">
        <v>44</v>
      </c>
      <c r="I1573" s="7">
        <f t="shared" si="76"/>
        <v>2430</v>
      </c>
      <c r="J1573" s="5">
        <v>1377</v>
      </c>
      <c r="K1573" s="18">
        <f t="shared" si="75"/>
        <v>31.295454545454547</v>
      </c>
    </row>
    <row r="1574" spans="1:11" x14ac:dyDescent="0.3">
      <c r="A1574" s="14">
        <v>2023</v>
      </c>
      <c r="B1574" s="14">
        <f t="shared" si="74"/>
        <v>41</v>
      </c>
      <c r="C1574" s="9">
        <v>45208</v>
      </c>
      <c r="D1574" s="9">
        <v>45263</v>
      </c>
      <c r="E1574" s="14">
        <f>VLOOKUP(F1574,CarrierID!A:B,2,0)</f>
        <v>11</v>
      </c>
      <c r="F1574" s="15" t="s">
        <v>5</v>
      </c>
      <c r="G1574" t="str">
        <f>VLOOKUP(F1574,Carrier_Category!A:B,2,0)</f>
        <v>Intercity</v>
      </c>
      <c r="H1574" s="5">
        <v>27</v>
      </c>
      <c r="I1574" s="7">
        <f t="shared" si="76"/>
        <v>43</v>
      </c>
      <c r="J1574" s="5">
        <v>886</v>
      </c>
      <c r="K1574" s="18">
        <f t="shared" si="75"/>
        <v>32.814814814814817</v>
      </c>
    </row>
    <row r="1575" spans="1:11" x14ac:dyDescent="0.3">
      <c r="A1575" s="14">
        <v>2023</v>
      </c>
      <c r="B1575" s="14">
        <f t="shared" si="74"/>
        <v>41</v>
      </c>
      <c r="C1575" s="9">
        <v>45208</v>
      </c>
      <c r="D1575" s="9">
        <v>45263</v>
      </c>
      <c r="E1575" s="14">
        <f>VLOOKUP(F1575,CarrierID!A:B,2,0)</f>
        <v>3</v>
      </c>
      <c r="F1575" s="15" t="s">
        <v>6</v>
      </c>
      <c r="G1575" t="str">
        <f>VLOOKUP(F1575,Carrier_Category!A:B,2,0)</f>
        <v>Commuter</v>
      </c>
      <c r="H1575" s="5">
        <v>154</v>
      </c>
      <c r="I1575" s="7">
        <f t="shared" si="76"/>
        <v>22</v>
      </c>
      <c r="J1575" s="5">
        <v>4862</v>
      </c>
      <c r="K1575" s="18">
        <f t="shared" si="75"/>
        <v>31.571428571428573</v>
      </c>
    </row>
    <row r="1576" spans="1:11" x14ac:dyDescent="0.3">
      <c r="A1576" s="14">
        <v>2023</v>
      </c>
      <c r="B1576" s="14">
        <f t="shared" si="74"/>
        <v>41</v>
      </c>
      <c r="C1576" s="9">
        <v>45208</v>
      </c>
      <c r="D1576" s="9">
        <v>45263</v>
      </c>
      <c r="E1576" s="14">
        <f>VLOOKUP(F1576,CarrierID!A:B,2,0)</f>
        <v>12</v>
      </c>
      <c r="F1576" s="15" t="s">
        <v>25</v>
      </c>
      <c r="G1576" t="str">
        <f>VLOOKUP(F1576,Carrier_Category!A:B,2,0)</f>
        <v>Commuter</v>
      </c>
      <c r="H1576" s="5">
        <v>21</v>
      </c>
      <c r="I1576" s="7">
        <f t="shared" si="76"/>
        <v>160</v>
      </c>
      <c r="J1576" s="5">
        <v>580</v>
      </c>
      <c r="K1576" s="18">
        <f t="shared" si="75"/>
        <v>27.61904761904762</v>
      </c>
    </row>
    <row r="1577" spans="1:11" x14ac:dyDescent="0.3">
      <c r="A1577" s="14">
        <v>2023</v>
      </c>
      <c r="B1577" s="14">
        <f t="shared" si="74"/>
        <v>41</v>
      </c>
      <c r="C1577" s="9">
        <v>45208</v>
      </c>
      <c r="D1577" s="9">
        <v>45263</v>
      </c>
      <c r="E1577" s="14">
        <f>VLOOKUP(F1577,CarrierID!A:B,2,0)</f>
        <v>10</v>
      </c>
      <c r="F1577" s="15" t="s">
        <v>8</v>
      </c>
      <c r="G1577" t="str">
        <f>VLOOKUP(F1577,Carrier_Category!A:B,2,0)</f>
        <v>Intercity</v>
      </c>
      <c r="H1577" s="5">
        <v>23</v>
      </c>
      <c r="I1577" s="7">
        <f t="shared" si="76"/>
        <v>21</v>
      </c>
      <c r="J1577" s="5">
        <v>745</v>
      </c>
      <c r="K1577" s="18">
        <f t="shared" si="75"/>
        <v>32.391304347826086</v>
      </c>
    </row>
    <row r="1578" spans="1:11" x14ac:dyDescent="0.3">
      <c r="A1578" s="14">
        <v>2023</v>
      </c>
      <c r="B1578" s="14">
        <f t="shared" si="74"/>
        <v>41</v>
      </c>
      <c r="C1578" s="9">
        <v>45208</v>
      </c>
      <c r="D1578" s="9">
        <v>45263</v>
      </c>
      <c r="E1578" s="14">
        <f>VLOOKUP(F1578,CarrierID!A:B,2,0)</f>
        <v>6</v>
      </c>
      <c r="F1578" s="15" t="s">
        <v>9</v>
      </c>
      <c r="G1578" t="str">
        <f>VLOOKUP(F1578,Carrier_Category!A:B,2,0)</f>
        <v>Commuter</v>
      </c>
      <c r="H1578" s="5">
        <v>86</v>
      </c>
      <c r="I1578" s="7">
        <f t="shared" si="76"/>
        <v>23</v>
      </c>
      <c r="J1578" s="5">
        <v>1420</v>
      </c>
      <c r="K1578" s="18">
        <f t="shared" si="75"/>
        <v>16.511627906976745</v>
      </c>
    </row>
    <row r="1579" spans="1:11" x14ac:dyDescent="0.3">
      <c r="A1579" s="14">
        <v>2023</v>
      </c>
      <c r="B1579" s="14">
        <f t="shared" si="74"/>
        <v>42</v>
      </c>
      <c r="C1579" s="9">
        <v>45215</v>
      </c>
      <c r="D1579" s="9">
        <v>45260</v>
      </c>
      <c r="E1579" s="14">
        <f>VLOOKUP(F1579,CarrierID!A:B,2,0)</f>
        <v>1</v>
      </c>
      <c r="F1579" s="15" t="s">
        <v>0</v>
      </c>
      <c r="G1579" t="str">
        <f>VLOOKUP(F1579,Carrier_Category!A:B,2,0)</f>
        <v>Commuter</v>
      </c>
      <c r="H1579" s="5">
        <v>43</v>
      </c>
      <c r="I1579" s="7">
        <f t="shared" si="76"/>
        <v>86</v>
      </c>
      <c r="J1579" s="5">
        <v>1240</v>
      </c>
      <c r="K1579" s="18">
        <f t="shared" si="75"/>
        <v>28.837209302325583</v>
      </c>
    </row>
    <row r="1580" spans="1:11" x14ac:dyDescent="0.3">
      <c r="A1580" s="14">
        <v>2023</v>
      </c>
      <c r="B1580" s="14">
        <f t="shared" si="74"/>
        <v>42</v>
      </c>
      <c r="C1580" s="9">
        <v>45215</v>
      </c>
      <c r="D1580" s="9">
        <v>45260</v>
      </c>
      <c r="E1580" s="14">
        <f>VLOOKUP(F1580,CarrierID!A:B,2,0)</f>
        <v>5</v>
      </c>
      <c r="F1580" s="15" t="s">
        <v>1</v>
      </c>
      <c r="G1580" t="str">
        <f>VLOOKUP(F1580,Carrier_Category!A:B,2,0)</f>
        <v>Intercity</v>
      </c>
      <c r="H1580" s="5">
        <v>58</v>
      </c>
      <c r="I1580" s="7">
        <f t="shared" si="76"/>
        <v>40</v>
      </c>
      <c r="J1580" s="5">
        <v>1635</v>
      </c>
      <c r="K1580" s="18">
        <f t="shared" si="75"/>
        <v>28.189655172413794</v>
      </c>
    </row>
    <row r="1581" spans="1:11" x14ac:dyDescent="0.3">
      <c r="A1581" s="14">
        <v>2023</v>
      </c>
      <c r="B1581" s="14">
        <f t="shared" si="74"/>
        <v>42</v>
      </c>
      <c r="C1581" s="9">
        <v>45215</v>
      </c>
      <c r="D1581" s="9">
        <v>45260</v>
      </c>
      <c r="E1581" s="14">
        <f>VLOOKUP(F1581,CarrierID!A:B,2,0)</f>
        <v>8</v>
      </c>
      <c r="F1581" s="15" t="s">
        <v>2</v>
      </c>
      <c r="G1581" t="str">
        <f>VLOOKUP(F1581,Carrier_Category!A:B,2,0)</f>
        <v>Commuter</v>
      </c>
      <c r="H1581" s="5">
        <v>20</v>
      </c>
      <c r="I1581" s="7">
        <f t="shared" si="76"/>
        <v>60</v>
      </c>
      <c r="J1581" s="5">
        <v>766</v>
      </c>
      <c r="K1581" s="18">
        <f t="shared" si="75"/>
        <v>38.299999999999997</v>
      </c>
    </row>
    <row r="1582" spans="1:11" x14ac:dyDescent="0.3">
      <c r="A1582" s="14">
        <v>2023</v>
      </c>
      <c r="B1582" s="14">
        <f t="shared" si="74"/>
        <v>42</v>
      </c>
      <c r="C1582" s="9">
        <v>45215</v>
      </c>
      <c r="D1582" s="9">
        <v>45260</v>
      </c>
      <c r="E1582" s="14">
        <f>VLOOKUP(F1582,CarrierID!A:B,2,0)</f>
        <v>9</v>
      </c>
      <c r="F1582" s="15" t="s">
        <v>3</v>
      </c>
      <c r="G1582" t="str">
        <f>VLOOKUP(F1582,Carrier_Category!A:B,2,0)</f>
        <v>NJT</v>
      </c>
      <c r="H1582" s="5">
        <v>2423</v>
      </c>
      <c r="I1582" s="7">
        <f t="shared" si="76"/>
        <v>19</v>
      </c>
      <c r="J1582" s="5">
        <v>80586</v>
      </c>
      <c r="K1582" s="18">
        <f t="shared" si="75"/>
        <v>33.258770119686339</v>
      </c>
    </row>
    <row r="1583" spans="1:11" x14ac:dyDescent="0.3">
      <c r="A1583" s="14">
        <v>2023</v>
      </c>
      <c r="B1583" s="14">
        <f t="shared" si="74"/>
        <v>42</v>
      </c>
      <c r="C1583" s="9">
        <v>45215</v>
      </c>
      <c r="D1583" s="9">
        <v>45260</v>
      </c>
      <c r="E1583" s="14">
        <f>VLOOKUP(F1583,CarrierID!A:B,2,0)</f>
        <v>7</v>
      </c>
      <c r="F1583" s="15" t="s">
        <v>4</v>
      </c>
      <c r="G1583" t="str">
        <f>VLOOKUP(F1583,Carrier_Category!A:B,2,0)</f>
        <v>Commuter</v>
      </c>
      <c r="H1583" s="5">
        <v>43</v>
      </c>
      <c r="I1583" s="7">
        <f t="shared" si="76"/>
        <v>2439</v>
      </c>
      <c r="J1583" s="5">
        <v>1403</v>
      </c>
      <c r="K1583" s="18">
        <f t="shared" si="75"/>
        <v>32.627906976744185</v>
      </c>
    </row>
    <row r="1584" spans="1:11" x14ac:dyDescent="0.3">
      <c r="A1584" s="14">
        <v>2023</v>
      </c>
      <c r="B1584" s="14">
        <f t="shared" si="74"/>
        <v>42</v>
      </c>
      <c r="C1584" s="9">
        <v>45215</v>
      </c>
      <c r="D1584" s="9">
        <v>45260</v>
      </c>
      <c r="E1584" s="14">
        <f>VLOOKUP(F1584,CarrierID!A:B,2,0)</f>
        <v>11</v>
      </c>
      <c r="F1584" s="15" t="s">
        <v>5</v>
      </c>
      <c r="G1584" t="str">
        <f>VLOOKUP(F1584,Carrier_Category!A:B,2,0)</f>
        <v>Intercity</v>
      </c>
      <c r="H1584" s="5">
        <v>23</v>
      </c>
      <c r="I1584" s="7">
        <f t="shared" si="76"/>
        <v>44</v>
      </c>
      <c r="J1584" s="5">
        <v>545</v>
      </c>
      <c r="K1584" s="18">
        <f t="shared" si="75"/>
        <v>23.695652173913043</v>
      </c>
    </row>
    <row r="1585" spans="1:11" x14ac:dyDescent="0.3">
      <c r="A1585" s="14">
        <v>2023</v>
      </c>
      <c r="B1585" s="14">
        <f t="shared" si="74"/>
        <v>42</v>
      </c>
      <c r="C1585" s="9">
        <v>45215</v>
      </c>
      <c r="D1585" s="9">
        <v>45260</v>
      </c>
      <c r="E1585" s="14">
        <f>VLOOKUP(F1585,CarrierID!A:B,2,0)</f>
        <v>3</v>
      </c>
      <c r="F1585" s="15" t="s">
        <v>6</v>
      </c>
      <c r="G1585" t="str">
        <f>VLOOKUP(F1585,Carrier_Category!A:B,2,0)</f>
        <v>Commuter</v>
      </c>
      <c r="H1585" s="5">
        <v>159</v>
      </c>
      <c r="I1585" s="7">
        <f t="shared" si="76"/>
        <v>27</v>
      </c>
      <c r="J1585" s="5">
        <v>5455</v>
      </c>
      <c r="K1585" s="18">
        <f t="shared" si="75"/>
        <v>34.308176100628934</v>
      </c>
    </row>
    <row r="1586" spans="1:11" x14ac:dyDescent="0.3">
      <c r="A1586" s="14">
        <v>2023</v>
      </c>
      <c r="B1586" s="14">
        <f t="shared" si="74"/>
        <v>42</v>
      </c>
      <c r="C1586" s="9">
        <v>45215</v>
      </c>
      <c r="D1586" s="9">
        <v>45260</v>
      </c>
      <c r="E1586" s="14">
        <f>VLOOKUP(F1586,CarrierID!A:B,2,0)</f>
        <v>12</v>
      </c>
      <c r="F1586" s="15" t="s">
        <v>25</v>
      </c>
      <c r="G1586" t="str">
        <f>VLOOKUP(F1586,Carrier_Category!A:B,2,0)</f>
        <v>Commuter</v>
      </c>
      <c r="H1586" s="5">
        <v>24</v>
      </c>
      <c r="I1586" s="7">
        <f t="shared" si="76"/>
        <v>154</v>
      </c>
      <c r="J1586" s="5">
        <v>756</v>
      </c>
      <c r="K1586" s="18">
        <f t="shared" si="75"/>
        <v>31.5</v>
      </c>
    </row>
    <row r="1587" spans="1:11" x14ac:dyDescent="0.3">
      <c r="A1587" s="14">
        <v>2023</v>
      </c>
      <c r="B1587" s="14">
        <f t="shared" si="74"/>
        <v>42</v>
      </c>
      <c r="C1587" s="9">
        <v>45215</v>
      </c>
      <c r="D1587" s="9">
        <v>45260</v>
      </c>
      <c r="E1587" s="14">
        <f>VLOOKUP(F1587,CarrierID!A:B,2,0)</f>
        <v>10</v>
      </c>
      <c r="F1587" s="15" t="s">
        <v>8</v>
      </c>
      <c r="G1587" t="str">
        <f>VLOOKUP(F1587,Carrier_Category!A:B,2,0)</f>
        <v>Intercity</v>
      </c>
      <c r="H1587" s="5">
        <v>23</v>
      </c>
      <c r="I1587" s="7">
        <f t="shared" si="76"/>
        <v>21</v>
      </c>
      <c r="J1587" s="5">
        <v>745</v>
      </c>
      <c r="K1587" s="18">
        <f t="shared" si="75"/>
        <v>32.391304347826086</v>
      </c>
    </row>
    <row r="1588" spans="1:11" x14ac:dyDescent="0.3">
      <c r="A1588" s="14">
        <v>2023</v>
      </c>
      <c r="B1588" s="14">
        <f t="shared" si="74"/>
        <v>42</v>
      </c>
      <c r="C1588" s="9">
        <v>45215</v>
      </c>
      <c r="D1588" s="9">
        <v>45260</v>
      </c>
      <c r="E1588" s="14">
        <f>VLOOKUP(F1588,CarrierID!A:B,2,0)</f>
        <v>6</v>
      </c>
      <c r="F1588" s="15" t="s">
        <v>9</v>
      </c>
      <c r="G1588" t="str">
        <f>VLOOKUP(F1588,Carrier_Category!A:B,2,0)</f>
        <v>Commuter</v>
      </c>
      <c r="H1588" s="5">
        <v>88</v>
      </c>
      <c r="I1588" s="7">
        <f t="shared" si="76"/>
        <v>23</v>
      </c>
      <c r="J1588" s="5">
        <v>1552</v>
      </c>
      <c r="K1588" s="18">
        <f t="shared" si="75"/>
        <v>17.636363636363637</v>
      </c>
    </row>
    <row r="1589" spans="1:11" x14ac:dyDescent="0.3">
      <c r="A1589" s="14">
        <v>2023</v>
      </c>
      <c r="B1589" s="14">
        <f t="shared" si="74"/>
        <v>43</v>
      </c>
      <c r="C1589" s="9">
        <v>45222</v>
      </c>
      <c r="D1589" s="9">
        <v>45267</v>
      </c>
      <c r="E1589" s="14">
        <f>VLOOKUP(F1589,CarrierID!A:B,2,0)</f>
        <v>1</v>
      </c>
      <c r="F1589" s="15" t="s">
        <v>0</v>
      </c>
      <c r="G1589" t="str">
        <f>VLOOKUP(F1589,Carrier_Category!A:B,2,0)</f>
        <v>Commuter</v>
      </c>
      <c r="H1589" s="5">
        <v>44</v>
      </c>
      <c r="I1589" s="7">
        <f t="shared" si="76"/>
        <v>86</v>
      </c>
      <c r="J1589" s="5">
        <v>1258</v>
      </c>
      <c r="K1589" s="18">
        <f t="shared" si="75"/>
        <v>28.59090909090909</v>
      </c>
    </row>
    <row r="1590" spans="1:11" x14ac:dyDescent="0.3">
      <c r="A1590" s="14">
        <v>2023</v>
      </c>
      <c r="B1590" s="14">
        <f t="shared" si="74"/>
        <v>43</v>
      </c>
      <c r="C1590" s="9">
        <v>45222</v>
      </c>
      <c r="D1590" s="9">
        <v>45267</v>
      </c>
      <c r="E1590" s="14">
        <f>VLOOKUP(F1590,CarrierID!A:B,2,0)</f>
        <v>5</v>
      </c>
      <c r="F1590" s="15" t="s">
        <v>1</v>
      </c>
      <c r="G1590" t="str">
        <f>VLOOKUP(F1590,Carrier_Category!A:B,2,0)</f>
        <v>Intercity</v>
      </c>
      <c r="H1590" s="5">
        <v>59</v>
      </c>
      <c r="I1590" s="7">
        <f t="shared" si="76"/>
        <v>43</v>
      </c>
      <c r="J1590" s="5">
        <v>1593</v>
      </c>
      <c r="K1590" s="18">
        <f t="shared" si="75"/>
        <v>27</v>
      </c>
    </row>
    <row r="1591" spans="1:11" x14ac:dyDescent="0.3">
      <c r="A1591" s="14">
        <v>2023</v>
      </c>
      <c r="B1591" s="14">
        <f t="shared" si="74"/>
        <v>43</v>
      </c>
      <c r="C1591" s="9">
        <v>45222</v>
      </c>
      <c r="D1591" s="9">
        <v>45267</v>
      </c>
      <c r="E1591" s="14">
        <f>VLOOKUP(F1591,CarrierID!A:B,2,0)</f>
        <v>8</v>
      </c>
      <c r="F1591" s="15" t="s">
        <v>2</v>
      </c>
      <c r="G1591" t="str">
        <f>VLOOKUP(F1591,Carrier_Category!A:B,2,0)</f>
        <v>Commuter</v>
      </c>
      <c r="H1591" s="5">
        <v>19</v>
      </c>
      <c r="I1591" s="7">
        <f t="shared" si="76"/>
        <v>58</v>
      </c>
      <c r="J1591" s="5">
        <v>780</v>
      </c>
      <c r="K1591" s="18">
        <f t="shared" si="75"/>
        <v>41.05263157894737</v>
      </c>
    </row>
    <row r="1592" spans="1:11" x14ac:dyDescent="0.3">
      <c r="A1592" s="14">
        <v>2023</v>
      </c>
      <c r="B1592" s="14">
        <f t="shared" si="74"/>
        <v>43</v>
      </c>
      <c r="C1592" s="9">
        <v>45222</v>
      </c>
      <c r="D1592" s="9">
        <v>45267</v>
      </c>
      <c r="E1592" s="14">
        <f>VLOOKUP(F1592,CarrierID!A:B,2,0)</f>
        <v>9</v>
      </c>
      <c r="F1592" s="15" t="s">
        <v>3</v>
      </c>
      <c r="G1592" t="str">
        <f>VLOOKUP(F1592,Carrier_Category!A:B,2,0)</f>
        <v>NJT</v>
      </c>
      <c r="H1592" s="5">
        <v>2419</v>
      </c>
      <c r="I1592" s="7">
        <f t="shared" si="76"/>
        <v>20</v>
      </c>
      <c r="J1592" s="5">
        <v>81890</v>
      </c>
      <c r="K1592" s="18">
        <f t="shared" si="75"/>
        <v>33.85283174865647</v>
      </c>
    </row>
    <row r="1593" spans="1:11" x14ac:dyDescent="0.3">
      <c r="A1593" s="14">
        <v>2023</v>
      </c>
      <c r="B1593" s="14">
        <f t="shared" si="74"/>
        <v>43</v>
      </c>
      <c r="C1593" s="9">
        <v>45222</v>
      </c>
      <c r="D1593" s="9">
        <v>45267</v>
      </c>
      <c r="E1593" s="14">
        <f>VLOOKUP(F1593,CarrierID!A:B,2,0)</f>
        <v>7</v>
      </c>
      <c r="F1593" s="15" t="s">
        <v>4</v>
      </c>
      <c r="G1593" t="str">
        <f>VLOOKUP(F1593,Carrier_Category!A:B,2,0)</f>
        <v>Commuter</v>
      </c>
      <c r="H1593" s="5">
        <v>43</v>
      </c>
      <c r="I1593" s="7">
        <f t="shared" si="76"/>
        <v>2423</v>
      </c>
      <c r="J1593" s="5">
        <v>1403</v>
      </c>
      <c r="K1593" s="18">
        <f t="shared" si="75"/>
        <v>32.627906976744185</v>
      </c>
    </row>
    <row r="1594" spans="1:11" x14ac:dyDescent="0.3">
      <c r="A1594" s="14">
        <v>2023</v>
      </c>
      <c r="B1594" s="14">
        <f t="shared" si="74"/>
        <v>43</v>
      </c>
      <c r="C1594" s="9">
        <v>45222</v>
      </c>
      <c r="D1594" s="9">
        <v>45267</v>
      </c>
      <c r="E1594" s="14">
        <f>VLOOKUP(F1594,CarrierID!A:B,2,0)</f>
        <v>11</v>
      </c>
      <c r="F1594" s="15" t="s">
        <v>5</v>
      </c>
      <c r="G1594" t="str">
        <f>VLOOKUP(F1594,Carrier_Category!A:B,2,0)</f>
        <v>Intercity</v>
      </c>
      <c r="H1594" s="5">
        <v>22</v>
      </c>
      <c r="I1594" s="7">
        <f t="shared" si="76"/>
        <v>43</v>
      </c>
      <c r="J1594" s="5">
        <v>580</v>
      </c>
      <c r="K1594" s="18">
        <f t="shared" si="75"/>
        <v>26.363636363636363</v>
      </c>
    </row>
    <row r="1595" spans="1:11" x14ac:dyDescent="0.3">
      <c r="A1595" s="14">
        <v>2023</v>
      </c>
      <c r="B1595" s="14">
        <f t="shared" si="74"/>
        <v>43</v>
      </c>
      <c r="C1595" s="9">
        <v>45222</v>
      </c>
      <c r="D1595" s="9">
        <v>45267</v>
      </c>
      <c r="E1595" s="14">
        <f>VLOOKUP(F1595,CarrierID!A:B,2,0)</f>
        <v>3</v>
      </c>
      <c r="F1595" s="15" t="s">
        <v>6</v>
      </c>
      <c r="G1595" t="str">
        <f>VLOOKUP(F1595,Carrier_Category!A:B,2,0)</f>
        <v>Commuter</v>
      </c>
      <c r="H1595" s="5">
        <v>162</v>
      </c>
      <c r="I1595" s="7">
        <f t="shared" si="76"/>
        <v>23</v>
      </c>
      <c r="J1595" s="5">
        <v>5505</v>
      </c>
      <c r="K1595" s="18">
        <f t="shared" si="75"/>
        <v>33.981481481481481</v>
      </c>
    </row>
    <row r="1596" spans="1:11" x14ac:dyDescent="0.3">
      <c r="A1596" s="14">
        <v>2023</v>
      </c>
      <c r="B1596" s="14">
        <f t="shared" si="74"/>
        <v>43</v>
      </c>
      <c r="C1596" s="9">
        <v>45222</v>
      </c>
      <c r="D1596" s="9">
        <v>45267</v>
      </c>
      <c r="E1596" s="14">
        <f>VLOOKUP(F1596,CarrierID!A:B,2,0)</f>
        <v>12</v>
      </c>
      <c r="F1596" s="15" t="s">
        <v>25</v>
      </c>
      <c r="G1596" t="str">
        <f>VLOOKUP(F1596,Carrier_Category!A:B,2,0)</f>
        <v>Commuter</v>
      </c>
      <c r="H1596" s="5">
        <v>23</v>
      </c>
      <c r="I1596" s="7">
        <f t="shared" si="76"/>
        <v>159</v>
      </c>
      <c r="J1596" s="5">
        <v>709</v>
      </c>
      <c r="K1596" s="18">
        <f t="shared" si="75"/>
        <v>30.826086956521738</v>
      </c>
    </row>
    <row r="1597" spans="1:11" x14ac:dyDescent="0.3">
      <c r="A1597" s="14">
        <v>2023</v>
      </c>
      <c r="B1597" s="14">
        <f t="shared" si="74"/>
        <v>43</v>
      </c>
      <c r="C1597" s="9">
        <v>45222</v>
      </c>
      <c r="D1597" s="9">
        <v>45267</v>
      </c>
      <c r="E1597" s="14">
        <f>VLOOKUP(F1597,CarrierID!A:B,2,0)</f>
        <v>10</v>
      </c>
      <c r="F1597" s="15" t="s">
        <v>8</v>
      </c>
      <c r="G1597" t="str">
        <f>VLOOKUP(F1597,Carrier_Category!A:B,2,0)</f>
        <v>Intercity</v>
      </c>
      <c r="H1597" s="5">
        <v>23</v>
      </c>
      <c r="I1597" s="7">
        <f t="shared" si="76"/>
        <v>24</v>
      </c>
      <c r="J1597" s="5">
        <v>745</v>
      </c>
      <c r="K1597" s="18">
        <f t="shared" si="75"/>
        <v>32.391304347826086</v>
      </c>
    </row>
    <row r="1598" spans="1:11" x14ac:dyDescent="0.3">
      <c r="A1598" s="14">
        <v>2023</v>
      </c>
      <c r="B1598" s="14">
        <f t="shared" si="74"/>
        <v>43</v>
      </c>
      <c r="C1598" s="9">
        <v>45222</v>
      </c>
      <c r="D1598" s="9">
        <v>45267</v>
      </c>
      <c r="E1598" s="14">
        <f>VLOOKUP(F1598,CarrierID!A:B,2,0)</f>
        <v>6</v>
      </c>
      <c r="F1598" s="15" t="s">
        <v>9</v>
      </c>
      <c r="G1598" t="str">
        <f>VLOOKUP(F1598,Carrier_Category!A:B,2,0)</f>
        <v>Commuter</v>
      </c>
      <c r="H1598" s="5">
        <v>89</v>
      </c>
      <c r="I1598" s="7">
        <f t="shared" si="76"/>
        <v>23</v>
      </c>
      <c r="J1598" s="5">
        <v>1560</v>
      </c>
      <c r="K1598" s="18">
        <f t="shared" si="75"/>
        <v>17.528089887640448</v>
      </c>
    </row>
    <row r="1599" spans="1:11" x14ac:dyDescent="0.3">
      <c r="A1599" s="14">
        <v>2023</v>
      </c>
      <c r="B1599" s="14">
        <f t="shared" si="74"/>
        <v>44</v>
      </c>
      <c r="C1599" s="9">
        <v>45229</v>
      </c>
      <c r="D1599" s="9">
        <v>45233</v>
      </c>
      <c r="E1599" s="14">
        <f>VLOOKUP(F1599,CarrierID!A:B,2,0)</f>
        <v>1</v>
      </c>
      <c r="F1599" s="15" t="s">
        <v>0</v>
      </c>
      <c r="G1599" t="str">
        <f>VLOOKUP(F1599,Carrier_Category!A:B,2,0)</f>
        <v>Commuter</v>
      </c>
      <c r="H1599" s="5">
        <v>44</v>
      </c>
      <c r="I1599" s="7">
        <f t="shared" si="76"/>
        <v>88</v>
      </c>
      <c r="J1599" s="5">
        <v>1254</v>
      </c>
      <c r="K1599" s="18">
        <f t="shared" si="75"/>
        <v>28.5</v>
      </c>
    </row>
    <row r="1600" spans="1:11" x14ac:dyDescent="0.3">
      <c r="A1600" s="14">
        <v>2023</v>
      </c>
      <c r="B1600" s="14">
        <f t="shared" si="74"/>
        <v>44</v>
      </c>
      <c r="C1600" s="9">
        <v>45229</v>
      </c>
      <c r="D1600" s="9">
        <v>45233</v>
      </c>
      <c r="E1600" s="14">
        <f>VLOOKUP(F1600,CarrierID!A:B,2,0)</f>
        <v>5</v>
      </c>
      <c r="F1600" s="15" t="s">
        <v>1</v>
      </c>
      <c r="G1600" t="str">
        <f>VLOOKUP(F1600,Carrier_Category!A:B,2,0)</f>
        <v>Intercity</v>
      </c>
      <c r="H1600" s="5">
        <v>59</v>
      </c>
      <c r="I1600" s="7">
        <f t="shared" si="76"/>
        <v>44</v>
      </c>
      <c r="J1600" s="5">
        <v>1543</v>
      </c>
      <c r="K1600" s="18">
        <f t="shared" si="75"/>
        <v>26.152542372881356</v>
      </c>
    </row>
    <row r="1601" spans="1:11" x14ac:dyDescent="0.3">
      <c r="A1601" s="14">
        <v>2023</v>
      </c>
      <c r="B1601" s="14">
        <f t="shared" si="74"/>
        <v>44</v>
      </c>
      <c r="C1601" s="9">
        <v>45229</v>
      </c>
      <c r="D1601" s="9">
        <v>45233</v>
      </c>
      <c r="E1601" s="14">
        <f>VLOOKUP(F1601,CarrierID!A:B,2,0)</f>
        <v>8</v>
      </c>
      <c r="F1601" s="15" t="s">
        <v>2</v>
      </c>
      <c r="G1601" t="str">
        <f>VLOOKUP(F1601,Carrier_Category!A:B,2,0)</f>
        <v>Commuter</v>
      </c>
      <c r="H1601" s="5">
        <v>19</v>
      </c>
      <c r="I1601" s="7">
        <f t="shared" si="76"/>
        <v>59</v>
      </c>
      <c r="J1601" s="5">
        <v>780</v>
      </c>
      <c r="K1601" s="18">
        <f t="shared" si="75"/>
        <v>41.05263157894737</v>
      </c>
    </row>
    <row r="1602" spans="1:11" x14ac:dyDescent="0.3">
      <c r="A1602" s="14">
        <v>2023</v>
      </c>
      <c r="B1602" s="14">
        <f t="shared" si="74"/>
        <v>44</v>
      </c>
      <c r="C1602" s="9">
        <v>45229</v>
      </c>
      <c r="D1602" s="9">
        <v>45233</v>
      </c>
      <c r="E1602" s="14">
        <f>VLOOKUP(F1602,CarrierID!A:B,2,0)</f>
        <v>9</v>
      </c>
      <c r="F1602" s="15" t="s">
        <v>3</v>
      </c>
      <c r="G1602" t="str">
        <f>VLOOKUP(F1602,Carrier_Category!A:B,2,0)</f>
        <v>NJT</v>
      </c>
      <c r="H1602" s="5">
        <v>2324</v>
      </c>
      <c r="I1602" s="7">
        <f t="shared" si="76"/>
        <v>19</v>
      </c>
      <c r="J1602" s="5">
        <v>80677</v>
      </c>
      <c r="K1602" s="18">
        <f t="shared" si="75"/>
        <v>34.714716006884679</v>
      </c>
    </row>
    <row r="1603" spans="1:11" x14ac:dyDescent="0.3">
      <c r="A1603" s="14">
        <v>2023</v>
      </c>
      <c r="B1603" s="14">
        <f t="shared" si="74"/>
        <v>44</v>
      </c>
      <c r="C1603" s="9">
        <v>45229</v>
      </c>
      <c r="D1603" s="9">
        <v>45233</v>
      </c>
      <c r="E1603" s="14">
        <f>VLOOKUP(F1603,CarrierID!A:B,2,0)</f>
        <v>7</v>
      </c>
      <c r="F1603" s="15" t="s">
        <v>4</v>
      </c>
      <c r="G1603" t="str">
        <f>VLOOKUP(F1603,Carrier_Category!A:B,2,0)</f>
        <v>Commuter</v>
      </c>
      <c r="H1603" s="5">
        <v>43</v>
      </c>
      <c r="I1603" s="7">
        <f t="shared" si="76"/>
        <v>2419</v>
      </c>
      <c r="J1603" s="5">
        <v>1403</v>
      </c>
      <c r="K1603" s="18">
        <f t="shared" si="75"/>
        <v>32.627906976744185</v>
      </c>
    </row>
    <row r="1604" spans="1:11" x14ac:dyDescent="0.3">
      <c r="A1604" s="14">
        <v>2023</v>
      </c>
      <c r="B1604" s="14">
        <f t="shared" si="74"/>
        <v>44</v>
      </c>
      <c r="C1604" s="9">
        <v>45229</v>
      </c>
      <c r="D1604" s="9">
        <v>45233</v>
      </c>
      <c r="E1604" s="14">
        <f>VLOOKUP(F1604,CarrierID!A:B,2,0)</f>
        <v>11</v>
      </c>
      <c r="F1604" s="15" t="s">
        <v>5</v>
      </c>
      <c r="G1604" t="str">
        <f>VLOOKUP(F1604,Carrier_Category!A:B,2,0)</f>
        <v>Intercity</v>
      </c>
      <c r="H1604" s="5">
        <v>22</v>
      </c>
      <c r="I1604" s="7">
        <f t="shared" si="76"/>
        <v>43</v>
      </c>
      <c r="J1604" s="5">
        <v>535</v>
      </c>
      <c r="K1604" s="18">
        <f t="shared" si="75"/>
        <v>24.318181818181817</v>
      </c>
    </row>
    <row r="1605" spans="1:11" x14ac:dyDescent="0.3">
      <c r="A1605" s="14">
        <v>2023</v>
      </c>
      <c r="B1605" s="14">
        <f t="shared" ref="B1605:B1668" si="77">_xlfn.ISOWEEKNUM(C1605)</f>
        <v>44</v>
      </c>
      <c r="C1605" s="9">
        <v>45229</v>
      </c>
      <c r="D1605" s="9">
        <v>45233</v>
      </c>
      <c r="E1605" s="14">
        <f>VLOOKUP(F1605,CarrierID!A:B,2,0)</f>
        <v>3</v>
      </c>
      <c r="F1605" s="15" t="s">
        <v>6</v>
      </c>
      <c r="G1605" t="str">
        <f>VLOOKUP(F1605,Carrier_Category!A:B,2,0)</f>
        <v>Commuter</v>
      </c>
      <c r="H1605" s="5">
        <v>164</v>
      </c>
      <c r="I1605" s="7">
        <f t="shared" si="76"/>
        <v>22</v>
      </c>
      <c r="J1605" s="5">
        <v>5314</v>
      </c>
      <c r="K1605" s="18">
        <f t="shared" ref="K1605:K1668" si="78">J1605/H1605</f>
        <v>32.402439024390247</v>
      </c>
    </row>
    <row r="1606" spans="1:11" x14ac:dyDescent="0.3">
      <c r="A1606" s="14">
        <v>2023</v>
      </c>
      <c r="B1606" s="14">
        <f t="shared" si="77"/>
        <v>44</v>
      </c>
      <c r="C1606" s="9">
        <v>45229</v>
      </c>
      <c r="D1606" s="9">
        <v>45233</v>
      </c>
      <c r="E1606" s="14">
        <f>VLOOKUP(F1606,CarrierID!A:B,2,0)</f>
        <v>12</v>
      </c>
      <c r="F1606" s="15" t="s">
        <v>25</v>
      </c>
      <c r="G1606" t="str">
        <f>VLOOKUP(F1606,Carrier_Category!A:B,2,0)</f>
        <v>Commuter</v>
      </c>
      <c r="H1606" s="5">
        <v>24</v>
      </c>
      <c r="I1606" s="7">
        <f t="shared" si="76"/>
        <v>162</v>
      </c>
      <c r="J1606" s="5">
        <v>662</v>
      </c>
      <c r="K1606" s="18">
        <f t="shared" si="78"/>
        <v>27.583333333333332</v>
      </c>
    </row>
    <row r="1607" spans="1:11" x14ac:dyDescent="0.3">
      <c r="A1607" s="14">
        <v>2023</v>
      </c>
      <c r="B1607" s="14">
        <f t="shared" si="77"/>
        <v>44</v>
      </c>
      <c r="C1607" s="9">
        <v>45229</v>
      </c>
      <c r="D1607" s="9">
        <v>45233</v>
      </c>
      <c r="E1607" s="14">
        <f>VLOOKUP(F1607,CarrierID!A:B,2,0)</f>
        <v>10</v>
      </c>
      <c r="F1607" s="15" t="s">
        <v>8</v>
      </c>
      <c r="G1607" t="str">
        <f>VLOOKUP(F1607,Carrier_Category!A:B,2,0)</f>
        <v>Intercity</v>
      </c>
      <c r="H1607" s="5">
        <v>23</v>
      </c>
      <c r="I1607" s="7">
        <f t="shared" si="76"/>
        <v>23</v>
      </c>
      <c r="J1607" s="5">
        <v>745</v>
      </c>
      <c r="K1607" s="18">
        <f t="shared" si="78"/>
        <v>32.391304347826086</v>
      </c>
    </row>
    <row r="1608" spans="1:11" x14ac:dyDescent="0.3">
      <c r="A1608" s="14">
        <v>2023</v>
      </c>
      <c r="B1608" s="14">
        <f t="shared" si="77"/>
        <v>44</v>
      </c>
      <c r="C1608" s="9">
        <v>45229</v>
      </c>
      <c r="D1608" s="9">
        <v>45233</v>
      </c>
      <c r="E1608" s="14">
        <f>VLOOKUP(F1608,CarrierID!A:B,2,0)</f>
        <v>6</v>
      </c>
      <c r="F1608" s="15" t="s">
        <v>9</v>
      </c>
      <c r="G1608" t="str">
        <f>VLOOKUP(F1608,Carrier_Category!A:B,2,0)</f>
        <v>Commuter</v>
      </c>
      <c r="H1608" s="5">
        <v>89</v>
      </c>
      <c r="I1608" s="7">
        <f t="shared" si="76"/>
        <v>23</v>
      </c>
      <c r="J1608" s="5">
        <v>1560</v>
      </c>
      <c r="K1608" s="18">
        <f t="shared" si="78"/>
        <v>17.528089887640448</v>
      </c>
    </row>
    <row r="1609" spans="1:11" x14ac:dyDescent="0.3">
      <c r="A1609" s="14">
        <v>2023</v>
      </c>
      <c r="B1609" s="14">
        <f t="shared" si="77"/>
        <v>45</v>
      </c>
      <c r="C1609" s="9">
        <v>45236</v>
      </c>
      <c r="D1609" s="9">
        <v>45261</v>
      </c>
      <c r="E1609" s="14">
        <f>VLOOKUP(F1609,CarrierID!A:B,2,0)</f>
        <v>1</v>
      </c>
      <c r="F1609" s="15" t="s">
        <v>0</v>
      </c>
      <c r="G1609" t="str">
        <f>VLOOKUP(F1609,Carrier_Category!A:B,2,0)</f>
        <v>Commuter</v>
      </c>
      <c r="H1609" s="5">
        <v>44</v>
      </c>
      <c r="I1609" s="7">
        <f t="shared" si="76"/>
        <v>89</v>
      </c>
      <c r="J1609" s="5">
        <v>1254</v>
      </c>
      <c r="K1609" s="18">
        <f t="shared" si="78"/>
        <v>28.5</v>
      </c>
    </row>
    <row r="1610" spans="1:11" x14ac:dyDescent="0.3">
      <c r="A1610" s="14">
        <v>2023</v>
      </c>
      <c r="B1610" s="14">
        <f t="shared" si="77"/>
        <v>45</v>
      </c>
      <c r="C1610" s="9">
        <v>45236</v>
      </c>
      <c r="D1610" s="9">
        <v>45261</v>
      </c>
      <c r="E1610" s="14">
        <f>VLOOKUP(F1610,CarrierID!A:B,2,0)</f>
        <v>5</v>
      </c>
      <c r="F1610" s="15" t="s">
        <v>1</v>
      </c>
      <c r="G1610" t="str">
        <f>VLOOKUP(F1610,Carrier_Category!A:B,2,0)</f>
        <v>Intercity</v>
      </c>
      <c r="H1610" s="5">
        <v>60</v>
      </c>
      <c r="I1610" s="7">
        <f t="shared" si="76"/>
        <v>44</v>
      </c>
      <c r="J1610" s="5">
        <v>1536</v>
      </c>
      <c r="K1610" s="18">
        <f t="shared" si="78"/>
        <v>25.6</v>
      </c>
    </row>
    <row r="1611" spans="1:11" x14ac:dyDescent="0.3">
      <c r="A1611" s="14">
        <v>2023</v>
      </c>
      <c r="B1611" s="14">
        <f t="shared" si="77"/>
        <v>45</v>
      </c>
      <c r="C1611" s="9">
        <v>45236</v>
      </c>
      <c r="D1611" s="9">
        <v>45261</v>
      </c>
      <c r="E1611" s="14">
        <f>VLOOKUP(F1611,CarrierID!A:B,2,0)</f>
        <v>8</v>
      </c>
      <c r="F1611" s="15" t="s">
        <v>2</v>
      </c>
      <c r="G1611" t="str">
        <f>VLOOKUP(F1611,Carrier_Category!A:B,2,0)</f>
        <v>Commuter</v>
      </c>
      <c r="H1611" s="5">
        <v>19</v>
      </c>
      <c r="I1611" s="7">
        <f t="shared" si="76"/>
        <v>59</v>
      </c>
      <c r="J1611" s="5">
        <v>741</v>
      </c>
      <c r="K1611" s="18">
        <f t="shared" si="78"/>
        <v>39</v>
      </c>
    </row>
    <row r="1612" spans="1:11" x14ac:dyDescent="0.3">
      <c r="A1612" s="14">
        <v>2023</v>
      </c>
      <c r="B1612" s="14">
        <f t="shared" si="77"/>
        <v>45</v>
      </c>
      <c r="C1612" s="9">
        <v>45236</v>
      </c>
      <c r="D1612" s="9">
        <v>45261</v>
      </c>
      <c r="E1612" s="14">
        <f>VLOOKUP(F1612,CarrierID!A:B,2,0)</f>
        <v>9</v>
      </c>
      <c r="F1612" s="15" t="s">
        <v>3</v>
      </c>
      <c r="G1612" t="str">
        <f>VLOOKUP(F1612,Carrier_Category!A:B,2,0)</f>
        <v>NJT</v>
      </c>
      <c r="H1612" s="5">
        <v>2381</v>
      </c>
      <c r="I1612" s="7">
        <f t="shared" si="76"/>
        <v>19</v>
      </c>
      <c r="J1612" s="5">
        <v>81608</v>
      </c>
      <c r="K1612" s="18">
        <f t="shared" si="78"/>
        <v>34.274674506509868</v>
      </c>
    </row>
    <row r="1613" spans="1:11" x14ac:dyDescent="0.3">
      <c r="A1613" s="14">
        <v>2023</v>
      </c>
      <c r="B1613" s="14">
        <f t="shared" si="77"/>
        <v>45</v>
      </c>
      <c r="C1613" s="9">
        <v>45236</v>
      </c>
      <c r="D1613" s="9">
        <v>45261</v>
      </c>
      <c r="E1613" s="14">
        <f>VLOOKUP(F1613,CarrierID!A:B,2,0)</f>
        <v>7</v>
      </c>
      <c r="F1613" s="15" t="s">
        <v>4</v>
      </c>
      <c r="G1613" t="str">
        <f>VLOOKUP(F1613,Carrier_Category!A:B,2,0)</f>
        <v>Commuter</v>
      </c>
      <c r="H1613" s="5">
        <v>43</v>
      </c>
      <c r="I1613" s="7">
        <f t="shared" ref="I1613:I1676" si="79">H1602</f>
        <v>2324</v>
      </c>
      <c r="J1613" s="5">
        <v>1403</v>
      </c>
      <c r="K1613" s="18">
        <f t="shared" si="78"/>
        <v>32.627906976744185</v>
      </c>
    </row>
    <row r="1614" spans="1:11" x14ac:dyDescent="0.3">
      <c r="A1614" s="14">
        <v>2023</v>
      </c>
      <c r="B1614" s="14">
        <f t="shared" si="77"/>
        <v>45</v>
      </c>
      <c r="C1614" s="9">
        <v>45236</v>
      </c>
      <c r="D1614" s="9">
        <v>45261</v>
      </c>
      <c r="E1614" s="14">
        <f>VLOOKUP(F1614,CarrierID!A:B,2,0)</f>
        <v>11</v>
      </c>
      <c r="F1614" s="15" t="s">
        <v>5</v>
      </c>
      <c r="G1614" t="str">
        <f>VLOOKUP(F1614,Carrier_Category!A:B,2,0)</f>
        <v>Intercity</v>
      </c>
      <c r="H1614" s="5">
        <v>22</v>
      </c>
      <c r="I1614" s="7">
        <f t="shared" si="79"/>
        <v>43</v>
      </c>
      <c r="J1614" s="5">
        <v>456</v>
      </c>
      <c r="K1614" s="18">
        <f t="shared" si="78"/>
        <v>20.727272727272727</v>
      </c>
    </row>
    <row r="1615" spans="1:11" x14ac:dyDescent="0.3">
      <c r="A1615" s="14">
        <v>2023</v>
      </c>
      <c r="B1615" s="14">
        <f t="shared" si="77"/>
        <v>45</v>
      </c>
      <c r="C1615" s="9">
        <v>45236</v>
      </c>
      <c r="D1615" s="9">
        <v>45261</v>
      </c>
      <c r="E1615" s="14">
        <f>VLOOKUP(F1615,CarrierID!A:B,2,0)</f>
        <v>3</v>
      </c>
      <c r="F1615" s="15" t="s">
        <v>6</v>
      </c>
      <c r="G1615" t="str">
        <f>VLOOKUP(F1615,Carrier_Category!A:B,2,0)</f>
        <v>Commuter</v>
      </c>
      <c r="H1615" s="5">
        <v>164</v>
      </c>
      <c r="I1615" s="7">
        <f t="shared" si="79"/>
        <v>22</v>
      </c>
      <c r="J1615" s="5">
        <v>5156</v>
      </c>
      <c r="K1615" s="18">
        <f t="shared" si="78"/>
        <v>31.439024390243901</v>
      </c>
    </row>
    <row r="1616" spans="1:11" x14ac:dyDescent="0.3">
      <c r="A1616" s="14">
        <v>2023</v>
      </c>
      <c r="B1616" s="14">
        <f t="shared" si="77"/>
        <v>45</v>
      </c>
      <c r="C1616" s="9">
        <v>45236</v>
      </c>
      <c r="D1616" s="9">
        <v>45261</v>
      </c>
      <c r="E1616" s="14">
        <f>VLOOKUP(F1616,CarrierID!A:B,2,0)</f>
        <v>12</v>
      </c>
      <c r="F1616" s="15" t="s">
        <v>25</v>
      </c>
      <c r="G1616" t="str">
        <f>VLOOKUP(F1616,Carrier_Category!A:B,2,0)</f>
        <v>Commuter</v>
      </c>
      <c r="H1616" s="5">
        <v>23</v>
      </c>
      <c r="I1616" s="7">
        <f t="shared" si="79"/>
        <v>164</v>
      </c>
      <c r="J1616" s="5">
        <v>691</v>
      </c>
      <c r="K1616" s="18">
        <f t="shared" si="78"/>
        <v>30.043478260869566</v>
      </c>
    </row>
    <row r="1617" spans="1:11" x14ac:dyDescent="0.3">
      <c r="A1617" s="14">
        <v>2023</v>
      </c>
      <c r="B1617" s="14">
        <f t="shared" si="77"/>
        <v>45</v>
      </c>
      <c r="C1617" s="9">
        <v>45236</v>
      </c>
      <c r="D1617" s="9">
        <v>45261</v>
      </c>
      <c r="E1617" s="14">
        <f>VLOOKUP(F1617,CarrierID!A:B,2,0)</f>
        <v>10</v>
      </c>
      <c r="F1617" s="15" t="s">
        <v>8</v>
      </c>
      <c r="G1617" t="str">
        <f>VLOOKUP(F1617,Carrier_Category!A:B,2,0)</f>
        <v>Intercity</v>
      </c>
      <c r="H1617" s="5">
        <v>22</v>
      </c>
      <c r="I1617" s="7">
        <f t="shared" si="79"/>
        <v>24</v>
      </c>
      <c r="J1617" s="5">
        <v>594</v>
      </c>
      <c r="K1617" s="18">
        <f t="shared" si="78"/>
        <v>27</v>
      </c>
    </row>
    <row r="1618" spans="1:11" x14ac:dyDescent="0.3">
      <c r="A1618" s="14">
        <v>2023</v>
      </c>
      <c r="B1618" s="14">
        <f t="shared" si="77"/>
        <v>45</v>
      </c>
      <c r="C1618" s="9">
        <v>45236</v>
      </c>
      <c r="D1618" s="9">
        <v>45261</v>
      </c>
      <c r="E1618" s="14">
        <f>VLOOKUP(F1618,CarrierID!A:B,2,0)</f>
        <v>6</v>
      </c>
      <c r="F1618" s="15" t="s">
        <v>9</v>
      </c>
      <c r="G1618" t="str">
        <f>VLOOKUP(F1618,Carrier_Category!A:B,2,0)</f>
        <v>Commuter</v>
      </c>
      <c r="H1618" s="5">
        <v>85</v>
      </c>
      <c r="I1618" s="7">
        <f t="shared" si="79"/>
        <v>23</v>
      </c>
      <c r="J1618" s="5">
        <v>1509</v>
      </c>
      <c r="K1618" s="18">
        <f t="shared" si="78"/>
        <v>17.752941176470589</v>
      </c>
    </row>
    <row r="1619" spans="1:11" x14ac:dyDescent="0.3">
      <c r="A1619" s="14">
        <v>2023</v>
      </c>
      <c r="B1619" s="14">
        <f t="shared" si="77"/>
        <v>46</v>
      </c>
      <c r="C1619" s="9">
        <v>45243</v>
      </c>
      <c r="D1619" s="9">
        <v>45268</v>
      </c>
      <c r="E1619" s="14">
        <f>VLOOKUP(F1619,CarrierID!A:B,2,0)</f>
        <v>1</v>
      </c>
      <c r="F1619" s="15" t="s">
        <v>0</v>
      </c>
      <c r="G1619" t="str">
        <f>VLOOKUP(F1619,Carrier_Category!A:B,2,0)</f>
        <v>Commuter</v>
      </c>
      <c r="H1619" s="5">
        <v>43</v>
      </c>
      <c r="I1619" s="7">
        <f t="shared" si="79"/>
        <v>89</v>
      </c>
      <c r="J1619" s="5">
        <v>1233</v>
      </c>
      <c r="K1619" s="18">
        <f t="shared" si="78"/>
        <v>28.674418604651162</v>
      </c>
    </row>
    <row r="1620" spans="1:11" x14ac:dyDescent="0.3">
      <c r="A1620" s="14">
        <v>2023</v>
      </c>
      <c r="B1620" s="14">
        <f t="shared" si="77"/>
        <v>46</v>
      </c>
      <c r="C1620" s="9">
        <v>45243</v>
      </c>
      <c r="D1620" s="9">
        <v>45268</v>
      </c>
      <c r="E1620" s="14">
        <f>VLOOKUP(F1620,CarrierID!A:B,2,0)</f>
        <v>5</v>
      </c>
      <c r="F1620" s="15" t="s">
        <v>1</v>
      </c>
      <c r="G1620" t="str">
        <f>VLOOKUP(F1620,Carrier_Category!A:B,2,0)</f>
        <v>Intercity</v>
      </c>
      <c r="H1620" s="5">
        <v>61</v>
      </c>
      <c r="I1620" s="7">
        <f t="shared" si="79"/>
        <v>44</v>
      </c>
      <c r="J1620" s="5">
        <v>1491</v>
      </c>
      <c r="K1620" s="18">
        <f t="shared" si="78"/>
        <v>24.442622950819672</v>
      </c>
    </row>
    <row r="1621" spans="1:11" x14ac:dyDescent="0.3">
      <c r="A1621" s="14">
        <v>2023</v>
      </c>
      <c r="B1621" s="14">
        <f t="shared" si="77"/>
        <v>46</v>
      </c>
      <c r="C1621" s="9">
        <v>45243</v>
      </c>
      <c r="D1621" s="9">
        <v>45268</v>
      </c>
      <c r="E1621" s="14">
        <f>VLOOKUP(F1621,CarrierID!A:B,2,0)</f>
        <v>8</v>
      </c>
      <c r="F1621" s="15" t="s">
        <v>2</v>
      </c>
      <c r="G1621" t="str">
        <f>VLOOKUP(F1621,Carrier_Category!A:B,2,0)</f>
        <v>Commuter</v>
      </c>
      <c r="H1621" s="5">
        <v>19</v>
      </c>
      <c r="I1621" s="7">
        <f t="shared" si="79"/>
        <v>60</v>
      </c>
      <c r="J1621" s="5">
        <v>725</v>
      </c>
      <c r="K1621" s="18">
        <f t="shared" si="78"/>
        <v>38.157894736842103</v>
      </c>
    </row>
    <row r="1622" spans="1:11" x14ac:dyDescent="0.3">
      <c r="A1622" s="14">
        <v>2023</v>
      </c>
      <c r="B1622" s="14">
        <f t="shared" si="77"/>
        <v>46</v>
      </c>
      <c r="C1622" s="9">
        <v>45243</v>
      </c>
      <c r="D1622" s="9">
        <v>45268</v>
      </c>
      <c r="E1622" s="14">
        <f>VLOOKUP(F1622,CarrierID!A:B,2,0)</f>
        <v>9</v>
      </c>
      <c r="F1622" s="15" t="s">
        <v>3</v>
      </c>
      <c r="G1622" t="str">
        <f>VLOOKUP(F1622,Carrier_Category!A:B,2,0)</f>
        <v>NJT</v>
      </c>
      <c r="H1622" s="5">
        <v>2380</v>
      </c>
      <c r="I1622" s="7">
        <f t="shared" si="79"/>
        <v>19</v>
      </c>
      <c r="J1622" s="5">
        <v>79141</v>
      </c>
      <c r="K1622" s="18">
        <f t="shared" si="78"/>
        <v>33.252521008403363</v>
      </c>
    </row>
    <row r="1623" spans="1:11" x14ac:dyDescent="0.3">
      <c r="A1623" s="14">
        <v>2023</v>
      </c>
      <c r="B1623" s="14">
        <f t="shared" si="77"/>
        <v>46</v>
      </c>
      <c r="C1623" s="9">
        <v>45243</v>
      </c>
      <c r="D1623" s="9">
        <v>45268</v>
      </c>
      <c r="E1623" s="14">
        <f>VLOOKUP(F1623,CarrierID!A:B,2,0)</f>
        <v>7</v>
      </c>
      <c r="F1623" s="15" t="s">
        <v>4</v>
      </c>
      <c r="G1623" t="str">
        <f>VLOOKUP(F1623,Carrier_Category!A:B,2,0)</f>
        <v>Commuter</v>
      </c>
      <c r="H1623" s="5">
        <v>43</v>
      </c>
      <c r="I1623" s="7">
        <f t="shared" si="79"/>
        <v>2381</v>
      </c>
      <c r="J1623" s="5">
        <v>1380</v>
      </c>
      <c r="K1623" s="18">
        <f t="shared" si="78"/>
        <v>32.093023255813954</v>
      </c>
    </row>
    <row r="1624" spans="1:11" x14ac:dyDescent="0.3">
      <c r="A1624" s="14">
        <v>2023</v>
      </c>
      <c r="B1624" s="14">
        <f t="shared" si="77"/>
        <v>46</v>
      </c>
      <c r="C1624" s="9">
        <v>45243</v>
      </c>
      <c r="D1624" s="9">
        <v>45268</v>
      </c>
      <c r="E1624" s="14">
        <f>VLOOKUP(F1624,CarrierID!A:B,2,0)</f>
        <v>11</v>
      </c>
      <c r="F1624" s="15" t="s">
        <v>5</v>
      </c>
      <c r="G1624" t="str">
        <f>VLOOKUP(F1624,Carrier_Category!A:B,2,0)</f>
        <v>Intercity</v>
      </c>
      <c r="H1624" s="5">
        <v>23</v>
      </c>
      <c r="I1624" s="7">
        <f t="shared" si="79"/>
        <v>43</v>
      </c>
      <c r="J1624" s="5">
        <v>575</v>
      </c>
      <c r="K1624" s="18">
        <f t="shared" si="78"/>
        <v>25</v>
      </c>
    </row>
    <row r="1625" spans="1:11" x14ac:dyDescent="0.3">
      <c r="A1625" s="14">
        <v>2023</v>
      </c>
      <c r="B1625" s="14">
        <f t="shared" si="77"/>
        <v>46</v>
      </c>
      <c r="C1625" s="9">
        <v>45243</v>
      </c>
      <c r="D1625" s="9">
        <v>45268</v>
      </c>
      <c r="E1625" s="14">
        <f>VLOOKUP(F1625,CarrierID!A:B,2,0)</f>
        <v>3</v>
      </c>
      <c r="F1625" s="15" t="s">
        <v>6</v>
      </c>
      <c r="G1625" t="str">
        <f>VLOOKUP(F1625,Carrier_Category!A:B,2,0)</f>
        <v>Commuter</v>
      </c>
      <c r="H1625" s="5">
        <v>163</v>
      </c>
      <c r="I1625" s="7">
        <f t="shared" si="79"/>
        <v>22</v>
      </c>
      <c r="J1625" s="5">
        <v>5335</v>
      </c>
      <c r="K1625" s="18">
        <f t="shared" si="78"/>
        <v>32.730061349693251</v>
      </c>
    </row>
    <row r="1626" spans="1:11" x14ac:dyDescent="0.3">
      <c r="A1626" s="14">
        <v>2023</v>
      </c>
      <c r="B1626" s="14">
        <f t="shared" si="77"/>
        <v>46</v>
      </c>
      <c r="C1626" s="9">
        <v>45243</v>
      </c>
      <c r="D1626" s="9">
        <v>45268</v>
      </c>
      <c r="E1626" s="14">
        <f>VLOOKUP(F1626,CarrierID!A:B,2,0)</f>
        <v>12</v>
      </c>
      <c r="F1626" s="15" t="s">
        <v>25</v>
      </c>
      <c r="G1626" t="str">
        <f>VLOOKUP(F1626,Carrier_Category!A:B,2,0)</f>
        <v>Commuter</v>
      </c>
      <c r="H1626" s="5">
        <v>24</v>
      </c>
      <c r="I1626" s="7">
        <f t="shared" si="79"/>
        <v>164</v>
      </c>
      <c r="J1626" s="5">
        <v>692</v>
      </c>
      <c r="K1626" s="18">
        <f t="shared" si="78"/>
        <v>28.833333333333332</v>
      </c>
    </row>
    <row r="1627" spans="1:11" x14ac:dyDescent="0.3">
      <c r="A1627" s="14">
        <v>2023</v>
      </c>
      <c r="B1627" s="14">
        <f t="shared" si="77"/>
        <v>46</v>
      </c>
      <c r="C1627" s="9">
        <v>45243</v>
      </c>
      <c r="D1627" s="9">
        <v>45268</v>
      </c>
      <c r="E1627" s="14">
        <f>VLOOKUP(F1627,CarrierID!A:B,2,0)</f>
        <v>10</v>
      </c>
      <c r="F1627" s="15" t="s">
        <v>8</v>
      </c>
      <c r="G1627" t="str">
        <f>VLOOKUP(F1627,Carrier_Category!A:B,2,0)</f>
        <v>Intercity</v>
      </c>
      <c r="H1627" s="5">
        <v>23</v>
      </c>
      <c r="I1627" s="7">
        <f t="shared" si="79"/>
        <v>23</v>
      </c>
      <c r="J1627" s="5">
        <v>745</v>
      </c>
      <c r="K1627" s="18">
        <f t="shared" si="78"/>
        <v>32.391304347826086</v>
      </c>
    </row>
    <row r="1628" spans="1:11" x14ac:dyDescent="0.3">
      <c r="A1628" s="14">
        <v>2023</v>
      </c>
      <c r="B1628" s="14">
        <f t="shared" si="77"/>
        <v>46</v>
      </c>
      <c r="C1628" s="9">
        <v>45243</v>
      </c>
      <c r="D1628" s="9">
        <v>45268</v>
      </c>
      <c r="E1628" s="14">
        <f>VLOOKUP(F1628,CarrierID!A:B,2,0)</f>
        <v>6</v>
      </c>
      <c r="F1628" s="15" t="s">
        <v>9</v>
      </c>
      <c r="G1628" t="str">
        <f>VLOOKUP(F1628,Carrier_Category!A:B,2,0)</f>
        <v>Commuter</v>
      </c>
      <c r="H1628" s="5">
        <v>85</v>
      </c>
      <c r="I1628" s="7">
        <f t="shared" si="79"/>
        <v>22</v>
      </c>
      <c r="J1628" s="5">
        <v>1457</v>
      </c>
      <c r="K1628" s="18">
        <f t="shared" si="78"/>
        <v>17.141176470588235</v>
      </c>
    </row>
    <row r="1629" spans="1:11" x14ac:dyDescent="0.3">
      <c r="A1629" s="14">
        <v>2023</v>
      </c>
      <c r="B1629" s="14">
        <f t="shared" si="77"/>
        <v>47</v>
      </c>
      <c r="C1629" s="9">
        <v>45250</v>
      </c>
      <c r="D1629" s="9">
        <v>45265</v>
      </c>
      <c r="E1629" s="14">
        <f>VLOOKUP(F1629,CarrierID!A:B,2,0)</f>
        <v>1</v>
      </c>
      <c r="F1629" s="15" t="s">
        <v>0</v>
      </c>
      <c r="G1629" t="str">
        <f>VLOOKUP(F1629,Carrier_Category!A:B,2,0)</f>
        <v>Commuter</v>
      </c>
      <c r="H1629" s="5">
        <v>40</v>
      </c>
      <c r="I1629" s="7">
        <f t="shared" si="79"/>
        <v>85</v>
      </c>
      <c r="J1629" s="5">
        <v>1073</v>
      </c>
      <c r="K1629" s="18">
        <f t="shared" si="78"/>
        <v>26.824999999999999</v>
      </c>
    </row>
    <row r="1630" spans="1:11" x14ac:dyDescent="0.3">
      <c r="A1630" s="14">
        <v>2023</v>
      </c>
      <c r="B1630" s="14">
        <f t="shared" si="77"/>
        <v>47</v>
      </c>
      <c r="C1630" s="9">
        <v>45250</v>
      </c>
      <c r="D1630" s="9">
        <v>45265</v>
      </c>
      <c r="E1630" s="14">
        <f>VLOOKUP(F1630,CarrierID!A:B,2,0)</f>
        <v>5</v>
      </c>
      <c r="F1630" s="15" t="s">
        <v>1</v>
      </c>
      <c r="G1630" t="str">
        <f>VLOOKUP(F1630,Carrier_Category!A:B,2,0)</f>
        <v>Intercity</v>
      </c>
      <c r="H1630" s="5">
        <v>60</v>
      </c>
      <c r="I1630" s="7">
        <f t="shared" si="79"/>
        <v>43</v>
      </c>
      <c r="J1630" s="5">
        <v>1981</v>
      </c>
      <c r="K1630" s="18">
        <f t="shared" si="78"/>
        <v>33.016666666666666</v>
      </c>
    </row>
    <row r="1631" spans="1:11" x14ac:dyDescent="0.3">
      <c r="A1631" s="14">
        <v>2023</v>
      </c>
      <c r="B1631" s="14">
        <f t="shared" si="77"/>
        <v>47</v>
      </c>
      <c r="C1631" s="9">
        <v>45250</v>
      </c>
      <c r="D1631" s="9">
        <v>45265</v>
      </c>
      <c r="E1631" s="14">
        <f>VLOOKUP(F1631,CarrierID!A:B,2,0)</f>
        <v>8</v>
      </c>
      <c r="F1631" s="15" t="s">
        <v>2</v>
      </c>
      <c r="G1631" t="str">
        <f>VLOOKUP(F1631,Carrier_Category!A:B,2,0)</f>
        <v>Commuter</v>
      </c>
      <c r="H1631" s="5">
        <v>18</v>
      </c>
      <c r="I1631" s="7">
        <f t="shared" si="79"/>
        <v>61</v>
      </c>
      <c r="J1631" s="5">
        <v>821</v>
      </c>
      <c r="K1631" s="18">
        <f t="shared" si="78"/>
        <v>45.611111111111114</v>
      </c>
    </row>
    <row r="1632" spans="1:11" x14ac:dyDescent="0.3">
      <c r="A1632" s="14">
        <v>2023</v>
      </c>
      <c r="B1632" s="14">
        <f t="shared" si="77"/>
        <v>47</v>
      </c>
      <c r="C1632" s="9">
        <v>45250</v>
      </c>
      <c r="D1632" s="9">
        <v>45265</v>
      </c>
      <c r="E1632" s="14">
        <f>VLOOKUP(F1632,CarrierID!A:B,2,0)</f>
        <v>9</v>
      </c>
      <c r="F1632" s="15" t="s">
        <v>3</v>
      </c>
      <c r="G1632" t="str">
        <f>VLOOKUP(F1632,Carrier_Category!A:B,2,0)</f>
        <v>NJT</v>
      </c>
      <c r="H1632" s="5">
        <v>2358</v>
      </c>
      <c r="I1632" s="7">
        <f t="shared" si="79"/>
        <v>19</v>
      </c>
      <c r="J1632" s="5">
        <v>64572</v>
      </c>
      <c r="K1632" s="18">
        <f t="shared" si="78"/>
        <v>27.384223918575064</v>
      </c>
    </row>
    <row r="1633" spans="1:11" x14ac:dyDescent="0.3">
      <c r="A1633" s="14">
        <v>2023</v>
      </c>
      <c r="B1633" s="14">
        <f t="shared" si="77"/>
        <v>47</v>
      </c>
      <c r="C1633" s="9">
        <v>45250</v>
      </c>
      <c r="D1633" s="9">
        <v>45265</v>
      </c>
      <c r="E1633" s="14">
        <f>VLOOKUP(F1633,CarrierID!A:B,2,0)</f>
        <v>7</v>
      </c>
      <c r="F1633" s="15" t="s">
        <v>4</v>
      </c>
      <c r="G1633" t="str">
        <f>VLOOKUP(F1633,Carrier_Category!A:B,2,0)</f>
        <v>Commuter</v>
      </c>
      <c r="H1633" s="5">
        <v>43</v>
      </c>
      <c r="I1633" s="7">
        <f t="shared" si="79"/>
        <v>2380</v>
      </c>
      <c r="J1633" s="5">
        <v>1380</v>
      </c>
      <c r="K1633" s="18">
        <f t="shared" si="78"/>
        <v>32.093023255813954</v>
      </c>
    </row>
    <row r="1634" spans="1:11" x14ac:dyDescent="0.3">
      <c r="A1634" s="14">
        <v>2023</v>
      </c>
      <c r="B1634" s="14">
        <f t="shared" si="77"/>
        <v>47</v>
      </c>
      <c r="C1634" s="9">
        <v>45250</v>
      </c>
      <c r="D1634" s="9">
        <v>45265</v>
      </c>
      <c r="E1634" s="14">
        <f>VLOOKUP(F1634,CarrierID!A:B,2,0)</f>
        <v>11</v>
      </c>
      <c r="F1634" s="15" t="s">
        <v>5</v>
      </c>
      <c r="G1634" t="str">
        <f>VLOOKUP(F1634,Carrier_Category!A:B,2,0)</f>
        <v>Intercity</v>
      </c>
      <c r="H1634" s="5">
        <v>28</v>
      </c>
      <c r="I1634" s="7">
        <f t="shared" si="79"/>
        <v>43</v>
      </c>
      <c r="J1634" s="5">
        <v>818</v>
      </c>
      <c r="K1634" s="18">
        <f t="shared" si="78"/>
        <v>29.214285714285715</v>
      </c>
    </row>
    <row r="1635" spans="1:11" x14ac:dyDescent="0.3">
      <c r="A1635" s="14">
        <v>2023</v>
      </c>
      <c r="B1635" s="14">
        <f t="shared" si="77"/>
        <v>47</v>
      </c>
      <c r="C1635" s="9">
        <v>45250</v>
      </c>
      <c r="D1635" s="9">
        <v>45265</v>
      </c>
      <c r="E1635" s="14">
        <f>VLOOKUP(F1635,CarrierID!A:B,2,0)</f>
        <v>3</v>
      </c>
      <c r="F1635" s="15" t="s">
        <v>6</v>
      </c>
      <c r="G1635" t="str">
        <f>VLOOKUP(F1635,Carrier_Category!A:B,2,0)</f>
        <v>Commuter</v>
      </c>
      <c r="H1635" s="5">
        <v>134</v>
      </c>
      <c r="I1635" s="7">
        <f t="shared" si="79"/>
        <v>23</v>
      </c>
      <c r="J1635" s="5">
        <v>3895</v>
      </c>
      <c r="K1635" s="18">
        <f t="shared" si="78"/>
        <v>29.067164179104477</v>
      </c>
    </row>
    <row r="1636" spans="1:11" x14ac:dyDescent="0.3">
      <c r="A1636" s="14">
        <v>2023</v>
      </c>
      <c r="B1636" s="14">
        <f t="shared" si="77"/>
        <v>47</v>
      </c>
      <c r="C1636" s="9">
        <v>45250</v>
      </c>
      <c r="D1636" s="9">
        <v>45265</v>
      </c>
      <c r="E1636" s="14">
        <f>VLOOKUP(F1636,CarrierID!A:B,2,0)</f>
        <v>12</v>
      </c>
      <c r="F1636" s="15" t="s">
        <v>25</v>
      </c>
      <c r="G1636" t="str">
        <f>VLOOKUP(F1636,Carrier_Category!A:B,2,0)</f>
        <v>Commuter</v>
      </c>
      <c r="H1636" s="5">
        <v>23</v>
      </c>
      <c r="I1636" s="7">
        <f t="shared" si="79"/>
        <v>163</v>
      </c>
      <c r="J1636" s="5">
        <v>713</v>
      </c>
      <c r="K1636" s="18">
        <f t="shared" si="78"/>
        <v>31</v>
      </c>
    </row>
    <row r="1637" spans="1:11" x14ac:dyDescent="0.3">
      <c r="A1637" s="14">
        <v>2023</v>
      </c>
      <c r="B1637" s="14">
        <f t="shared" si="77"/>
        <v>47</v>
      </c>
      <c r="C1637" s="9">
        <v>45250</v>
      </c>
      <c r="D1637" s="9">
        <v>45265</v>
      </c>
      <c r="E1637" s="14">
        <f>VLOOKUP(F1637,CarrierID!A:B,2,0)</f>
        <v>10</v>
      </c>
      <c r="F1637" s="15" t="s">
        <v>8</v>
      </c>
      <c r="G1637" t="str">
        <f>VLOOKUP(F1637,Carrier_Category!A:B,2,0)</f>
        <v>Intercity</v>
      </c>
      <c r="H1637" s="5">
        <v>23</v>
      </c>
      <c r="I1637" s="7">
        <f t="shared" si="79"/>
        <v>24</v>
      </c>
      <c r="J1637" s="5">
        <v>745</v>
      </c>
      <c r="K1637" s="18">
        <f t="shared" si="78"/>
        <v>32.391304347826086</v>
      </c>
    </row>
    <row r="1638" spans="1:11" x14ac:dyDescent="0.3">
      <c r="A1638" s="14">
        <v>2023</v>
      </c>
      <c r="B1638" s="14">
        <f t="shared" si="77"/>
        <v>47</v>
      </c>
      <c r="C1638" s="9">
        <v>45250</v>
      </c>
      <c r="D1638" s="9">
        <v>45265</v>
      </c>
      <c r="E1638" s="14">
        <f>VLOOKUP(F1638,CarrierID!A:B,2,0)</f>
        <v>6</v>
      </c>
      <c r="F1638" s="15" t="s">
        <v>9</v>
      </c>
      <c r="G1638" t="str">
        <f>VLOOKUP(F1638,Carrier_Category!A:B,2,0)</f>
        <v>Commuter</v>
      </c>
      <c r="H1638" s="5">
        <v>85</v>
      </c>
      <c r="I1638" s="7">
        <f t="shared" si="79"/>
        <v>23</v>
      </c>
      <c r="J1638" s="5">
        <v>1457</v>
      </c>
      <c r="K1638" s="18">
        <f t="shared" si="78"/>
        <v>17.141176470588235</v>
      </c>
    </row>
    <row r="1639" spans="1:11" x14ac:dyDescent="0.3">
      <c r="A1639" s="14">
        <v>2023</v>
      </c>
      <c r="B1639" s="14">
        <f t="shared" si="77"/>
        <v>48</v>
      </c>
      <c r="C1639" s="9">
        <v>45257</v>
      </c>
      <c r="D1639" s="9">
        <v>45261</v>
      </c>
      <c r="E1639" s="14">
        <f>VLOOKUP(F1639,CarrierID!A:B,2,0)</f>
        <v>1</v>
      </c>
      <c r="F1639" s="15" t="s">
        <v>0</v>
      </c>
      <c r="G1639" t="str">
        <f>VLOOKUP(F1639,Carrier_Category!A:B,2,0)</f>
        <v>Commuter</v>
      </c>
      <c r="H1639" s="5">
        <v>44</v>
      </c>
      <c r="I1639" s="7">
        <f t="shared" si="79"/>
        <v>85</v>
      </c>
      <c r="J1639" s="5">
        <v>1266</v>
      </c>
      <c r="K1639" s="18">
        <f t="shared" si="78"/>
        <v>28.772727272727273</v>
      </c>
    </row>
    <row r="1640" spans="1:11" x14ac:dyDescent="0.3">
      <c r="A1640" s="14">
        <v>2023</v>
      </c>
      <c r="B1640" s="14">
        <f t="shared" si="77"/>
        <v>48</v>
      </c>
      <c r="C1640" s="9">
        <v>45257</v>
      </c>
      <c r="D1640" s="9">
        <v>45261</v>
      </c>
      <c r="E1640" s="14">
        <f>VLOOKUP(F1640,CarrierID!A:B,2,0)</f>
        <v>5</v>
      </c>
      <c r="F1640" s="15" t="s">
        <v>1</v>
      </c>
      <c r="G1640" t="str">
        <f>VLOOKUP(F1640,Carrier_Category!A:B,2,0)</f>
        <v>Intercity</v>
      </c>
      <c r="H1640" s="5">
        <v>61</v>
      </c>
      <c r="I1640" s="7">
        <f t="shared" si="79"/>
        <v>40</v>
      </c>
      <c r="J1640" s="5">
        <v>1517</v>
      </c>
      <c r="K1640" s="18">
        <f t="shared" si="78"/>
        <v>24.868852459016395</v>
      </c>
    </row>
    <row r="1641" spans="1:11" x14ac:dyDescent="0.3">
      <c r="A1641" s="14">
        <v>2023</v>
      </c>
      <c r="B1641" s="14">
        <f t="shared" si="77"/>
        <v>48</v>
      </c>
      <c r="C1641" s="9">
        <v>45257</v>
      </c>
      <c r="D1641" s="9">
        <v>45261</v>
      </c>
      <c r="E1641" s="14">
        <f>VLOOKUP(F1641,CarrierID!A:B,2,0)</f>
        <v>8</v>
      </c>
      <c r="F1641" s="15" t="s">
        <v>2</v>
      </c>
      <c r="G1641" t="str">
        <f>VLOOKUP(F1641,Carrier_Category!A:B,2,0)</f>
        <v>Commuter</v>
      </c>
      <c r="H1641" s="5">
        <v>18</v>
      </c>
      <c r="I1641" s="7">
        <f t="shared" si="79"/>
        <v>60</v>
      </c>
      <c r="J1641" s="5">
        <v>718</v>
      </c>
      <c r="K1641" s="18">
        <f t="shared" si="78"/>
        <v>39.888888888888886</v>
      </c>
    </row>
    <row r="1642" spans="1:11" x14ac:dyDescent="0.3">
      <c r="A1642" s="14">
        <v>2023</v>
      </c>
      <c r="B1642" s="14">
        <f t="shared" si="77"/>
        <v>48</v>
      </c>
      <c r="C1642" s="9">
        <v>45257</v>
      </c>
      <c r="D1642" s="9">
        <v>45261</v>
      </c>
      <c r="E1642" s="14">
        <f>VLOOKUP(F1642,CarrierID!A:B,2,0)</f>
        <v>9</v>
      </c>
      <c r="F1642" s="15" t="s">
        <v>3</v>
      </c>
      <c r="G1642" t="str">
        <f>VLOOKUP(F1642,Carrier_Category!A:B,2,0)</f>
        <v>NJT</v>
      </c>
      <c r="H1642" s="5">
        <v>2423</v>
      </c>
      <c r="I1642" s="7">
        <f t="shared" si="79"/>
        <v>18</v>
      </c>
      <c r="J1642" s="5">
        <v>80067</v>
      </c>
      <c r="K1642" s="18">
        <f t="shared" si="78"/>
        <v>33.044572843582337</v>
      </c>
    </row>
    <row r="1643" spans="1:11" x14ac:dyDescent="0.3">
      <c r="A1643" s="14">
        <v>2023</v>
      </c>
      <c r="B1643" s="14">
        <f t="shared" si="77"/>
        <v>48</v>
      </c>
      <c r="C1643" s="9">
        <v>45257</v>
      </c>
      <c r="D1643" s="9">
        <v>45261</v>
      </c>
      <c r="E1643" s="14">
        <f>VLOOKUP(F1643,CarrierID!A:B,2,0)</f>
        <v>7</v>
      </c>
      <c r="F1643" s="15" t="s">
        <v>4</v>
      </c>
      <c r="G1643" t="str">
        <f>VLOOKUP(F1643,Carrier_Category!A:B,2,0)</f>
        <v>Commuter</v>
      </c>
      <c r="H1643" s="5">
        <v>45</v>
      </c>
      <c r="I1643" s="7">
        <f t="shared" si="79"/>
        <v>2358</v>
      </c>
      <c r="J1643" s="5">
        <v>1406</v>
      </c>
      <c r="K1643" s="18">
        <f t="shared" si="78"/>
        <v>31.244444444444444</v>
      </c>
    </row>
    <row r="1644" spans="1:11" x14ac:dyDescent="0.3">
      <c r="A1644" s="14">
        <v>2023</v>
      </c>
      <c r="B1644" s="14">
        <f t="shared" si="77"/>
        <v>48</v>
      </c>
      <c r="C1644" s="9">
        <v>45257</v>
      </c>
      <c r="D1644" s="9">
        <v>45261</v>
      </c>
      <c r="E1644" s="14">
        <f>VLOOKUP(F1644,CarrierID!A:B,2,0)</f>
        <v>11</v>
      </c>
      <c r="F1644" s="15" t="s">
        <v>5</v>
      </c>
      <c r="G1644" t="str">
        <f>VLOOKUP(F1644,Carrier_Category!A:B,2,0)</f>
        <v>Intercity</v>
      </c>
      <c r="H1644" s="5">
        <v>22</v>
      </c>
      <c r="I1644" s="7">
        <f t="shared" si="79"/>
        <v>43</v>
      </c>
      <c r="J1644" s="5">
        <v>561</v>
      </c>
      <c r="K1644" s="18">
        <f t="shared" si="78"/>
        <v>25.5</v>
      </c>
    </row>
    <row r="1645" spans="1:11" x14ac:dyDescent="0.3">
      <c r="A1645" s="14">
        <v>2023</v>
      </c>
      <c r="B1645" s="14">
        <f t="shared" si="77"/>
        <v>48</v>
      </c>
      <c r="C1645" s="9">
        <v>45257</v>
      </c>
      <c r="D1645" s="9">
        <v>45261</v>
      </c>
      <c r="E1645" s="14">
        <f>VLOOKUP(F1645,CarrierID!A:B,2,0)</f>
        <v>3</v>
      </c>
      <c r="F1645" s="15" t="s">
        <v>6</v>
      </c>
      <c r="G1645" t="str">
        <f>VLOOKUP(F1645,Carrier_Category!A:B,2,0)</f>
        <v>Commuter</v>
      </c>
      <c r="H1645" s="5">
        <v>168</v>
      </c>
      <c r="I1645" s="7">
        <f t="shared" si="79"/>
        <v>28</v>
      </c>
      <c r="J1645" s="5">
        <v>5133</v>
      </c>
      <c r="K1645" s="18">
        <f t="shared" si="78"/>
        <v>30.553571428571427</v>
      </c>
    </row>
    <row r="1646" spans="1:11" x14ac:dyDescent="0.3">
      <c r="A1646" s="14">
        <v>2023</v>
      </c>
      <c r="B1646" s="14">
        <f t="shared" si="77"/>
        <v>48</v>
      </c>
      <c r="C1646" s="9">
        <v>45257</v>
      </c>
      <c r="D1646" s="9">
        <v>45261</v>
      </c>
      <c r="E1646" s="14">
        <f>VLOOKUP(F1646,CarrierID!A:B,2,0)</f>
        <v>12</v>
      </c>
      <c r="F1646" s="15" t="s">
        <v>25</v>
      </c>
      <c r="G1646" t="str">
        <f>VLOOKUP(F1646,Carrier_Category!A:B,2,0)</f>
        <v>Commuter</v>
      </c>
      <c r="H1646" s="5">
        <v>24</v>
      </c>
      <c r="I1646" s="7">
        <f t="shared" si="79"/>
        <v>134</v>
      </c>
      <c r="J1646" s="5">
        <v>646</v>
      </c>
      <c r="K1646" s="18">
        <f t="shared" si="78"/>
        <v>26.916666666666668</v>
      </c>
    </row>
    <row r="1647" spans="1:11" x14ac:dyDescent="0.3">
      <c r="A1647" s="14">
        <v>2023</v>
      </c>
      <c r="B1647" s="14">
        <f t="shared" si="77"/>
        <v>48</v>
      </c>
      <c r="C1647" s="9">
        <v>45257</v>
      </c>
      <c r="D1647" s="9">
        <v>45261</v>
      </c>
      <c r="E1647" s="14">
        <f>VLOOKUP(F1647,CarrierID!A:B,2,0)</f>
        <v>10</v>
      </c>
      <c r="F1647" s="15" t="s">
        <v>8</v>
      </c>
      <c r="G1647" t="str">
        <f>VLOOKUP(F1647,Carrier_Category!A:B,2,0)</f>
        <v>Intercity</v>
      </c>
      <c r="H1647" s="5">
        <v>23</v>
      </c>
      <c r="I1647" s="7">
        <f t="shared" si="79"/>
        <v>23</v>
      </c>
      <c r="J1647" s="5">
        <v>745</v>
      </c>
      <c r="K1647" s="18">
        <f t="shared" si="78"/>
        <v>32.391304347826086</v>
      </c>
    </row>
    <row r="1648" spans="1:11" x14ac:dyDescent="0.3">
      <c r="A1648" s="14">
        <v>2023</v>
      </c>
      <c r="B1648" s="14">
        <f t="shared" si="77"/>
        <v>48</v>
      </c>
      <c r="C1648" s="9">
        <v>45257</v>
      </c>
      <c r="D1648" s="9">
        <v>45261</v>
      </c>
      <c r="E1648" s="14">
        <f>VLOOKUP(F1648,CarrierID!A:B,2,0)</f>
        <v>6</v>
      </c>
      <c r="F1648" s="15" t="s">
        <v>9</v>
      </c>
      <c r="G1648" t="str">
        <f>VLOOKUP(F1648,Carrier_Category!A:B,2,0)</f>
        <v>Commuter</v>
      </c>
      <c r="H1648" s="5">
        <v>81</v>
      </c>
      <c r="I1648" s="7">
        <f t="shared" si="79"/>
        <v>23</v>
      </c>
      <c r="J1648" s="5">
        <v>1390</v>
      </c>
      <c r="K1648" s="18">
        <f t="shared" si="78"/>
        <v>17.160493827160494</v>
      </c>
    </row>
    <row r="1649" spans="1:11" x14ac:dyDescent="0.3">
      <c r="A1649" s="14">
        <v>2023</v>
      </c>
      <c r="B1649" s="14">
        <f t="shared" si="77"/>
        <v>49</v>
      </c>
      <c r="C1649" s="9">
        <v>45264</v>
      </c>
      <c r="D1649" s="9">
        <v>45269</v>
      </c>
      <c r="E1649" s="14">
        <f>VLOOKUP(F1649,CarrierID!A:B,2,0)</f>
        <v>1</v>
      </c>
      <c r="F1649" s="15" t="s">
        <v>0</v>
      </c>
      <c r="G1649" t="str">
        <f>VLOOKUP(F1649,Carrier_Category!A:B,2,0)</f>
        <v>Commuter</v>
      </c>
      <c r="H1649" s="5">
        <v>44</v>
      </c>
      <c r="I1649" s="7">
        <f t="shared" si="79"/>
        <v>85</v>
      </c>
      <c r="J1649" s="5">
        <v>1266</v>
      </c>
      <c r="K1649" s="18">
        <f t="shared" si="78"/>
        <v>28.772727272727273</v>
      </c>
    </row>
    <row r="1650" spans="1:11" x14ac:dyDescent="0.3">
      <c r="A1650" s="14">
        <v>2023</v>
      </c>
      <c r="B1650" s="14">
        <f t="shared" si="77"/>
        <v>49</v>
      </c>
      <c r="C1650" s="9">
        <v>45264</v>
      </c>
      <c r="D1650" s="9">
        <v>45269</v>
      </c>
      <c r="E1650" s="14">
        <f>VLOOKUP(F1650,CarrierID!A:B,2,0)</f>
        <v>5</v>
      </c>
      <c r="F1650" s="15" t="s">
        <v>1</v>
      </c>
      <c r="G1650" t="str">
        <f>VLOOKUP(F1650,Carrier_Category!A:B,2,0)</f>
        <v>Intercity</v>
      </c>
      <c r="H1650" s="5">
        <v>61</v>
      </c>
      <c r="I1650" s="7">
        <f t="shared" si="79"/>
        <v>44</v>
      </c>
      <c r="J1650" s="5">
        <v>1517</v>
      </c>
      <c r="K1650" s="18">
        <f t="shared" si="78"/>
        <v>24.868852459016395</v>
      </c>
    </row>
    <row r="1651" spans="1:11" x14ac:dyDescent="0.3">
      <c r="A1651" s="14">
        <v>2023</v>
      </c>
      <c r="B1651" s="14">
        <f t="shared" si="77"/>
        <v>49</v>
      </c>
      <c r="C1651" s="9">
        <v>45264</v>
      </c>
      <c r="D1651" s="9">
        <v>45269</v>
      </c>
      <c r="E1651" s="14">
        <f>VLOOKUP(F1651,CarrierID!A:B,2,0)</f>
        <v>8</v>
      </c>
      <c r="F1651" s="15" t="s">
        <v>2</v>
      </c>
      <c r="G1651" t="str">
        <f>VLOOKUP(F1651,Carrier_Category!A:B,2,0)</f>
        <v>Commuter</v>
      </c>
      <c r="H1651" s="5">
        <v>19</v>
      </c>
      <c r="I1651" s="7">
        <f t="shared" si="79"/>
        <v>61</v>
      </c>
      <c r="J1651" s="5">
        <v>744</v>
      </c>
      <c r="K1651" s="18">
        <f t="shared" si="78"/>
        <v>39.157894736842103</v>
      </c>
    </row>
    <row r="1652" spans="1:11" x14ac:dyDescent="0.3">
      <c r="A1652" s="14">
        <v>2023</v>
      </c>
      <c r="B1652" s="14">
        <f t="shared" si="77"/>
        <v>49</v>
      </c>
      <c r="C1652" s="9">
        <v>45264</v>
      </c>
      <c r="D1652" s="9">
        <v>45269</v>
      </c>
      <c r="E1652" s="14">
        <f>VLOOKUP(F1652,CarrierID!A:B,2,0)</f>
        <v>9</v>
      </c>
      <c r="F1652" s="15" t="s">
        <v>3</v>
      </c>
      <c r="G1652" t="str">
        <f>VLOOKUP(F1652,Carrier_Category!A:B,2,0)</f>
        <v>NJT</v>
      </c>
      <c r="H1652" s="5">
        <v>2419</v>
      </c>
      <c r="I1652" s="7">
        <f t="shared" si="79"/>
        <v>18</v>
      </c>
      <c r="J1652" s="5">
        <v>83853</v>
      </c>
      <c r="K1652" s="18">
        <f t="shared" si="78"/>
        <v>34.664324100868129</v>
      </c>
    </row>
    <row r="1653" spans="1:11" x14ac:dyDescent="0.3">
      <c r="A1653" s="14">
        <v>2023</v>
      </c>
      <c r="B1653" s="14">
        <f t="shared" si="77"/>
        <v>49</v>
      </c>
      <c r="C1653" s="9">
        <v>45264</v>
      </c>
      <c r="D1653" s="9">
        <v>45269</v>
      </c>
      <c r="E1653" s="14">
        <f>VLOOKUP(F1653,CarrierID!A:B,2,0)</f>
        <v>7</v>
      </c>
      <c r="F1653" s="15" t="s">
        <v>4</v>
      </c>
      <c r="G1653" t="str">
        <f>VLOOKUP(F1653,Carrier_Category!A:B,2,0)</f>
        <v>Commuter</v>
      </c>
      <c r="H1653" s="5">
        <v>45</v>
      </c>
      <c r="I1653" s="7">
        <f t="shared" si="79"/>
        <v>2423</v>
      </c>
      <c r="J1653" s="5">
        <v>1406</v>
      </c>
      <c r="K1653" s="18">
        <f t="shared" si="78"/>
        <v>31.244444444444444</v>
      </c>
    </row>
    <row r="1654" spans="1:11" x14ac:dyDescent="0.3">
      <c r="A1654" s="14">
        <v>2023</v>
      </c>
      <c r="B1654" s="14">
        <f t="shared" si="77"/>
        <v>49</v>
      </c>
      <c r="C1654" s="9">
        <v>45264</v>
      </c>
      <c r="D1654" s="9">
        <v>45269</v>
      </c>
      <c r="E1654" s="14">
        <f>VLOOKUP(F1654,CarrierID!A:B,2,0)</f>
        <v>11</v>
      </c>
      <c r="F1654" s="15" t="s">
        <v>5</v>
      </c>
      <c r="G1654" t="str">
        <f>VLOOKUP(F1654,Carrier_Category!A:B,2,0)</f>
        <v>Intercity</v>
      </c>
      <c r="H1654" s="5">
        <v>22</v>
      </c>
      <c r="I1654" s="7">
        <f t="shared" si="79"/>
        <v>45</v>
      </c>
      <c r="J1654" s="5">
        <v>561</v>
      </c>
      <c r="K1654" s="18">
        <f t="shared" si="78"/>
        <v>25.5</v>
      </c>
    </row>
    <row r="1655" spans="1:11" x14ac:dyDescent="0.3">
      <c r="A1655" s="14">
        <v>2023</v>
      </c>
      <c r="B1655" s="14">
        <f t="shared" si="77"/>
        <v>49</v>
      </c>
      <c r="C1655" s="9">
        <v>45264</v>
      </c>
      <c r="D1655" s="9">
        <v>45269</v>
      </c>
      <c r="E1655" s="14">
        <f>VLOOKUP(F1655,CarrierID!A:B,2,0)</f>
        <v>3</v>
      </c>
      <c r="F1655" s="15" t="s">
        <v>6</v>
      </c>
      <c r="G1655" t="str">
        <f>VLOOKUP(F1655,Carrier_Category!A:B,2,0)</f>
        <v>Commuter</v>
      </c>
      <c r="H1655" s="5">
        <v>168</v>
      </c>
      <c r="I1655" s="7">
        <f t="shared" si="79"/>
        <v>22</v>
      </c>
      <c r="J1655" s="5">
        <v>5422</v>
      </c>
      <c r="K1655" s="18">
        <f t="shared" si="78"/>
        <v>32.273809523809526</v>
      </c>
    </row>
    <row r="1656" spans="1:11" x14ac:dyDescent="0.3">
      <c r="A1656" s="14">
        <v>2023</v>
      </c>
      <c r="B1656" s="14">
        <f t="shared" si="77"/>
        <v>49</v>
      </c>
      <c r="C1656" s="9">
        <v>45264</v>
      </c>
      <c r="D1656" s="9">
        <v>45269</v>
      </c>
      <c r="E1656" s="14">
        <f>VLOOKUP(F1656,CarrierID!A:B,2,0)</f>
        <v>12</v>
      </c>
      <c r="F1656" s="15" t="s">
        <v>25</v>
      </c>
      <c r="G1656" t="str">
        <f>VLOOKUP(F1656,Carrier_Category!A:B,2,0)</f>
        <v>Commuter</v>
      </c>
      <c r="H1656" s="5">
        <v>24</v>
      </c>
      <c r="I1656" s="7">
        <f t="shared" si="79"/>
        <v>168</v>
      </c>
      <c r="J1656" s="5">
        <v>704</v>
      </c>
      <c r="K1656" s="18">
        <f t="shared" si="78"/>
        <v>29.333333333333332</v>
      </c>
    </row>
    <row r="1657" spans="1:11" x14ac:dyDescent="0.3">
      <c r="A1657" s="14">
        <v>2023</v>
      </c>
      <c r="B1657" s="14">
        <f t="shared" si="77"/>
        <v>49</v>
      </c>
      <c r="C1657" s="9">
        <v>45264</v>
      </c>
      <c r="D1657" s="9">
        <v>45269</v>
      </c>
      <c r="E1657" s="14">
        <f>VLOOKUP(F1657,CarrierID!A:B,2,0)</f>
        <v>10</v>
      </c>
      <c r="F1657" s="15" t="s">
        <v>8</v>
      </c>
      <c r="G1657" t="str">
        <f>VLOOKUP(F1657,Carrier_Category!A:B,2,0)</f>
        <v>Intercity</v>
      </c>
      <c r="H1657" s="5">
        <v>23</v>
      </c>
      <c r="I1657" s="7">
        <f t="shared" si="79"/>
        <v>24</v>
      </c>
      <c r="J1657" s="5">
        <v>745</v>
      </c>
      <c r="K1657" s="18">
        <f t="shared" si="78"/>
        <v>32.391304347826086</v>
      </c>
    </row>
    <row r="1658" spans="1:11" x14ac:dyDescent="0.3">
      <c r="A1658" s="14">
        <v>2023</v>
      </c>
      <c r="B1658" s="14">
        <f t="shared" si="77"/>
        <v>49</v>
      </c>
      <c r="C1658" s="9">
        <v>45264</v>
      </c>
      <c r="D1658" s="9">
        <v>45269</v>
      </c>
      <c r="E1658" s="14">
        <f>VLOOKUP(F1658,CarrierID!A:B,2,0)</f>
        <v>6</v>
      </c>
      <c r="F1658" s="15" t="s">
        <v>9</v>
      </c>
      <c r="G1658" t="str">
        <f>VLOOKUP(F1658,Carrier_Category!A:B,2,0)</f>
        <v>Commuter</v>
      </c>
      <c r="H1658" s="5">
        <v>81</v>
      </c>
      <c r="I1658" s="7">
        <f t="shared" si="79"/>
        <v>23</v>
      </c>
      <c r="J1658" s="5">
        <v>1390</v>
      </c>
      <c r="K1658" s="18">
        <f t="shared" si="78"/>
        <v>17.160493827160494</v>
      </c>
    </row>
    <row r="1659" spans="1:11" x14ac:dyDescent="0.3">
      <c r="A1659" s="14">
        <v>2023</v>
      </c>
      <c r="B1659" s="14">
        <f t="shared" si="77"/>
        <v>50</v>
      </c>
      <c r="C1659" s="9">
        <v>45271</v>
      </c>
      <c r="D1659" s="9">
        <v>45266</v>
      </c>
      <c r="E1659" s="14">
        <f>VLOOKUP(F1659,CarrierID!A:B,2,0)</f>
        <v>1</v>
      </c>
      <c r="F1659" s="15" t="s">
        <v>0</v>
      </c>
      <c r="G1659" t="str">
        <f>VLOOKUP(F1659,Carrier_Category!A:B,2,0)</f>
        <v>Commuter</v>
      </c>
      <c r="H1659" s="5">
        <v>44</v>
      </c>
      <c r="I1659" s="7">
        <f t="shared" si="79"/>
        <v>81</v>
      </c>
      <c r="J1659" s="5">
        <v>1179</v>
      </c>
      <c r="K1659" s="18">
        <f t="shared" si="78"/>
        <v>26.795454545454547</v>
      </c>
    </row>
    <row r="1660" spans="1:11" x14ac:dyDescent="0.3">
      <c r="A1660" s="14">
        <v>2023</v>
      </c>
      <c r="B1660" s="14">
        <f t="shared" si="77"/>
        <v>50</v>
      </c>
      <c r="C1660" s="9">
        <v>45271</v>
      </c>
      <c r="D1660" s="9">
        <v>45266</v>
      </c>
      <c r="E1660" s="14">
        <f>VLOOKUP(F1660,CarrierID!A:B,2,0)</f>
        <v>5</v>
      </c>
      <c r="F1660" s="15" t="s">
        <v>1</v>
      </c>
      <c r="G1660" t="str">
        <f>VLOOKUP(F1660,Carrier_Category!A:B,2,0)</f>
        <v>Intercity</v>
      </c>
      <c r="H1660" s="5">
        <v>60</v>
      </c>
      <c r="I1660" s="7">
        <f t="shared" si="79"/>
        <v>44</v>
      </c>
      <c r="J1660" s="5">
        <v>794</v>
      </c>
      <c r="K1660" s="18">
        <f t="shared" si="78"/>
        <v>13.233333333333333</v>
      </c>
    </row>
    <row r="1661" spans="1:11" x14ac:dyDescent="0.3">
      <c r="A1661" s="14">
        <v>2023</v>
      </c>
      <c r="B1661" s="14">
        <f t="shared" si="77"/>
        <v>50</v>
      </c>
      <c r="C1661" s="9">
        <v>45271</v>
      </c>
      <c r="D1661" s="9">
        <v>45266</v>
      </c>
      <c r="E1661" s="14">
        <f>VLOOKUP(F1661,CarrierID!A:B,2,0)</f>
        <v>8</v>
      </c>
      <c r="F1661" s="15" t="s">
        <v>2</v>
      </c>
      <c r="G1661" t="str">
        <f>VLOOKUP(F1661,Carrier_Category!A:B,2,0)</f>
        <v>Commuter</v>
      </c>
      <c r="H1661" s="5">
        <v>18</v>
      </c>
      <c r="I1661" s="7">
        <f t="shared" si="79"/>
        <v>61</v>
      </c>
      <c r="J1661" s="5">
        <v>747</v>
      </c>
      <c r="K1661" s="18">
        <f t="shared" si="78"/>
        <v>41.5</v>
      </c>
    </row>
    <row r="1662" spans="1:11" x14ac:dyDescent="0.3">
      <c r="A1662" s="14">
        <v>2023</v>
      </c>
      <c r="B1662" s="14">
        <f t="shared" si="77"/>
        <v>50</v>
      </c>
      <c r="C1662" s="9">
        <v>45271</v>
      </c>
      <c r="D1662" s="9">
        <v>45266</v>
      </c>
      <c r="E1662" s="14">
        <f>VLOOKUP(F1662,CarrierID!A:B,2,0)</f>
        <v>9</v>
      </c>
      <c r="F1662" s="15" t="s">
        <v>3</v>
      </c>
      <c r="G1662" t="str">
        <f>VLOOKUP(F1662,Carrier_Category!A:B,2,0)</f>
        <v>NJT</v>
      </c>
      <c r="H1662" s="5">
        <v>2403</v>
      </c>
      <c r="I1662" s="7">
        <f t="shared" si="79"/>
        <v>19</v>
      </c>
      <c r="J1662" s="5">
        <v>81717</v>
      </c>
      <c r="K1662" s="18">
        <f t="shared" si="78"/>
        <v>34.006242197253435</v>
      </c>
    </row>
    <row r="1663" spans="1:11" x14ac:dyDescent="0.3">
      <c r="A1663" s="14">
        <v>2023</v>
      </c>
      <c r="B1663" s="14">
        <f t="shared" si="77"/>
        <v>50</v>
      </c>
      <c r="C1663" s="9">
        <v>45271</v>
      </c>
      <c r="D1663" s="9">
        <v>45266</v>
      </c>
      <c r="E1663" s="14">
        <f>VLOOKUP(F1663,CarrierID!A:B,2,0)</f>
        <v>7</v>
      </c>
      <c r="F1663" s="15" t="s">
        <v>4</v>
      </c>
      <c r="G1663" t="str">
        <f>VLOOKUP(F1663,Carrier_Category!A:B,2,0)</f>
        <v>Commuter</v>
      </c>
      <c r="H1663" s="5">
        <v>45</v>
      </c>
      <c r="I1663" s="7">
        <f t="shared" si="79"/>
        <v>2419</v>
      </c>
      <c r="J1663" s="5">
        <v>1406</v>
      </c>
      <c r="K1663" s="18">
        <f t="shared" si="78"/>
        <v>31.244444444444444</v>
      </c>
    </row>
    <row r="1664" spans="1:11" x14ac:dyDescent="0.3">
      <c r="A1664" s="14">
        <v>2023</v>
      </c>
      <c r="B1664" s="14">
        <f t="shared" si="77"/>
        <v>50</v>
      </c>
      <c r="C1664" s="9">
        <v>45271</v>
      </c>
      <c r="D1664" s="9">
        <v>45266</v>
      </c>
      <c r="E1664" s="14">
        <f>VLOOKUP(F1664,CarrierID!A:B,2,0)</f>
        <v>11</v>
      </c>
      <c r="F1664" s="15" t="s">
        <v>5</v>
      </c>
      <c r="G1664" t="str">
        <f>VLOOKUP(F1664,Carrier_Category!A:B,2,0)</f>
        <v>Intercity</v>
      </c>
      <c r="H1664" s="5">
        <v>22</v>
      </c>
      <c r="I1664" s="7">
        <f t="shared" si="79"/>
        <v>45</v>
      </c>
      <c r="J1664" s="5">
        <v>436</v>
      </c>
      <c r="K1664" s="18">
        <f t="shared" si="78"/>
        <v>19.818181818181817</v>
      </c>
    </row>
    <row r="1665" spans="1:11" x14ac:dyDescent="0.3">
      <c r="A1665" s="14">
        <v>2023</v>
      </c>
      <c r="B1665" s="14">
        <f t="shared" si="77"/>
        <v>50</v>
      </c>
      <c r="C1665" s="9">
        <v>45271</v>
      </c>
      <c r="D1665" s="9">
        <v>45266</v>
      </c>
      <c r="E1665" s="14">
        <f>VLOOKUP(F1665,CarrierID!A:B,2,0)</f>
        <v>3</v>
      </c>
      <c r="F1665" s="15" t="s">
        <v>6</v>
      </c>
      <c r="G1665" t="str">
        <f>VLOOKUP(F1665,Carrier_Category!A:B,2,0)</f>
        <v>Commuter</v>
      </c>
      <c r="H1665" s="5">
        <v>178</v>
      </c>
      <c r="I1665" s="7">
        <f t="shared" si="79"/>
        <v>22</v>
      </c>
      <c r="J1665" s="5">
        <v>5267</v>
      </c>
      <c r="K1665" s="18">
        <f t="shared" si="78"/>
        <v>29.589887640449437</v>
      </c>
    </row>
    <row r="1666" spans="1:11" x14ac:dyDescent="0.3">
      <c r="A1666" s="14">
        <v>2023</v>
      </c>
      <c r="B1666" s="14">
        <f t="shared" si="77"/>
        <v>50</v>
      </c>
      <c r="C1666" s="9">
        <v>45271</v>
      </c>
      <c r="D1666" s="9">
        <v>45266</v>
      </c>
      <c r="E1666" s="14">
        <f>VLOOKUP(F1666,CarrierID!A:B,2,0)</f>
        <v>12</v>
      </c>
      <c r="F1666" s="15" t="s">
        <v>25</v>
      </c>
      <c r="G1666" t="str">
        <f>VLOOKUP(F1666,Carrier_Category!A:B,2,0)</f>
        <v>Commuter</v>
      </c>
      <c r="H1666" s="5">
        <v>23</v>
      </c>
      <c r="I1666" s="7">
        <f t="shared" si="79"/>
        <v>168</v>
      </c>
      <c r="J1666" s="5">
        <v>678</v>
      </c>
      <c r="K1666" s="18">
        <f t="shared" si="78"/>
        <v>29.478260869565219</v>
      </c>
    </row>
    <row r="1667" spans="1:11" x14ac:dyDescent="0.3">
      <c r="A1667" s="14">
        <v>2023</v>
      </c>
      <c r="B1667" s="14">
        <f t="shared" si="77"/>
        <v>50</v>
      </c>
      <c r="C1667" s="9">
        <v>45271</v>
      </c>
      <c r="D1667" s="9">
        <v>45266</v>
      </c>
      <c r="E1667" s="14">
        <f>VLOOKUP(F1667,CarrierID!A:B,2,0)</f>
        <v>10</v>
      </c>
      <c r="F1667" s="15" t="s">
        <v>8</v>
      </c>
      <c r="G1667" t="str">
        <f>VLOOKUP(F1667,Carrier_Category!A:B,2,0)</f>
        <v>Intercity</v>
      </c>
      <c r="H1667" s="5">
        <v>23</v>
      </c>
      <c r="I1667" s="7">
        <f t="shared" si="79"/>
        <v>24</v>
      </c>
      <c r="J1667" s="5">
        <v>745</v>
      </c>
      <c r="K1667" s="18">
        <f t="shared" si="78"/>
        <v>32.391304347826086</v>
      </c>
    </row>
    <row r="1668" spans="1:11" x14ac:dyDescent="0.3">
      <c r="A1668" s="14">
        <v>2023</v>
      </c>
      <c r="B1668" s="14">
        <f t="shared" si="77"/>
        <v>50</v>
      </c>
      <c r="C1668" s="9">
        <v>45271</v>
      </c>
      <c r="D1668" s="9">
        <v>45266</v>
      </c>
      <c r="E1668" s="14">
        <f>VLOOKUP(F1668,CarrierID!A:B,2,0)</f>
        <v>6</v>
      </c>
      <c r="F1668" s="15" t="s">
        <v>9</v>
      </c>
      <c r="G1668" t="str">
        <f>VLOOKUP(F1668,Carrier_Category!A:B,2,0)</f>
        <v>Commuter</v>
      </c>
      <c r="H1668" s="5">
        <v>85</v>
      </c>
      <c r="I1668" s="7">
        <f t="shared" si="79"/>
        <v>23</v>
      </c>
      <c r="J1668" s="5">
        <v>1522</v>
      </c>
      <c r="K1668" s="18">
        <f t="shared" si="78"/>
        <v>17.905882352941177</v>
      </c>
    </row>
    <row r="1669" spans="1:11" x14ac:dyDescent="0.3">
      <c r="A1669" s="14">
        <v>2023</v>
      </c>
      <c r="B1669" s="14">
        <f t="shared" ref="B1669:B1732" si="80">_xlfn.ISOWEEKNUM(C1669)</f>
        <v>51</v>
      </c>
      <c r="C1669" s="9">
        <v>45278</v>
      </c>
      <c r="D1669" s="9">
        <v>45263</v>
      </c>
      <c r="E1669" s="14">
        <f>VLOOKUP(F1669,CarrierID!A:B,2,0)</f>
        <v>1</v>
      </c>
      <c r="F1669" s="15" t="s">
        <v>0</v>
      </c>
      <c r="G1669" t="str">
        <f>VLOOKUP(F1669,Carrier_Category!A:B,2,0)</f>
        <v>Commuter</v>
      </c>
      <c r="H1669" s="5">
        <v>44</v>
      </c>
      <c r="I1669" s="7">
        <f t="shared" si="79"/>
        <v>81</v>
      </c>
      <c r="J1669" s="5">
        <v>1179</v>
      </c>
      <c r="K1669" s="18">
        <f t="shared" ref="K1669:K1732" si="81">J1669/H1669</f>
        <v>26.795454545454547</v>
      </c>
    </row>
    <row r="1670" spans="1:11" x14ac:dyDescent="0.3">
      <c r="A1670" s="14">
        <v>2023</v>
      </c>
      <c r="B1670" s="14">
        <f t="shared" si="80"/>
        <v>51</v>
      </c>
      <c r="C1670" s="9">
        <v>45278</v>
      </c>
      <c r="D1670" s="9">
        <v>45263</v>
      </c>
      <c r="E1670" s="14">
        <f>VLOOKUP(F1670,CarrierID!A:B,2,0)</f>
        <v>5</v>
      </c>
      <c r="F1670" s="15" t="s">
        <v>1</v>
      </c>
      <c r="G1670" t="str">
        <f>VLOOKUP(F1670,Carrier_Category!A:B,2,0)</f>
        <v>Intercity</v>
      </c>
      <c r="H1670" s="5">
        <v>59</v>
      </c>
      <c r="I1670" s="7">
        <f t="shared" si="79"/>
        <v>44</v>
      </c>
      <c r="J1670" s="5">
        <v>1001</v>
      </c>
      <c r="K1670" s="18">
        <f t="shared" si="81"/>
        <v>16.966101694915253</v>
      </c>
    </row>
    <row r="1671" spans="1:11" x14ac:dyDescent="0.3">
      <c r="A1671" s="14">
        <v>2023</v>
      </c>
      <c r="B1671" s="14">
        <f t="shared" si="80"/>
        <v>51</v>
      </c>
      <c r="C1671" s="9">
        <v>45278</v>
      </c>
      <c r="D1671" s="9">
        <v>45263</v>
      </c>
      <c r="E1671" s="14">
        <f>VLOOKUP(F1671,CarrierID!A:B,2,0)</f>
        <v>8</v>
      </c>
      <c r="F1671" s="15" t="s">
        <v>2</v>
      </c>
      <c r="G1671" t="str">
        <f>VLOOKUP(F1671,Carrier_Category!A:B,2,0)</f>
        <v>Commuter</v>
      </c>
      <c r="H1671" s="5">
        <v>18</v>
      </c>
      <c r="I1671" s="7">
        <f t="shared" si="79"/>
        <v>60</v>
      </c>
      <c r="J1671" s="5">
        <v>765</v>
      </c>
      <c r="K1671" s="18">
        <f t="shared" si="81"/>
        <v>42.5</v>
      </c>
    </row>
    <row r="1672" spans="1:11" x14ac:dyDescent="0.3">
      <c r="A1672" s="14">
        <v>2023</v>
      </c>
      <c r="B1672" s="14">
        <f t="shared" si="80"/>
        <v>51</v>
      </c>
      <c r="C1672" s="9">
        <v>45278</v>
      </c>
      <c r="D1672" s="9">
        <v>45263</v>
      </c>
      <c r="E1672" s="14">
        <f>VLOOKUP(F1672,CarrierID!A:B,2,0)</f>
        <v>9</v>
      </c>
      <c r="F1672" s="15" t="s">
        <v>3</v>
      </c>
      <c r="G1672" t="str">
        <f>VLOOKUP(F1672,Carrier_Category!A:B,2,0)</f>
        <v>NJT</v>
      </c>
      <c r="H1672" s="5">
        <v>2373</v>
      </c>
      <c r="I1672" s="7">
        <f t="shared" si="79"/>
        <v>18</v>
      </c>
      <c r="J1672" s="5">
        <v>73885</v>
      </c>
      <c r="K1672" s="18">
        <f t="shared" si="81"/>
        <v>31.135693215339234</v>
      </c>
    </row>
    <row r="1673" spans="1:11" x14ac:dyDescent="0.3">
      <c r="A1673" s="14">
        <v>2023</v>
      </c>
      <c r="B1673" s="14">
        <f t="shared" si="80"/>
        <v>51</v>
      </c>
      <c r="C1673" s="9">
        <v>45278</v>
      </c>
      <c r="D1673" s="9">
        <v>45263</v>
      </c>
      <c r="E1673" s="14">
        <f>VLOOKUP(F1673,CarrierID!A:B,2,0)</f>
        <v>7</v>
      </c>
      <c r="F1673" s="15" t="s">
        <v>4</v>
      </c>
      <c r="G1673" t="str">
        <f>VLOOKUP(F1673,Carrier_Category!A:B,2,0)</f>
        <v>Commuter</v>
      </c>
      <c r="H1673" s="5">
        <v>45</v>
      </c>
      <c r="I1673" s="7">
        <f t="shared" si="79"/>
        <v>2403</v>
      </c>
      <c r="J1673" s="5">
        <v>1406</v>
      </c>
      <c r="K1673" s="18">
        <f t="shared" si="81"/>
        <v>31.244444444444444</v>
      </c>
    </row>
    <row r="1674" spans="1:11" x14ac:dyDescent="0.3">
      <c r="A1674" s="14">
        <v>2023</v>
      </c>
      <c r="B1674" s="14">
        <f t="shared" si="80"/>
        <v>51</v>
      </c>
      <c r="C1674" s="9">
        <v>45278</v>
      </c>
      <c r="D1674" s="9">
        <v>45263</v>
      </c>
      <c r="E1674" s="14">
        <f>VLOOKUP(F1674,CarrierID!A:B,2,0)</f>
        <v>11</v>
      </c>
      <c r="F1674" s="15" t="s">
        <v>5</v>
      </c>
      <c r="G1674" t="str">
        <f>VLOOKUP(F1674,Carrier_Category!A:B,2,0)</f>
        <v>Intercity</v>
      </c>
      <c r="H1674" s="5">
        <v>22</v>
      </c>
      <c r="I1674" s="7">
        <f t="shared" si="79"/>
        <v>45</v>
      </c>
      <c r="J1674" s="5">
        <v>436</v>
      </c>
      <c r="K1674" s="18">
        <f t="shared" si="81"/>
        <v>19.818181818181817</v>
      </c>
    </row>
    <row r="1675" spans="1:11" x14ac:dyDescent="0.3">
      <c r="A1675" s="14">
        <v>2023</v>
      </c>
      <c r="B1675" s="14">
        <f t="shared" si="80"/>
        <v>51</v>
      </c>
      <c r="C1675" s="9">
        <v>45278</v>
      </c>
      <c r="D1675" s="9">
        <v>45263</v>
      </c>
      <c r="E1675" s="14">
        <f>VLOOKUP(F1675,CarrierID!A:B,2,0)</f>
        <v>3</v>
      </c>
      <c r="F1675" s="15" t="s">
        <v>6</v>
      </c>
      <c r="G1675" t="str">
        <f>VLOOKUP(F1675,Carrier_Category!A:B,2,0)</f>
        <v>Commuter</v>
      </c>
      <c r="H1675" s="5">
        <v>178</v>
      </c>
      <c r="I1675" s="7">
        <f t="shared" si="79"/>
        <v>22</v>
      </c>
      <c r="J1675" s="5">
        <v>5267</v>
      </c>
      <c r="K1675" s="18">
        <f t="shared" si="81"/>
        <v>29.589887640449437</v>
      </c>
    </row>
    <row r="1676" spans="1:11" x14ac:dyDescent="0.3">
      <c r="A1676" s="14">
        <v>2023</v>
      </c>
      <c r="B1676" s="14">
        <f t="shared" si="80"/>
        <v>51</v>
      </c>
      <c r="C1676" s="9">
        <v>45278</v>
      </c>
      <c r="D1676" s="9">
        <v>45263</v>
      </c>
      <c r="E1676" s="14">
        <f>VLOOKUP(F1676,CarrierID!A:B,2,0)</f>
        <v>12</v>
      </c>
      <c r="F1676" s="15" t="s">
        <v>25</v>
      </c>
      <c r="G1676" t="str">
        <f>VLOOKUP(F1676,Carrier_Category!A:B,2,0)</f>
        <v>Commuter</v>
      </c>
      <c r="H1676" s="5">
        <v>23</v>
      </c>
      <c r="I1676" s="7">
        <f t="shared" si="79"/>
        <v>178</v>
      </c>
      <c r="J1676" s="5">
        <v>667</v>
      </c>
      <c r="K1676" s="18">
        <f t="shared" si="81"/>
        <v>29</v>
      </c>
    </row>
    <row r="1677" spans="1:11" x14ac:dyDescent="0.3">
      <c r="A1677" s="14">
        <v>2023</v>
      </c>
      <c r="B1677" s="14">
        <f t="shared" si="80"/>
        <v>51</v>
      </c>
      <c r="C1677" s="9">
        <v>45278</v>
      </c>
      <c r="D1677" s="9">
        <v>45263</v>
      </c>
      <c r="E1677" s="14">
        <f>VLOOKUP(F1677,CarrierID!A:B,2,0)</f>
        <v>10</v>
      </c>
      <c r="F1677" s="15" t="s">
        <v>8</v>
      </c>
      <c r="G1677" t="str">
        <f>VLOOKUP(F1677,Carrier_Category!A:B,2,0)</f>
        <v>Intercity</v>
      </c>
      <c r="H1677" s="5">
        <v>23</v>
      </c>
      <c r="I1677" s="7">
        <f t="shared" ref="I1677:I1740" si="82">H1666</f>
        <v>23</v>
      </c>
      <c r="J1677" s="5">
        <v>745</v>
      </c>
      <c r="K1677" s="18">
        <f t="shared" si="81"/>
        <v>32.391304347826086</v>
      </c>
    </row>
    <row r="1678" spans="1:11" x14ac:dyDescent="0.3">
      <c r="A1678" s="14">
        <v>2023</v>
      </c>
      <c r="B1678" s="14">
        <f t="shared" si="80"/>
        <v>51</v>
      </c>
      <c r="C1678" s="9">
        <v>45278</v>
      </c>
      <c r="D1678" s="9">
        <v>45263</v>
      </c>
      <c r="E1678" s="14">
        <f>VLOOKUP(F1678,CarrierID!A:B,2,0)</f>
        <v>6</v>
      </c>
      <c r="F1678" s="15" t="s">
        <v>9</v>
      </c>
      <c r="G1678" t="str">
        <f>VLOOKUP(F1678,Carrier_Category!A:B,2,0)</f>
        <v>Commuter</v>
      </c>
      <c r="H1678" s="5">
        <v>85</v>
      </c>
      <c r="I1678" s="7">
        <f t="shared" si="82"/>
        <v>23</v>
      </c>
      <c r="J1678" s="5">
        <v>1522</v>
      </c>
      <c r="K1678" s="18">
        <f t="shared" si="81"/>
        <v>17.905882352941177</v>
      </c>
    </row>
    <row r="1679" spans="1:11" x14ac:dyDescent="0.3">
      <c r="A1679" s="14">
        <v>2023</v>
      </c>
      <c r="B1679" s="14">
        <f t="shared" si="80"/>
        <v>52</v>
      </c>
      <c r="C1679" s="9">
        <v>45285</v>
      </c>
      <c r="D1679" s="9">
        <v>45289</v>
      </c>
      <c r="E1679" s="14">
        <f>VLOOKUP(F1679,CarrierID!A:B,2,0)</f>
        <v>1</v>
      </c>
      <c r="F1679" s="15" t="s">
        <v>0</v>
      </c>
      <c r="G1679" t="str">
        <f>VLOOKUP(F1679,Carrier_Category!A:B,2,0)</f>
        <v>Commuter</v>
      </c>
      <c r="H1679" s="5">
        <v>23</v>
      </c>
      <c r="I1679" s="7">
        <f t="shared" si="82"/>
        <v>85</v>
      </c>
      <c r="J1679" s="5">
        <v>516</v>
      </c>
      <c r="K1679" s="18">
        <f t="shared" si="81"/>
        <v>22.434782608695652</v>
      </c>
    </row>
    <row r="1680" spans="1:11" x14ac:dyDescent="0.3">
      <c r="A1680" s="14">
        <v>2023</v>
      </c>
      <c r="B1680" s="14">
        <f t="shared" si="80"/>
        <v>52</v>
      </c>
      <c r="C1680" s="9">
        <v>45285</v>
      </c>
      <c r="D1680" s="9">
        <v>45289</v>
      </c>
      <c r="E1680" s="14">
        <f>VLOOKUP(F1680,CarrierID!A:B,2,0)</f>
        <v>5</v>
      </c>
      <c r="F1680" s="15" t="s">
        <v>1</v>
      </c>
      <c r="G1680" t="str">
        <f>VLOOKUP(F1680,Carrier_Category!A:B,2,0)</f>
        <v>Intercity</v>
      </c>
      <c r="H1680" s="5">
        <v>60</v>
      </c>
      <c r="I1680" s="7">
        <f t="shared" si="82"/>
        <v>44</v>
      </c>
      <c r="J1680" s="5">
        <v>1172</v>
      </c>
      <c r="K1680" s="18">
        <f t="shared" si="81"/>
        <v>19.533333333333335</v>
      </c>
    </row>
    <row r="1681" spans="1:11" x14ac:dyDescent="0.3">
      <c r="A1681" s="14">
        <v>2023</v>
      </c>
      <c r="B1681" s="14">
        <f t="shared" si="80"/>
        <v>52</v>
      </c>
      <c r="C1681" s="9">
        <v>45285</v>
      </c>
      <c r="D1681" s="9">
        <v>45289</v>
      </c>
      <c r="E1681" s="14">
        <f>VLOOKUP(F1681,CarrierID!A:B,2,0)</f>
        <v>8</v>
      </c>
      <c r="F1681" s="15" t="s">
        <v>2</v>
      </c>
      <c r="G1681" t="str">
        <f>VLOOKUP(F1681,Carrier_Category!A:B,2,0)</f>
        <v>Commuter</v>
      </c>
      <c r="H1681" s="5">
        <v>16</v>
      </c>
      <c r="I1681" s="7">
        <f t="shared" si="82"/>
        <v>59</v>
      </c>
      <c r="J1681" s="5">
        <v>534</v>
      </c>
      <c r="K1681" s="18">
        <f t="shared" si="81"/>
        <v>33.375</v>
      </c>
    </row>
    <row r="1682" spans="1:11" x14ac:dyDescent="0.3">
      <c r="A1682" s="14">
        <v>2023</v>
      </c>
      <c r="B1682" s="14">
        <f t="shared" si="80"/>
        <v>52</v>
      </c>
      <c r="C1682" s="9">
        <v>45285</v>
      </c>
      <c r="D1682" s="9">
        <v>45289</v>
      </c>
      <c r="E1682" s="14">
        <f>VLOOKUP(F1682,CarrierID!A:B,2,0)</f>
        <v>9</v>
      </c>
      <c r="F1682" s="15" t="s">
        <v>3</v>
      </c>
      <c r="G1682" t="str">
        <f>VLOOKUP(F1682,Carrier_Category!A:B,2,0)</f>
        <v>NJT</v>
      </c>
      <c r="H1682" s="5">
        <v>2350</v>
      </c>
      <c r="I1682" s="7">
        <f t="shared" si="82"/>
        <v>18</v>
      </c>
      <c r="J1682" s="5">
        <v>63769</v>
      </c>
      <c r="K1682" s="18">
        <f t="shared" si="81"/>
        <v>27.135744680851065</v>
      </c>
    </row>
    <row r="1683" spans="1:11" x14ac:dyDescent="0.3">
      <c r="A1683" s="14">
        <v>2023</v>
      </c>
      <c r="B1683" s="14">
        <f t="shared" si="80"/>
        <v>52</v>
      </c>
      <c r="C1683" s="9">
        <v>45285</v>
      </c>
      <c r="D1683" s="9">
        <v>45289</v>
      </c>
      <c r="E1683" s="14">
        <f>VLOOKUP(F1683,CarrierID!A:B,2,0)</f>
        <v>7</v>
      </c>
      <c r="F1683" s="15" t="s">
        <v>4</v>
      </c>
      <c r="G1683" t="str">
        <f>VLOOKUP(F1683,Carrier_Category!A:B,2,0)</f>
        <v>Commuter</v>
      </c>
      <c r="H1683" s="5">
        <v>45</v>
      </c>
      <c r="I1683" s="7">
        <f t="shared" si="82"/>
        <v>2373</v>
      </c>
      <c r="J1683" s="5">
        <v>1406</v>
      </c>
      <c r="K1683" s="18">
        <f t="shared" si="81"/>
        <v>31.244444444444444</v>
      </c>
    </row>
    <row r="1684" spans="1:11" x14ac:dyDescent="0.3">
      <c r="A1684" s="14">
        <v>2023</v>
      </c>
      <c r="B1684" s="14">
        <f t="shared" si="80"/>
        <v>52</v>
      </c>
      <c r="C1684" s="9">
        <v>45285</v>
      </c>
      <c r="D1684" s="9">
        <v>45289</v>
      </c>
      <c r="E1684" s="14">
        <f>VLOOKUP(F1684,CarrierID!A:B,2,0)</f>
        <v>11</v>
      </c>
      <c r="F1684" s="15" t="s">
        <v>5</v>
      </c>
      <c r="G1684" t="str">
        <f>VLOOKUP(F1684,Carrier_Category!A:B,2,0)</f>
        <v>Intercity</v>
      </c>
      <c r="H1684" s="5">
        <v>22</v>
      </c>
      <c r="I1684" s="7">
        <f t="shared" si="82"/>
        <v>45</v>
      </c>
      <c r="J1684" s="5">
        <v>572</v>
      </c>
      <c r="K1684" s="18">
        <f t="shared" si="81"/>
        <v>26</v>
      </c>
    </row>
    <row r="1685" spans="1:11" x14ac:dyDescent="0.3">
      <c r="A1685" s="14">
        <v>2023</v>
      </c>
      <c r="B1685" s="14">
        <f t="shared" si="80"/>
        <v>52</v>
      </c>
      <c r="C1685" s="9">
        <v>45285</v>
      </c>
      <c r="D1685" s="9">
        <v>45289</v>
      </c>
      <c r="E1685" s="14">
        <f>VLOOKUP(F1685,CarrierID!A:B,2,0)</f>
        <v>3</v>
      </c>
      <c r="F1685" s="15" t="s">
        <v>6</v>
      </c>
      <c r="G1685" t="str">
        <f>VLOOKUP(F1685,Carrier_Category!A:B,2,0)</f>
        <v>Commuter</v>
      </c>
      <c r="H1685" s="5">
        <v>140</v>
      </c>
      <c r="I1685" s="7">
        <f t="shared" si="82"/>
        <v>22</v>
      </c>
      <c r="J1685" s="5">
        <v>2722</v>
      </c>
      <c r="K1685" s="18">
        <f t="shared" si="81"/>
        <v>19.442857142857143</v>
      </c>
    </row>
    <row r="1686" spans="1:11" x14ac:dyDescent="0.3">
      <c r="A1686" s="14">
        <v>2023</v>
      </c>
      <c r="B1686" s="14">
        <f t="shared" si="80"/>
        <v>52</v>
      </c>
      <c r="C1686" s="9">
        <v>45285</v>
      </c>
      <c r="D1686" s="9">
        <v>45289</v>
      </c>
      <c r="E1686" s="14">
        <f>VLOOKUP(F1686,CarrierID!A:B,2,0)</f>
        <v>12</v>
      </c>
      <c r="F1686" s="15" t="s">
        <v>25</v>
      </c>
      <c r="G1686" t="str">
        <f>VLOOKUP(F1686,Carrier_Category!A:B,2,0)</f>
        <v>Commuter</v>
      </c>
      <c r="H1686" s="5">
        <v>21</v>
      </c>
      <c r="I1686" s="7">
        <f t="shared" si="82"/>
        <v>178</v>
      </c>
      <c r="J1686" s="5">
        <v>496</v>
      </c>
      <c r="K1686" s="18">
        <f t="shared" si="81"/>
        <v>23.61904761904762</v>
      </c>
    </row>
    <row r="1687" spans="1:11" x14ac:dyDescent="0.3">
      <c r="A1687" s="14">
        <v>2023</v>
      </c>
      <c r="B1687" s="14">
        <f t="shared" si="80"/>
        <v>52</v>
      </c>
      <c r="C1687" s="9">
        <v>45285</v>
      </c>
      <c r="D1687" s="9">
        <v>45289</v>
      </c>
      <c r="E1687" s="14">
        <f>VLOOKUP(F1687,CarrierID!A:B,2,0)</f>
        <v>10</v>
      </c>
      <c r="F1687" s="15" t="s">
        <v>8</v>
      </c>
      <c r="G1687" t="str">
        <f>VLOOKUP(F1687,Carrier_Category!A:B,2,0)</f>
        <v>Intercity</v>
      </c>
      <c r="H1687" s="5">
        <v>23</v>
      </c>
      <c r="I1687" s="7">
        <f t="shared" si="82"/>
        <v>23</v>
      </c>
      <c r="J1687" s="5">
        <v>745</v>
      </c>
      <c r="K1687" s="18">
        <f t="shared" si="81"/>
        <v>32.391304347826086</v>
      </c>
    </row>
    <row r="1688" spans="1:11" x14ac:dyDescent="0.3">
      <c r="A1688" s="14">
        <v>2023</v>
      </c>
      <c r="B1688" s="14">
        <f t="shared" si="80"/>
        <v>52</v>
      </c>
      <c r="C1688" s="9">
        <v>45285</v>
      </c>
      <c r="D1688" s="9">
        <v>45289</v>
      </c>
      <c r="E1688" s="14">
        <f>VLOOKUP(F1688,CarrierID!A:B,2,0)</f>
        <v>6</v>
      </c>
      <c r="F1688" s="15" t="s">
        <v>9</v>
      </c>
      <c r="G1688" t="str">
        <f>VLOOKUP(F1688,Carrier_Category!A:B,2,0)</f>
        <v>Commuter</v>
      </c>
      <c r="H1688" s="5">
        <v>75</v>
      </c>
      <c r="I1688" s="7">
        <f t="shared" si="82"/>
        <v>23</v>
      </c>
      <c r="J1688" s="5">
        <v>1245</v>
      </c>
      <c r="K1688" s="18">
        <f t="shared" si="81"/>
        <v>16.600000000000001</v>
      </c>
    </row>
    <row r="1689" spans="1:11" x14ac:dyDescent="0.3">
      <c r="A1689" s="14">
        <v>2024</v>
      </c>
      <c r="B1689" s="14">
        <f t="shared" si="80"/>
        <v>1</v>
      </c>
      <c r="C1689" s="9">
        <v>45292</v>
      </c>
      <c r="D1689" s="9">
        <v>45296</v>
      </c>
      <c r="E1689" s="14">
        <f>VLOOKUP(F1689,CarrierID!A:B,2,0)</f>
        <v>1</v>
      </c>
      <c r="F1689" s="15" t="s">
        <v>0</v>
      </c>
      <c r="G1689" t="str">
        <f>VLOOKUP(F1689,Carrier_Category!A:B,2,0)</f>
        <v>Commuter</v>
      </c>
      <c r="H1689" s="5">
        <v>37</v>
      </c>
      <c r="I1689" s="7">
        <f t="shared" si="82"/>
        <v>85</v>
      </c>
      <c r="J1689" s="5">
        <v>1068</v>
      </c>
      <c r="K1689" s="18">
        <f t="shared" si="81"/>
        <v>28.864864864864863</v>
      </c>
    </row>
    <row r="1690" spans="1:11" x14ac:dyDescent="0.3">
      <c r="A1690" s="14">
        <v>2024</v>
      </c>
      <c r="B1690" s="14">
        <f t="shared" si="80"/>
        <v>1</v>
      </c>
      <c r="C1690" s="9">
        <v>45292</v>
      </c>
      <c r="D1690" s="9">
        <v>45296</v>
      </c>
      <c r="E1690" s="14">
        <f>VLOOKUP(F1690,CarrierID!A:B,2,0)</f>
        <v>5</v>
      </c>
      <c r="F1690" s="15" t="s">
        <v>1</v>
      </c>
      <c r="G1690" t="str">
        <f>VLOOKUP(F1690,Carrier_Category!A:B,2,0)</f>
        <v>Intercity</v>
      </c>
      <c r="H1690" s="5">
        <v>60</v>
      </c>
      <c r="I1690" s="7">
        <f t="shared" si="82"/>
        <v>23</v>
      </c>
      <c r="J1690" s="5">
        <v>1172</v>
      </c>
      <c r="K1690" s="18">
        <f t="shared" si="81"/>
        <v>19.533333333333335</v>
      </c>
    </row>
    <row r="1691" spans="1:11" x14ac:dyDescent="0.3">
      <c r="A1691" s="14">
        <v>2024</v>
      </c>
      <c r="B1691" s="14">
        <f t="shared" si="80"/>
        <v>1</v>
      </c>
      <c r="C1691" s="9">
        <v>45292</v>
      </c>
      <c r="D1691" s="9">
        <v>45296</v>
      </c>
      <c r="E1691" s="14">
        <f>VLOOKUP(F1691,CarrierID!A:B,2,0)</f>
        <v>8</v>
      </c>
      <c r="F1691" s="15" t="s">
        <v>2</v>
      </c>
      <c r="G1691" t="str">
        <f>VLOOKUP(F1691,Carrier_Category!A:B,2,0)</f>
        <v>Commuter</v>
      </c>
      <c r="H1691" s="5">
        <v>18</v>
      </c>
      <c r="I1691" s="7">
        <f t="shared" si="82"/>
        <v>60</v>
      </c>
      <c r="J1691" s="5">
        <v>670</v>
      </c>
      <c r="K1691" s="18">
        <f t="shared" si="81"/>
        <v>37.222222222222221</v>
      </c>
    </row>
    <row r="1692" spans="1:11" x14ac:dyDescent="0.3">
      <c r="A1692" s="14">
        <v>2024</v>
      </c>
      <c r="B1692" s="14">
        <f t="shared" si="80"/>
        <v>1</v>
      </c>
      <c r="C1692" s="9">
        <v>45292</v>
      </c>
      <c r="D1692" s="9">
        <v>45296</v>
      </c>
      <c r="E1692" s="14">
        <f>VLOOKUP(F1692,CarrierID!A:B,2,0)</f>
        <v>9</v>
      </c>
      <c r="F1692" s="15" t="s">
        <v>3</v>
      </c>
      <c r="G1692" t="str">
        <f>VLOOKUP(F1692,Carrier_Category!A:B,2,0)</f>
        <v>NJT</v>
      </c>
      <c r="H1692" s="5">
        <v>2406</v>
      </c>
      <c r="I1692" s="7">
        <f t="shared" si="82"/>
        <v>16</v>
      </c>
      <c r="J1692" s="5">
        <v>77875</v>
      </c>
      <c r="K1692" s="18">
        <f t="shared" si="81"/>
        <v>32.366999168744805</v>
      </c>
    </row>
    <row r="1693" spans="1:11" x14ac:dyDescent="0.3">
      <c r="A1693" s="14">
        <v>2024</v>
      </c>
      <c r="B1693" s="14">
        <f t="shared" si="80"/>
        <v>1</v>
      </c>
      <c r="C1693" s="9">
        <v>45292</v>
      </c>
      <c r="D1693" s="9">
        <v>45296</v>
      </c>
      <c r="E1693" s="14">
        <f>VLOOKUP(F1693,CarrierID!A:B,2,0)</f>
        <v>7</v>
      </c>
      <c r="F1693" s="15" t="s">
        <v>4</v>
      </c>
      <c r="G1693" t="str">
        <f>VLOOKUP(F1693,Carrier_Category!A:B,2,0)</f>
        <v>Commuter</v>
      </c>
      <c r="H1693" s="5">
        <v>45</v>
      </c>
      <c r="I1693" s="7">
        <f t="shared" si="82"/>
        <v>2350</v>
      </c>
      <c r="J1693" s="5">
        <v>1406</v>
      </c>
      <c r="K1693" s="18">
        <f t="shared" si="81"/>
        <v>31.244444444444444</v>
      </c>
    </row>
    <row r="1694" spans="1:11" x14ac:dyDescent="0.3">
      <c r="A1694" s="14">
        <v>2024</v>
      </c>
      <c r="B1694" s="14">
        <f t="shared" si="80"/>
        <v>1</v>
      </c>
      <c r="C1694" s="9">
        <v>45292</v>
      </c>
      <c r="D1694" s="9">
        <v>45296</v>
      </c>
      <c r="E1694" s="14">
        <f>VLOOKUP(F1694,CarrierID!A:B,2,0)</f>
        <v>11</v>
      </c>
      <c r="F1694" s="15" t="s">
        <v>5</v>
      </c>
      <c r="G1694" t="str">
        <f>VLOOKUP(F1694,Carrier_Category!A:B,2,0)</f>
        <v>Intercity</v>
      </c>
      <c r="H1694" s="5">
        <v>21</v>
      </c>
      <c r="I1694" s="7">
        <f t="shared" si="82"/>
        <v>45</v>
      </c>
      <c r="J1694" s="5">
        <v>542</v>
      </c>
      <c r="K1694" s="18">
        <f t="shared" si="81"/>
        <v>25.80952380952381</v>
      </c>
    </row>
    <row r="1695" spans="1:11" x14ac:dyDescent="0.3">
      <c r="A1695" s="14">
        <v>2024</v>
      </c>
      <c r="B1695" s="14">
        <f t="shared" si="80"/>
        <v>1</v>
      </c>
      <c r="C1695" s="9">
        <v>45292</v>
      </c>
      <c r="D1695" s="9">
        <v>45296</v>
      </c>
      <c r="E1695" s="14">
        <f>VLOOKUP(F1695,CarrierID!A:B,2,0)</f>
        <v>3</v>
      </c>
      <c r="F1695" s="15" t="s">
        <v>6</v>
      </c>
      <c r="G1695" t="str">
        <f>VLOOKUP(F1695,Carrier_Category!A:B,2,0)</f>
        <v>Commuter</v>
      </c>
      <c r="H1695" s="5">
        <v>150</v>
      </c>
      <c r="I1695" s="7">
        <f t="shared" si="82"/>
        <v>22</v>
      </c>
      <c r="J1695" s="5">
        <v>4426</v>
      </c>
      <c r="K1695" s="18">
        <f t="shared" si="81"/>
        <v>29.506666666666668</v>
      </c>
    </row>
    <row r="1696" spans="1:11" x14ac:dyDescent="0.3">
      <c r="A1696" s="14">
        <v>2024</v>
      </c>
      <c r="B1696" s="14">
        <f t="shared" si="80"/>
        <v>1</v>
      </c>
      <c r="C1696" s="9">
        <v>45292</v>
      </c>
      <c r="D1696" s="9">
        <v>45296</v>
      </c>
      <c r="E1696" s="14">
        <f>VLOOKUP(F1696,CarrierID!A:B,2,0)</f>
        <v>12</v>
      </c>
      <c r="F1696" s="15" t="s">
        <v>25</v>
      </c>
      <c r="G1696" t="str">
        <f>VLOOKUP(F1696,Carrier_Category!A:B,2,0)</f>
        <v>Commuter</v>
      </c>
      <c r="H1696" s="5">
        <v>21</v>
      </c>
      <c r="I1696" s="7">
        <f t="shared" si="82"/>
        <v>140</v>
      </c>
      <c r="J1696" s="5">
        <v>556</v>
      </c>
      <c r="K1696" s="18">
        <f t="shared" si="81"/>
        <v>26.476190476190474</v>
      </c>
    </row>
    <row r="1697" spans="1:11" x14ac:dyDescent="0.3">
      <c r="A1697" s="14">
        <v>2024</v>
      </c>
      <c r="B1697" s="14">
        <f t="shared" si="80"/>
        <v>1</v>
      </c>
      <c r="C1697" s="9">
        <v>45292</v>
      </c>
      <c r="D1697" s="9">
        <v>45296</v>
      </c>
      <c r="E1697" s="14">
        <f>VLOOKUP(F1697,CarrierID!A:B,2,0)</f>
        <v>10</v>
      </c>
      <c r="F1697" s="15" t="s">
        <v>8</v>
      </c>
      <c r="G1697" t="str">
        <f>VLOOKUP(F1697,Carrier_Category!A:B,2,0)</f>
        <v>Intercity</v>
      </c>
      <c r="H1697" s="5">
        <v>23</v>
      </c>
      <c r="I1697" s="7">
        <f t="shared" si="82"/>
        <v>21</v>
      </c>
      <c r="J1697" s="5">
        <v>745</v>
      </c>
      <c r="K1697" s="18">
        <f t="shared" si="81"/>
        <v>32.391304347826086</v>
      </c>
    </row>
    <row r="1698" spans="1:11" x14ac:dyDescent="0.3">
      <c r="A1698" s="14">
        <v>2024</v>
      </c>
      <c r="B1698" s="14">
        <f t="shared" si="80"/>
        <v>1</v>
      </c>
      <c r="C1698" s="9">
        <v>45292</v>
      </c>
      <c r="D1698" s="9">
        <v>45296</v>
      </c>
      <c r="E1698" s="14">
        <f>VLOOKUP(F1698,CarrierID!A:B,2,0)</f>
        <v>6</v>
      </c>
      <c r="F1698" s="15" t="s">
        <v>9</v>
      </c>
      <c r="G1698" t="str">
        <f>VLOOKUP(F1698,Carrier_Category!A:B,2,0)</f>
        <v>Commuter</v>
      </c>
      <c r="H1698" s="5">
        <v>75</v>
      </c>
      <c r="I1698" s="7">
        <f t="shared" si="82"/>
        <v>23</v>
      </c>
      <c r="J1698" s="5">
        <v>1245</v>
      </c>
      <c r="K1698" s="18">
        <f t="shared" si="81"/>
        <v>16.600000000000001</v>
      </c>
    </row>
    <row r="1699" spans="1:11" x14ac:dyDescent="0.3">
      <c r="A1699" s="14">
        <v>2024</v>
      </c>
      <c r="B1699" s="14">
        <f t="shared" si="80"/>
        <v>2</v>
      </c>
      <c r="C1699" s="9">
        <v>45299</v>
      </c>
      <c r="D1699" s="9">
        <v>45303</v>
      </c>
      <c r="E1699" s="14">
        <f>VLOOKUP(F1699,CarrierID!A:B,2,0)</f>
        <v>1</v>
      </c>
      <c r="F1699" s="15" t="s">
        <v>0</v>
      </c>
      <c r="G1699" t="str">
        <f>VLOOKUP(F1699,Carrier_Category!A:B,2,0)</f>
        <v>Commuter</v>
      </c>
      <c r="H1699" s="5">
        <v>40</v>
      </c>
      <c r="I1699" s="7">
        <f t="shared" si="82"/>
        <v>75</v>
      </c>
      <c r="J1699" s="5">
        <v>1217</v>
      </c>
      <c r="K1699" s="18">
        <f t="shared" si="81"/>
        <v>30.425000000000001</v>
      </c>
    </row>
    <row r="1700" spans="1:11" x14ac:dyDescent="0.3">
      <c r="A1700" s="14">
        <v>2024</v>
      </c>
      <c r="B1700" s="14">
        <f t="shared" si="80"/>
        <v>2</v>
      </c>
      <c r="C1700" s="9">
        <v>45299</v>
      </c>
      <c r="D1700" s="9">
        <v>45303</v>
      </c>
      <c r="E1700" s="14">
        <f>VLOOKUP(F1700,CarrierID!A:B,2,0)</f>
        <v>5</v>
      </c>
      <c r="F1700" s="15" t="s">
        <v>1</v>
      </c>
      <c r="G1700" t="str">
        <f>VLOOKUP(F1700,Carrier_Category!A:B,2,0)</f>
        <v>Intercity</v>
      </c>
      <c r="H1700" s="5">
        <v>56</v>
      </c>
      <c r="I1700" s="7">
        <f t="shared" si="82"/>
        <v>37</v>
      </c>
      <c r="J1700" s="5">
        <v>1285</v>
      </c>
      <c r="K1700" s="18">
        <f t="shared" si="81"/>
        <v>22.946428571428573</v>
      </c>
    </row>
    <row r="1701" spans="1:11" x14ac:dyDescent="0.3">
      <c r="A1701" s="14">
        <v>2024</v>
      </c>
      <c r="B1701" s="14">
        <f t="shared" si="80"/>
        <v>2</v>
      </c>
      <c r="C1701" s="9">
        <v>45299</v>
      </c>
      <c r="D1701" s="9">
        <v>45303</v>
      </c>
      <c r="E1701" s="14">
        <f>VLOOKUP(F1701,CarrierID!A:B,2,0)</f>
        <v>8</v>
      </c>
      <c r="F1701" s="15" t="s">
        <v>2</v>
      </c>
      <c r="G1701" t="str">
        <f>VLOOKUP(F1701,Carrier_Category!A:B,2,0)</f>
        <v>Commuter</v>
      </c>
      <c r="H1701" s="5">
        <v>18</v>
      </c>
      <c r="I1701" s="7">
        <f t="shared" si="82"/>
        <v>60</v>
      </c>
      <c r="J1701" s="5">
        <v>688</v>
      </c>
      <c r="K1701" s="18">
        <f t="shared" si="81"/>
        <v>38.222222222222221</v>
      </c>
    </row>
    <row r="1702" spans="1:11" x14ac:dyDescent="0.3">
      <c r="A1702" s="14">
        <v>2024</v>
      </c>
      <c r="B1702" s="14">
        <f t="shared" si="80"/>
        <v>2</v>
      </c>
      <c r="C1702" s="9">
        <v>45299</v>
      </c>
      <c r="D1702" s="9">
        <v>45303</v>
      </c>
      <c r="E1702" s="14">
        <f>VLOOKUP(F1702,CarrierID!A:B,2,0)</f>
        <v>9</v>
      </c>
      <c r="F1702" s="15" t="s">
        <v>3</v>
      </c>
      <c r="G1702" t="str">
        <f>VLOOKUP(F1702,Carrier_Category!A:B,2,0)</f>
        <v>NJT</v>
      </c>
      <c r="H1702" s="5">
        <v>2413</v>
      </c>
      <c r="I1702" s="7">
        <f t="shared" si="82"/>
        <v>18</v>
      </c>
      <c r="J1702" s="5">
        <v>72328</v>
      </c>
      <c r="K1702" s="18">
        <f t="shared" si="81"/>
        <v>29.974305843348528</v>
      </c>
    </row>
    <row r="1703" spans="1:11" x14ac:dyDescent="0.3">
      <c r="A1703" s="14">
        <v>2024</v>
      </c>
      <c r="B1703" s="14">
        <f t="shared" si="80"/>
        <v>2</v>
      </c>
      <c r="C1703" s="9">
        <v>45299</v>
      </c>
      <c r="D1703" s="9">
        <v>45303</v>
      </c>
      <c r="E1703" s="14">
        <f>VLOOKUP(F1703,CarrierID!A:B,2,0)</f>
        <v>7</v>
      </c>
      <c r="F1703" s="15" t="s">
        <v>4</v>
      </c>
      <c r="G1703" t="str">
        <f>VLOOKUP(F1703,Carrier_Category!A:B,2,0)</f>
        <v>Commuter</v>
      </c>
      <c r="H1703" s="5">
        <v>43</v>
      </c>
      <c r="I1703" s="7">
        <f t="shared" si="82"/>
        <v>2406</v>
      </c>
      <c r="J1703" s="5">
        <v>1269</v>
      </c>
      <c r="K1703" s="18">
        <f t="shared" si="81"/>
        <v>29.511627906976745</v>
      </c>
    </row>
    <row r="1704" spans="1:11" x14ac:dyDescent="0.3">
      <c r="A1704" s="14">
        <v>2024</v>
      </c>
      <c r="B1704" s="14">
        <f t="shared" si="80"/>
        <v>2</v>
      </c>
      <c r="C1704" s="9">
        <v>45299</v>
      </c>
      <c r="D1704" s="9">
        <v>45303</v>
      </c>
      <c r="E1704" s="14">
        <f>VLOOKUP(F1704,CarrierID!A:B,2,0)</f>
        <v>11</v>
      </c>
      <c r="F1704" s="15" t="s">
        <v>5</v>
      </c>
      <c r="G1704" t="str">
        <f>VLOOKUP(F1704,Carrier_Category!A:B,2,0)</f>
        <v>Intercity</v>
      </c>
      <c r="H1704" s="5">
        <v>19</v>
      </c>
      <c r="I1704" s="7">
        <f t="shared" si="82"/>
        <v>45</v>
      </c>
      <c r="J1704" s="5">
        <v>379</v>
      </c>
      <c r="K1704" s="18">
        <f t="shared" si="81"/>
        <v>19.94736842105263</v>
      </c>
    </row>
    <row r="1705" spans="1:11" x14ac:dyDescent="0.3">
      <c r="A1705" s="14">
        <v>2024</v>
      </c>
      <c r="B1705" s="14">
        <f t="shared" si="80"/>
        <v>2</v>
      </c>
      <c r="C1705" s="9">
        <v>45299</v>
      </c>
      <c r="D1705" s="9">
        <v>45303</v>
      </c>
      <c r="E1705" s="14">
        <f>VLOOKUP(F1705,CarrierID!A:B,2,0)</f>
        <v>3</v>
      </c>
      <c r="F1705" s="15" t="s">
        <v>6</v>
      </c>
      <c r="G1705" t="str">
        <f>VLOOKUP(F1705,Carrier_Category!A:B,2,0)</f>
        <v>Commuter</v>
      </c>
      <c r="H1705" s="5">
        <v>180</v>
      </c>
      <c r="I1705" s="7">
        <f t="shared" si="82"/>
        <v>21</v>
      </c>
      <c r="J1705" s="5">
        <v>4963</v>
      </c>
      <c r="K1705" s="18">
        <f t="shared" si="81"/>
        <v>27.572222222222223</v>
      </c>
    </row>
    <row r="1706" spans="1:11" x14ac:dyDescent="0.3">
      <c r="A1706" s="14">
        <v>2024</v>
      </c>
      <c r="B1706" s="14">
        <f t="shared" si="80"/>
        <v>2</v>
      </c>
      <c r="C1706" s="9">
        <v>45299</v>
      </c>
      <c r="D1706" s="9">
        <v>45303</v>
      </c>
      <c r="E1706" s="14">
        <f>VLOOKUP(F1706,CarrierID!A:B,2,0)</f>
        <v>12</v>
      </c>
      <c r="F1706" s="15" t="s">
        <v>25</v>
      </c>
      <c r="G1706" t="str">
        <f>VLOOKUP(F1706,Carrier_Category!A:B,2,0)</f>
        <v>Commuter</v>
      </c>
      <c r="H1706" s="5">
        <v>24</v>
      </c>
      <c r="I1706" s="7">
        <f t="shared" si="82"/>
        <v>150</v>
      </c>
      <c r="J1706" s="5">
        <v>610</v>
      </c>
      <c r="K1706" s="18">
        <f t="shared" si="81"/>
        <v>25.416666666666668</v>
      </c>
    </row>
    <row r="1707" spans="1:11" x14ac:dyDescent="0.3">
      <c r="A1707" s="14">
        <v>2024</v>
      </c>
      <c r="B1707" s="14">
        <f t="shared" si="80"/>
        <v>2</v>
      </c>
      <c r="C1707" s="9">
        <v>45299</v>
      </c>
      <c r="D1707" s="9">
        <v>45303</v>
      </c>
      <c r="E1707" s="14">
        <f>VLOOKUP(F1707,CarrierID!A:B,2,0)</f>
        <v>10</v>
      </c>
      <c r="F1707" s="15" t="s">
        <v>8</v>
      </c>
      <c r="G1707" t="str">
        <f>VLOOKUP(F1707,Carrier_Category!A:B,2,0)</f>
        <v>Intercity</v>
      </c>
      <c r="H1707" s="5">
        <v>23</v>
      </c>
      <c r="I1707" s="7">
        <f t="shared" si="82"/>
        <v>21</v>
      </c>
      <c r="J1707" s="5">
        <v>745</v>
      </c>
      <c r="K1707" s="18">
        <f t="shared" si="81"/>
        <v>32.391304347826086</v>
      </c>
    </row>
    <row r="1708" spans="1:11" x14ac:dyDescent="0.3">
      <c r="A1708" s="14">
        <v>2024</v>
      </c>
      <c r="B1708" s="14">
        <f t="shared" si="80"/>
        <v>2</v>
      </c>
      <c r="C1708" s="9">
        <v>45299</v>
      </c>
      <c r="D1708" s="9">
        <v>45303</v>
      </c>
      <c r="E1708" s="14">
        <f>VLOOKUP(F1708,CarrierID!A:B,2,0)</f>
        <v>6</v>
      </c>
      <c r="F1708" s="15" t="s">
        <v>9</v>
      </c>
      <c r="G1708" t="str">
        <f>VLOOKUP(F1708,Carrier_Category!A:B,2,0)</f>
        <v>Commuter</v>
      </c>
      <c r="H1708" s="5">
        <v>86</v>
      </c>
      <c r="I1708" s="7">
        <f t="shared" si="82"/>
        <v>23</v>
      </c>
      <c r="J1708" s="5">
        <v>1363</v>
      </c>
      <c r="K1708" s="18">
        <f t="shared" si="81"/>
        <v>15.848837209302326</v>
      </c>
    </row>
    <row r="1709" spans="1:11" x14ac:dyDescent="0.3">
      <c r="A1709" s="14">
        <v>2024</v>
      </c>
      <c r="B1709" s="14">
        <f t="shared" si="80"/>
        <v>3</v>
      </c>
      <c r="C1709" s="9">
        <v>45306</v>
      </c>
      <c r="D1709" s="9">
        <v>45310</v>
      </c>
      <c r="E1709" s="14">
        <f>VLOOKUP(F1709,CarrierID!A:B,2,0)</f>
        <v>1</v>
      </c>
      <c r="F1709" s="15" t="s">
        <v>0</v>
      </c>
      <c r="G1709" t="str">
        <f>VLOOKUP(F1709,Carrier_Category!A:B,2,0)</f>
        <v>Commuter</v>
      </c>
      <c r="H1709" s="5">
        <v>38</v>
      </c>
      <c r="I1709" s="7">
        <f t="shared" si="82"/>
        <v>75</v>
      </c>
      <c r="J1709" s="5">
        <v>1003</v>
      </c>
      <c r="K1709" s="18">
        <f t="shared" si="81"/>
        <v>26.394736842105264</v>
      </c>
    </row>
    <row r="1710" spans="1:11" x14ac:dyDescent="0.3">
      <c r="A1710" s="14">
        <v>2024</v>
      </c>
      <c r="B1710" s="14">
        <f t="shared" si="80"/>
        <v>3</v>
      </c>
      <c r="C1710" s="9">
        <v>45306</v>
      </c>
      <c r="D1710" s="9">
        <v>45310</v>
      </c>
      <c r="E1710" s="14">
        <f>VLOOKUP(F1710,CarrierID!A:B,2,0)</f>
        <v>5</v>
      </c>
      <c r="F1710" s="15" t="s">
        <v>1</v>
      </c>
      <c r="G1710" t="str">
        <f>VLOOKUP(F1710,Carrier_Category!A:B,2,0)</f>
        <v>Intercity</v>
      </c>
      <c r="H1710" s="5">
        <v>56</v>
      </c>
      <c r="I1710" s="7">
        <f t="shared" si="82"/>
        <v>40</v>
      </c>
      <c r="J1710" s="5">
        <v>1352</v>
      </c>
      <c r="K1710" s="18">
        <f t="shared" si="81"/>
        <v>24.142857142857142</v>
      </c>
    </row>
    <row r="1711" spans="1:11" x14ac:dyDescent="0.3">
      <c r="A1711" s="14">
        <v>2024</v>
      </c>
      <c r="B1711" s="14">
        <f t="shared" si="80"/>
        <v>3</v>
      </c>
      <c r="C1711" s="9">
        <v>45306</v>
      </c>
      <c r="D1711" s="9">
        <v>45310</v>
      </c>
      <c r="E1711" s="14">
        <f>VLOOKUP(F1711,CarrierID!A:B,2,0)</f>
        <v>8</v>
      </c>
      <c r="F1711" s="15" t="s">
        <v>2</v>
      </c>
      <c r="G1711" t="str">
        <f>VLOOKUP(F1711,Carrier_Category!A:B,2,0)</f>
        <v>Commuter</v>
      </c>
      <c r="H1711" s="5">
        <v>17</v>
      </c>
      <c r="I1711" s="7">
        <f t="shared" si="82"/>
        <v>56</v>
      </c>
      <c r="J1711" s="5">
        <v>606</v>
      </c>
      <c r="K1711" s="18">
        <f t="shared" si="81"/>
        <v>35.647058823529413</v>
      </c>
    </row>
    <row r="1712" spans="1:11" x14ac:dyDescent="0.3">
      <c r="A1712" s="14">
        <v>2024</v>
      </c>
      <c r="B1712" s="14">
        <f t="shared" si="80"/>
        <v>3</v>
      </c>
      <c r="C1712" s="9">
        <v>45306</v>
      </c>
      <c r="D1712" s="9">
        <v>45310</v>
      </c>
      <c r="E1712" s="14">
        <f>VLOOKUP(F1712,CarrierID!A:B,2,0)</f>
        <v>9</v>
      </c>
      <c r="F1712" s="15" t="s">
        <v>3</v>
      </c>
      <c r="G1712" t="str">
        <f>VLOOKUP(F1712,Carrier_Category!A:B,2,0)</f>
        <v>NJT</v>
      </c>
      <c r="H1712" s="5">
        <v>2417</v>
      </c>
      <c r="I1712" s="7">
        <f t="shared" si="82"/>
        <v>18</v>
      </c>
      <c r="J1712" s="5">
        <v>75743</v>
      </c>
      <c r="K1712" s="18">
        <f t="shared" si="81"/>
        <v>31.337608605709558</v>
      </c>
    </row>
    <row r="1713" spans="1:11" x14ac:dyDescent="0.3">
      <c r="A1713" s="14">
        <v>2024</v>
      </c>
      <c r="B1713" s="14">
        <f t="shared" si="80"/>
        <v>3</v>
      </c>
      <c r="C1713" s="9">
        <v>45306</v>
      </c>
      <c r="D1713" s="9">
        <v>45310</v>
      </c>
      <c r="E1713" s="14">
        <f>VLOOKUP(F1713,CarrierID!A:B,2,0)</f>
        <v>7</v>
      </c>
      <c r="F1713" s="15" t="s">
        <v>4</v>
      </c>
      <c r="G1713" t="str">
        <f>VLOOKUP(F1713,Carrier_Category!A:B,2,0)</f>
        <v>Commuter</v>
      </c>
      <c r="H1713" s="5">
        <v>42</v>
      </c>
      <c r="I1713" s="7">
        <f t="shared" si="82"/>
        <v>2413</v>
      </c>
      <c r="J1713" s="5">
        <v>1240</v>
      </c>
      <c r="K1713" s="18">
        <f t="shared" si="81"/>
        <v>29.523809523809526</v>
      </c>
    </row>
    <row r="1714" spans="1:11" x14ac:dyDescent="0.3">
      <c r="A1714" s="14">
        <v>2024</v>
      </c>
      <c r="B1714" s="14">
        <f t="shared" si="80"/>
        <v>3</v>
      </c>
      <c r="C1714" s="9">
        <v>45306</v>
      </c>
      <c r="D1714" s="9">
        <v>45310</v>
      </c>
      <c r="E1714" s="14">
        <f>VLOOKUP(F1714,CarrierID!A:B,2,0)</f>
        <v>11</v>
      </c>
      <c r="F1714" s="15" t="s">
        <v>5</v>
      </c>
      <c r="G1714" t="str">
        <f>VLOOKUP(F1714,Carrier_Category!A:B,2,0)</f>
        <v>Intercity</v>
      </c>
      <c r="H1714" s="5">
        <v>21</v>
      </c>
      <c r="I1714" s="7">
        <f t="shared" si="82"/>
        <v>43</v>
      </c>
      <c r="J1714" s="5">
        <v>521</v>
      </c>
      <c r="K1714" s="18">
        <f t="shared" si="81"/>
        <v>24.80952380952381</v>
      </c>
    </row>
    <row r="1715" spans="1:11" x14ac:dyDescent="0.3">
      <c r="A1715" s="14">
        <v>2024</v>
      </c>
      <c r="B1715" s="14">
        <f t="shared" si="80"/>
        <v>3</v>
      </c>
      <c r="C1715" s="9">
        <v>45306</v>
      </c>
      <c r="D1715" s="9">
        <v>45310</v>
      </c>
      <c r="E1715" s="14">
        <f>VLOOKUP(F1715,CarrierID!A:B,2,0)</f>
        <v>3</v>
      </c>
      <c r="F1715" s="15" t="s">
        <v>6</v>
      </c>
      <c r="G1715" t="str">
        <f>VLOOKUP(F1715,Carrier_Category!A:B,2,0)</f>
        <v>Commuter</v>
      </c>
      <c r="H1715" s="5">
        <v>166</v>
      </c>
      <c r="I1715" s="7">
        <f t="shared" si="82"/>
        <v>19</v>
      </c>
      <c r="J1715" s="5">
        <v>4259</v>
      </c>
      <c r="K1715" s="18">
        <f t="shared" si="81"/>
        <v>25.656626506024097</v>
      </c>
    </row>
    <row r="1716" spans="1:11" x14ac:dyDescent="0.3">
      <c r="A1716" s="14">
        <v>2024</v>
      </c>
      <c r="B1716" s="14">
        <f t="shared" si="80"/>
        <v>3</v>
      </c>
      <c r="C1716" s="9">
        <v>45306</v>
      </c>
      <c r="D1716" s="9">
        <v>45310</v>
      </c>
      <c r="E1716" s="14">
        <f>VLOOKUP(F1716,CarrierID!A:B,2,0)</f>
        <v>12</v>
      </c>
      <c r="F1716" s="15" t="s">
        <v>25</v>
      </c>
      <c r="G1716" t="str">
        <f>VLOOKUP(F1716,Carrier_Category!A:B,2,0)</f>
        <v>Commuter</v>
      </c>
      <c r="H1716" s="5">
        <v>23</v>
      </c>
      <c r="I1716" s="7">
        <f t="shared" si="82"/>
        <v>180</v>
      </c>
      <c r="J1716" s="5">
        <v>555</v>
      </c>
      <c r="K1716" s="18">
        <f t="shared" si="81"/>
        <v>24.130434782608695</v>
      </c>
    </row>
    <row r="1717" spans="1:11" x14ac:dyDescent="0.3">
      <c r="A1717" s="14">
        <v>2024</v>
      </c>
      <c r="B1717" s="14">
        <f t="shared" si="80"/>
        <v>3</v>
      </c>
      <c r="C1717" s="9">
        <v>45306</v>
      </c>
      <c r="D1717" s="9">
        <v>45310</v>
      </c>
      <c r="E1717" s="14">
        <f>VLOOKUP(F1717,CarrierID!A:B,2,0)</f>
        <v>10</v>
      </c>
      <c r="F1717" s="15" t="s">
        <v>8</v>
      </c>
      <c r="G1717" t="str">
        <f>VLOOKUP(F1717,Carrier_Category!A:B,2,0)</f>
        <v>Intercity</v>
      </c>
      <c r="H1717" s="5">
        <v>23</v>
      </c>
      <c r="I1717" s="7">
        <f t="shared" si="82"/>
        <v>24</v>
      </c>
      <c r="J1717" s="5">
        <v>745</v>
      </c>
      <c r="K1717" s="18">
        <f t="shared" si="81"/>
        <v>32.391304347826086</v>
      </c>
    </row>
    <row r="1718" spans="1:11" x14ac:dyDescent="0.3">
      <c r="A1718" s="14">
        <v>2024</v>
      </c>
      <c r="B1718" s="14">
        <f t="shared" si="80"/>
        <v>3</v>
      </c>
      <c r="C1718" s="9">
        <v>45306</v>
      </c>
      <c r="D1718" s="9">
        <v>45310</v>
      </c>
      <c r="E1718" s="14">
        <f>VLOOKUP(F1718,CarrierID!A:B,2,0)</f>
        <v>6</v>
      </c>
      <c r="F1718" s="15" t="s">
        <v>9</v>
      </c>
      <c r="G1718" t="str">
        <f>VLOOKUP(F1718,Carrier_Category!A:B,2,0)</f>
        <v>Commuter</v>
      </c>
      <c r="H1718" s="5">
        <v>86</v>
      </c>
      <c r="I1718" s="7">
        <f t="shared" si="82"/>
        <v>23</v>
      </c>
      <c r="J1718" s="5">
        <v>1266</v>
      </c>
      <c r="K1718" s="18">
        <f t="shared" si="81"/>
        <v>14.720930232558139</v>
      </c>
    </row>
    <row r="1719" spans="1:11" x14ac:dyDescent="0.3">
      <c r="A1719" s="14">
        <v>2024</v>
      </c>
      <c r="B1719" s="14">
        <f t="shared" si="80"/>
        <v>4</v>
      </c>
      <c r="C1719" s="9">
        <v>45313</v>
      </c>
      <c r="D1719" s="9">
        <v>45317</v>
      </c>
      <c r="E1719" s="14">
        <f>VLOOKUP(F1719,CarrierID!A:B,2,0)</f>
        <v>1</v>
      </c>
      <c r="F1719" s="15" t="s">
        <v>0</v>
      </c>
      <c r="G1719" t="str">
        <f>VLOOKUP(F1719,Carrier_Category!A:B,2,0)</f>
        <v>Commuter</v>
      </c>
      <c r="H1719" s="5">
        <v>44</v>
      </c>
      <c r="I1719" s="7">
        <f t="shared" si="82"/>
        <v>86</v>
      </c>
      <c r="J1719" s="5">
        <v>1247</v>
      </c>
      <c r="K1719" s="18">
        <f t="shared" si="81"/>
        <v>28.34090909090909</v>
      </c>
    </row>
    <row r="1720" spans="1:11" x14ac:dyDescent="0.3">
      <c r="A1720" s="14">
        <v>2024</v>
      </c>
      <c r="B1720" s="14">
        <f t="shared" si="80"/>
        <v>4</v>
      </c>
      <c r="C1720" s="9">
        <v>45313</v>
      </c>
      <c r="D1720" s="9">
        <v>45317</v>
      </c>
      <c r="E1720" s="14">
        <f>VLOOKUP(F1720,CarrierID!A:B,2,0)</f>
        <v>5</v>
      </c>
      <c r="F1720" s="15" t="s">
        <v>1</v>
      </c>
      <c r="G1720" t="str">
        <f>VLOOKUP(F1720,Carrier_Category!A:B,2,0)</f>
        <v>Intercity</v>
      </c>
      <c r="H1720" s="5">
        <v>59</v>
      </c>
      <c r="I1720" s="7">
        <f t="shared" si="82"/>
        <v>38</v>
      </c>
      <c r="J1720" s="5">
        <v>1055</v>
      </c>
      <c r="K1720" s="18">
        <f t="shared" si="81"/>
        <v>17.881355932203391</v>
      </c>
    </row>
    <row r="1721" spans="1:11" x14ac:dyDescent="0.3">
      <c r="A1721" s="14">
        <v>2024</v>
      </c>
      <c r="B1721" s="14">
        <f t="shared" si="80"/>
        <v>4</v>
      </c>
      <c r="C1721" s="9">
        <v>45313</v>
      </c>
      <c r="D1721" s="9">
        <v>45317</v>
      </c>
      <c r="E1721" s="14">
        <f>VLOOKUP(F1721,CarrierID!A:B,2,0)</f>
        <v>8</v>
      </c>
      <c r="F1721" s="15" t="s">
        <v>2</v>
      </c>
      <c r="G1721" t="str">
        <f>VLOOKUP(F1721,Carrier_Category!A:B,2,0)</f>
        <v>Commuter</v>
      </c>
      <c r="H1721" s="5">
        <v>18</v>
      </c>
      <c r="I1721" s="7">
        <f t="shared" si="82"/>
        <v>56</v>
      </c>
      <c r="J1721" s="5">
        <v>696</v>
      </c>
      <c r="K1721" s="18">
        <f t="shared" si="81"/>
        <v>38.666666666666664</v>
      </c>
    </row>
    <row r="1722" spans="1:11" x14ac:dyDescent="0.3">
      <c r="A1722" s="14">
        <v>2024</v>
      </c>
      <c r="B1722" s="14">
        <f t="shared" si="80"/>
        <v>4</v>
      </c>
      <c r="C1722" s="9">
        <v>45313</v>
      </c>
      <c r="D1722" s="9">
        <v>45317</v>
      </c>
      <c r="E1722" s="14">
        <f>VLOOKUP(F1722,CarrierID!A:B,2,0)</f>
        <v>9</v>
      </c>
      <c r="F1722" s="15" t="s">
        <v>3</v>
      </c>
      <c r="G1722" t="str">
        <f>VLOOKUP(F1722,Carrier_Category!A:B,2,0)</f>
        <v>NJT</v>
      </c>
      <c r="H1722" s="5">
        <v>2421</v>
      </c>
      <c r="I1722" s="7">
        <f t="shared" si="82"/>
        <v>17</v>
      </c>
      <c r="J1722" s="5">
        <v>76833</v>
      </c>
      <c r="K1722" s="18">
        <f t="shared" si="81"/>
        <v>31.736059479553905</v>
      </c>
    </row>
    <row r="1723" spans="1:11" x14ac:dyDescent="0.3">
      <c r="A1723" s="14">
        <v>2024</v>
      </c>
      <c r="B1723" s="14">
        <f t="shared" si="80"/>
        <v>4</v>
      </c>
      <c r="C1723" s="9">
        <v>45313</v>
      </c>
      <c r="D1723" s="9">
        <v>45317</v>
      </c>
      <c r="E1723" s="14">
        <f>VLOOKUP(F1723,CarrierID!A:B,2,0)</f>
        <v>7</v>
      </c>
      <c r="F1723" s="15" t="s">
        <v>4</v>
      </c>
      <c r="G1723" t="str">
        <f>VLOOKUP(F1723,Carrier_Category!A:B,2,0)</f>
        <v>Commuter</v>
      </c>
      <c r="H1723" s="5">
        <v>43</v>
      </c>
      <c r="I1723" s="7">
        <f t="shared" si="82"/>
        <v>2417</v>
      </c>
      <c r="J1723" s="5">
        <v>1386</v>
      </c>
      <c r="K1723" s="18">
        <f t="shared" si="81"/>
        <v>32.232558139534881</v>
      </c>
    </row>
    <row r="1724" spans="1:11" x14ac:dyDescent="0.3">
      <c r="A1724" s="14">
        <v>2024</v>
      </c>
      <c r="B1724" s="14">
        <f t="shared" si="80"/>
        <v>4</v>
      </c>
      <c r="C1724" s="9">
        <v>45313</v>
      </c>
      <c r="D1724" s="9">
        <v>45317</v>
      </c>
      <c r="E1724" s="14">
        <f>VLOOKUP(F1724,CarrierID!A:B,2,0)</f>
        <v>11</v>
      </c>
      <c r="F1724" s="15" t="s">
        <v>5</v>
      </c>
      <c r="G1724" t="str">
        <f>VLOOKUP(F1724,Carrier_Category!A:B,2,0)</f>
        <v>Intercity</v>
      </c>
      <c r="H1724" s="5">
        <v>20</v>
      </c>
      <c r="I1724" s="7">
        <f t="shared" si="82"/>
        <v>42</v>
      </c>
      <c r="J1724" s="5">
        <v>390</v>
      </c>
      <c r="K1724" s="18">
        <f t="shared" si="81"/>
        <v>19.5</v>
      </c>
    </row>
    <row r="1725" spans="1:11" x14ac:dyDescent="0.3">
      <c r="A1725" s="14">
        <v>2024</v>
      </c>
      <c r="B1725" s="14">
        <f t="shared" si="80"/>
        <v>4</v>
      </c>
      <c r="C1725" s="9">
        <v>45313</v>
      </c>
      <c r="D1725" s="9">
        <v>45317</v>
      </c>
      <c r="E1725" s="14">
        <f>VLOOKUP(F1725,CarrierID!A:B,2,0)</f>
        <v>3</v>
      </c>
      <c r="F1725" s="15" t="s">
        <v>6</v>
      </c>
      <c r="G1725" t="str">
        <f>VLOOKUP(F1725,Carrier_Category!A:B,2,0)</f>
        <v>Commuter</v>
      </c>
      <c r="H1725" s="5">
        <v>182</v>
      </c>
      <c r="I1725" s="7">
        <f t="shared" si="82"/>
        <v>21</v>
      </c>
      <c r="J1725" s="5">
        <v>5267</v>
      </c>
      <c r="K1725" s="18">
        <f t="shared" si="81"/>
        <v>28.939560439560438</v>
      </c>
    </row>
    <row r="1726" spans="1:11" x14ac:dyDescent="0.3">
      <c r="A1726" s="14">
        <v>2024</v>
      </c>
      <c r="B1726" s="14">
        <f t="shared" si="80"/>
        <v>4</v>
      </c>
      <c r="C1726" s="9">
        <v>45313</v>
      </c>
      <c r="D1726" s="9">
        <v>45317</v>
      </c>
      <c r="E1726" s="14">
        <f>VLOOKUP(F1726,CarrierID!A:B,2,0)</f>
        <v>12</v>
      </c>
      <c r="F1726" s="15" t="s">
        <v>25</v>
      </c>
      <c r="G1726" t="str">
        <f>VLOOKUP(F1726,Carrier_Category!A:B,2,0)</f>
        <v>Commuter</v>
      </c>
      <c r="H1726" s="5">
        <v>24</v>
      </c>
      <c r="I1726" s="7">
        <f t="shared" si="82"/>
        <v>166</v>
      </c>
      <c r="J1726" s="5">
        <v>621</v>
      </c>
      <c r="K1726" s="18">
        <f t="shared" si="81"/>
        <v>25.875</v>
      </c>
    </row>
    <row r="1727" spans="1:11" x14ac:dyDescent="0.3">
      <c r="A1727" s="14">
        <v>2024</v>
      </c>
      <c r="B1727" s="14">
        <f t="shared" si="80"/>
        <v>4</v>
      </c>
      <c r="C1727" s="9">
        <v>45313</v>
      </c>
      <c r="D1727" s="9">
        <v>45317</v>
      </c>
      <c r="E1727" s="14">
        <f>VLOOKUP(F1727,CarrierID!A:B,2,0)</f>
        <v>10</v>
      </c>
      <c r="F1727" s="15" t="s">
        <v>8</v>
      </c>
      <c r="G1727" t="str">
        <f>VLOOKUP(F1727,Carrier_Category!A:B,2,0)</f>
        <v>Intercity</v>
      </c>
      <c r="H1727" s="5">
        <v>23</v>
      </c>
      <c r="I1727" s="7">
        <f t="shared" si="82"/>
        <v>23</v>
      </c>
      <c r="J1727" s="5">
        <v>745</v>
      </c>
      <c r="K1727" s="18">
        <f t="shared" si="81"/>
        <v>32.391304347826086</v>
      </c>
    </row>
    <row r="1728" spans="1:11" x14ac:dyDescent="0.3">
      <c r="A1728" s="14">
        <v>2024</v>
      </c>
      <c r="B1728" s="14">
        <f t="shared" si="80"/>
        <v>4</v>
      </c>
      <c r="C1728" s="9">
        <v>45313</v>
      </c>
      <c r="D1728" s="9">
        <v>45317</v>
      </c>
      <c r="E1728" s="14">
        <f>VLOOKUP(F1728,CarrierID!A:B,2,0)</f>
        <v>6</v>
      </c>
      <c r="F1728" s="15" t="s">
        <v>9</v>
      </c>
      <c r="G1728" t="str">
        <f>VLOOKUP(F1728,Carrier_Category!A:B,2,0)</f>
        <v>Commuter</v>
      </c>
      <c r="H1728" s="5">
        <v>87</v>
      </c>
      <c r="I1728" s="7">
        <f t="shared" si="82"/>
        <v>23</v>
      </c>
      <c r="J1728" s="5">
        <v>1458</v>
      </c>
      <c r="K1728" s="18">
        <f t="shared" si="81"/>
        <v>16.758620689655171</v>
      </c>
    </row>
    <row r="1729" spans="1:11" x14ac:dyDescent="0.3">
      <c r="A1729" s="14">
        <v>2024</v>
      </c>
      <c r="B1729" s="14">
        <f t="shared" si="80"/>
        <v>5</v>
      </c>
      <c r="C1729" s="9">
        <v>45320</v>
      </c>
      <c r="D1729" s="9">
        <v>45324</v>
      </c>
      <c r="E1729" s="14">
        <f>VLOOKUP(F1729,CarrierID!A:B,2,0)</f>
        <v>1</v>
      </c>
      <c r="F1729" s="15" t="s">
        <v>0</v>
      </c>
      <c r="G1729" t="str">
        <f>VLOOKUP(F1729,Carrier_Category!A:B,2,0)</f>
        <v>Commuter</v>
      </c>
      <c r="H1729" s="5">
        <v>44</v>
      </c>
      <c r="I1729" s="7">
        <f t="shared" si="82"/>
        <v>86</v>
      </c>
      <c r="J1729" s="5">
        <v>1247</v>
      </c>
      <c r="K1729" s="18">
        <f t="shared" si="81"/>
        <v>28.34090909090909</v>
      </c>
    </row>
    <row r="1730" spans="1:11" x14ac:dyDescent="0.3">
      <c r="A1730" s="14">
        <v>2024</v>
      </c>
      <c r="B1730" s="14">
        <f t="shared" si="80"/>
        <v>5</v>
      </c>
      <c r="C1730" s="9">
        <v>45320</v>
      </c>
      <c r="D1730" s="9">
        <v>45324</v>
      </c>
      <c r="E1730" s="14">
        <f>VLOOKUP(F1730,CarrierID!A:B,2,0)</f>
        <v>5</v>
      </c>
      <c r="F1730" s="15" t="s">
        <v>1</v>
      </c>
      <c r="G1730" t="str">
        <f>VLOOKUP(F1730,Carrier_Category!A:B,2,0)</f>
        <v>Intercity</v>
      </c>
      <c r="H1730" s="5">
        <v>59</v>
      </c>
      <c r="I1730" s="7">
        <f t="shared" si="82"/>
        <v>44</v>
      </c>
      <c r="J1730" s="5">
        <v>1154</v>
      </c>
      <c r="K1730" s="18">
        <f t="shared" si="81"/>
        <v>19.559322033898304</v>
      </c>
    </row>
    <row r="1731" spans="1:11" x14ac:dyDescent="0.3">
      <c r="A1731" s="14">
        <v>2024</v>
      </c>
      <c r="B1731" s="14">
        <f t="shared" si="80"/>
        <v>5</v>
      </c>
      <c r="C1731" s="9">
        <v>45320</v>
      </c>
      <c r="D1731" s="9">
        <v>45324</v>
      </c>
      <c r="E1731" s="14">
        <f>VLOOKUP(F1731,CarrierID!A:B,2,0)</f>
        <v>8</v>
      </c>
      <c r="F1731" s="15" t="s">
        <v>2</v>
      </c>
      <c r="G1731" t="str">
        <f>VLOOKUP(F1731,Carrier_Category!A:B,2,0)</f>
        <v>Commuter</v>
      </c>
      <c r="H1731" s="5">
        <v>18</v>
      </c>
      <c r="I1731" s="7">
        <f t="shared" si="82"/>
        <v>59</v>
      </c>
      <c r="J1731" s="5">
        <v>701</v>
      </c>
      <c r="K1731" s="18">
        <f t="shared" si="81"/>
        <v>38.944444444444443</v>
      </c>
    </row>
    <row r="1732" spans="1:11" x14ac:dyDescent="0.3">
      <c r="A1732" s="14">
        <v>2024</v>
      </c>
      <c r="B1732" s="14">
        <f t="shared" si="80"/>
        <v>5</v>
      </c>
      <c r="C1732" s="9">
        <v>45320</v>
      </c>
      <c r="D1732" s="9">
        <v>45324</v>
      </c>
      <c r="E1732" s="14">
        <f>VLOOKUP(F1732,CarrierID!A:B,2,0)</f>
        <v>9</v>
      </c>
      <c r="F1732" s="15" t="s">
        <v>3</v>
      </c>
      <c r="G1732" t="str">
        <f>VLOOKUP(F1732,Carrier_Category!A:B,2,0)</f>
        <v>NJT</v>
      </c>
      <c r="H1732" s="5">
        <v>2431</v>
      </c>
      <c r="I1732" s="7">
        <f t="shared" si="82"/>
        <v>18</v>
      </c>
      <c r="J1732" s="5">
        <v>79268</v>
      </c>
      <c r="K1732" s="18">
        <f t="shared" si="81"/>
        <v>32.607157548334015</v>
      </c>
    </row>
    <row r="1733" spans="1:11" x14ac:dyDescent="0.3">
      <c r="A1733" s="14">
        <v>2024</v>
      </c>
      <c r="B1733" s="14">
        <f t="shared" ref="B1733:B1796" si="83">_xlfn.ISOWEEKNUM(C1733)</f>
        <v>5</v>
      </c>
      <c r="C1733" s="9">
        <v>45320</v>
      </c>
      <c r="D1733" s="9">
        <v>45324</v>
      </c>
      <c r="E1733" s="14">
        <f>VLOOKUP(F1733,CarrierID!A:B,2,0)</f>
        <v>7</v>
      </c>
      <c r="F1733" s="15" t="s">
        <v>4</v>
      </c>
      <c r="G1733" t="str">
        <f>VLOOKUP(F1733,Carrier_Category!A:B,2,0)</f>
        <v>Commuter</v>
      </c>
      <c r="H1733" s="5">
        <v>43</v>
      </c>
      <c r="I1733" s="7">
        <f t="shared" si="82"/>
        <v>2421</v>
      </c>
      <c r="J1733" s="5">
        <v>1447</v>
      </c>
      <c r="K1733" s="18">
        <f t="shared" ref="K1733:K1796" si="84">J1733/H1733</f>
        <v>33.651162790697676</v>
      </c>
    </row>
    <row r="1734" spans="1:11" x14ac:dyDescent="0.3">
      <c r="A1734" s="14">
        <v>2024</v>
      </c>
      <c r="B1734" s="14">
        <f t="shared" si="83"/>
        <v>5</v>
      </c>
      <c r="C1734" s="9">
        <v>45320</v>
      </c>
      <c r="D1734" s="9">
        <v>45324</v>
      </c>
      <c r="E1734" s="14">
        <f>VLOOKUP(F1734,CarrierID!A:B,2,0)</f>
        <v>11</v>
      </c>
      <c r="F1734" s="15" t="s">
        <v>5</v>
      </c>
      <c r="G1734" t="str">
        <f>VLOOKUP(F1734,Carrier_Category!A:B,2,0)</f>
        <v>Intercity</v>
      </c>
      <c r="H1734" s="5">
        <v>22</v>
      </c>
      <c r="I1734" s="7">
        <f t="shared" si="82"/>
        <v>43</v>
      </c>
      <c r="J1734" s="5">
        <v>407</v>
      </c>
      <c r="K1734" s="18">
        <f t="shared" si="84"/>
        <v>18.5</v>
      </c>
    </row>
    <row r="1735" spans="1:11" x14ac:dyDescent="0.3">
      <c r="A1735" s="14">
        <v>2024</v>
      </c>
      <c r="B1735" s="14">
        <f t="shared" si="83"/>
        <v>5</v>
      </c>
      <c r="C1735" s="9">
        <v>45320</v>
      </c>
      <c r="D1735" s="9">
        <v>45324</v>
      </c>
      <c r="E1735" s="14">
        <f>VLOOKUP(F1735,CarrierID!A:B,2,0)</f>
        <v>3</v>
      </c>
      <c r="F1735" s="15" t="s">
        <v>6</v>
      </c>
      <c r="G1735" t="str">
        <f>VLOOKUP(F1735,Carrier_Category!A:B,2,0)</f>
        <v>Commuter</v>
      </c>
      <c r="H1735" s="5">
        <v>185</v>
      </c>
      <c r="I1735" s="7">
        <f t="shared" si="82"/>
        <v>20</v>
      </c>
      <c r="J1735" s="5">
        <v>5418</v>
      </c>
      <c r="K1735" s="18">
        <f t="shared" si="84"/>
        <v>29.286486486486485</v>
      </c>
    </row>
    <row r="1736" spans="1:11" x14ac:dyDescent="0.3">
      <c r="A1736" s="14">
        <v>2024</v>
      </c>
      <c r="B1736" s="14">
        <f t="shared" si="83"/>
        <v>5</v>
      </c>
      <c r="C1736" s="9">
        <v>45320</v>
      </c>
      <c r="D1736" s="9">
        <v>45324</v>
      </c>
      <c r="E1736" s="14">
        <f>VLOOKUP(F1736,CarrierID!A:B,2,0)</f>
        <v>12</v>
      </c>
      <c r="F1736" s="15" t="s">
        <v>25</v>
      </c>
      <c r="G1736" t="str">
        <f>VLOOKUP(F1736,Carrier_Category!A:B,2,0)</f>
        <v>Commuter</v>
      </c>
      <c r="H1736" s="5">
        <v>24</v>
      </c>
      <c r="I1736" s="7">
        <f t="shared" si="82"/>
        <v>182</v>
      </c>
      <c r="J1736" s="5">
        <v>621</v>
      </c>
      <c r="K1736" s="18">
        <f t="shared" si="84"/>
        <v>25.875</v>
      </c>
    </row>
    <row r="1737" spans="1:11" x14ac:dyDescent="0.3">
      <c r="A1737" s="14">
        <v>2024</v>
      </c>
      <c r="B1737" s="14">
        <f t="shared" si="83"/>
        <v>5</v>
      </c>
      <c r="C1737" s="9">
        <v>45320</v>
      </c>
      <c r="D1737" s="9">
        <v>45324</v>
      </c>
      <c r="E1737" s="14">
        <f>VLOOKUP(F1737,CarrierID!A:B,2,0)</f>
        <v>10</v>
      </c>
      <c r="F1737" s="15" t="s">
        <v>8</v>
      </c>
      <c r="G1737" t="str">
        <f>VLOOKUP(F1737,Carrier_Category!A:B,2,0)</f>
        <v>Intercity</v>
      </c>
      <c r="H1737" s="5">
        <v>23</v>
      </c>
      <c r="I1737" s="7">
        <f t="shared" si="82"/>
        <v>24</v>
      </c>
      <c r="J1737" s="5">
        <v>745</v>
      </c>
      <c r="K1737" s="18">
        <f t="shared" si="84"/>
        <v>32.391304347826086</v>
      </c>
    </row>
    <row r="1738" spans="1:11" x14ac:dyDescent="0.3">
      <c r="A1738" s="14">
        <v>2024</v>
      </c>
      <c r="B1738" s="14">
        <f t="shared" si="83"/>
        <v>5</v>
      </c>
      <c r="C1738" s="9">
        <v>45320</v>
      </c>
      <c r="D1738" s="9">
        <v>45324</v>
      </c>
      <c r="E1738" s="14">
        <f>VLOOKUP(F1738,CarrierID!A:B,2,0)</f>
        <v>6</v>
      </c>
      <c r="F1738" s="15" t="s">
        <v>9</v>
      </c>
      <c r="G1738" t="str">
        <f>VLOOKUP(F1738,Carrier_Category!A:B,2,0)</f>
        <v>Commuter</v>
      </c>
      <c r="H1738" s="5">
        <v>87</v>
      </c>
      <c r="I1738" s="7">
        <f t="shared" si="82"/>
        <v>23</v>
      </c>
      <c r="J1738" s="5">
        <v>1464</v>
      </c>
      <c r="K1738" s="18">
        <f t="shared" si="84"/>
        <v>16.827586206896552</v>
      </c>
    </row>
    <row r="1739" spans="1:11" x14ac:dyDescent="0.3">
      <c r="A1739" s="14">
        <v>2024</v>
      </c>
      <c r="B1739" s="14">
        <f t="shared" si="83"/>
        <v>6</v>
      </c>
      <c r="C1739" s="9">
        <v>45327</v>
      </c>
      <c r="D1739" s="9">
        <v>45633</v>
      </c>
      <c r="E1739" s="14">
        <f>VLOOKUP(F1739,CarrierID!A:B,2,0)</f>
        <v>1</v>
      </c>
      <c r="F1739" s="15" t="s">
        <v>0</v>
      </c>
      <c r="G1739" t="str">
        <f>VLOOKUP(F1739,Carrier_Category!A:B,2,0)</f>
        <v>Commuter</v>
      </c>
      <c r="H1739" s="5">
        <v>43</v>
      </c>
      <c r="I1739" s="7">
        <f t="shared" si="82"/>
        <v>87</v>
      </c>
      <c r="J1739" s="5">
        <v>1310</v>
      </c>
      <c r="K1739" s="18">
        <f t="shared" si="84"/>
        <v>30.465116279069768</v>
      </c>
    </row>
    <row r="1740" spans="1:11" x14ac:dyDescent="0.3">
      <c r="A1740" s="14">
        <v>2024</v>
      </c>
      <c r="B1740" s="14">
        <f t="shared" si="83"/>
        <v>6</v>
      </c>
      <c r="C1740" s="9">
        <v>45327</v>
      </c>
      <c r="D1740" s="9">
        <v>45633</v>
      </c>
      <c r="E1740" s="14">
        <f>VLOOKUP(F1740,CarrierID!A:B,2,0)</f>
        <v>5</v>
      </c>
      <c r="F1740" s="15" t="s">
        <v>1</v>
      </c>
      <c r="G1740" t="str">
        <f>VLOOKUP(F1740,Carrier_Category!A:B,2,0)</f>
        <v>Intercity</v>
      </c>
      <c r="H1740" s="5">
        <v>61</v>
      </c>
      <c r="I1740" s="7">
        <f t="shared" si="82"/>
        <v>44</v>
      </c>
      <c r="J1740" s="5">
        <v>1039</v>
      </c>
      <c r="K1740" s="18">
        <f t="shared" si="84"/>
        <v>17.032786885245901</v>
      </c>
    </row>
    <row r="1741" spans="1:11" x14ac:dyDescent="0.3">
      <c r="A1741" s="14">
        <v>2024</v>
      </c>
      <c r="B1741" s="14">
        <f t="shared" si="83"/>
        <v>6</v>
      </c>
      <c r="C1741" s="9">
        <v>45327</v>
      </c>
      <c r="D1741" s="9">
        <v>45633</v>
      </c>
      <c r="E1741" s="14">
        <f>VLOOKUP(F1741,CarrierID!A:B,2,0)</f>
        <v>8</v>
      </c>
      <c r="F1741" s="15" t="s">
        <v>2</v>
      </c>
      <c r="G1741" t="str">
        <f>VLOOKUP(F1741,Carrier_Category!A:B,2,0)</f>
        <v>Commuter</v>
      </c>
      <c r="H1741" s="5">
        <v>18</v>
      </c>
      <c r="I1741" s="7">
        <f t="shared" ref="I1741:I1804" si="85">H1730</f>
        <v>59</v>
      </c>
      <c r="J1741" s="5">
        <v>723</v>
      </c>
      <c r="K1741" s="18">
        <f t="shared" si="84"/>
        <v>40.166666666666664</v>
      </c>
    </row>
    <row r="1742" spans="1:11" x14ac:dyDescent="0.3">
      <c r="A1742" s="14">
        <v>2024</v>
      </c>
      <c r="B1742" s="14">
        <f t="shared" si="83"/>
        <v>6</v>
      </c>
      <c r="C1742" s="9">
        <v>45327</v>
      </c>
      <c r="D1742" s="9">
        <v>45633</v>
      </c>
      <c r="E1742" s="14">
        <f>VLOOKUP(F1742,CarrierID!A:B,2,0)</f>
        <v>9</v>
      </c>
      <c r="F1742" s="15" t="s">
        <v>3</v>
      </c>
      <c r="G1742" t="str">
        <f>VLOOKUP(F1742,Carrier_Category!A:B,2,0)</f>
        <v>NJT</v>
      </c>
      <c r="H1742" s="5">
        <v>2414</v>
      </c>
      <c r="I1742" s="7">
        <f t="shared" si="85"/>
        <v>18</v>
      </c>
      <c r="J1742" s="5">
        <v>79924</v>
      </c>
      <c r="K1742" s="18">
        <f t="shared" si="84"/>
        <v>33.108533554266778</v>
      </c>
    </row>
    <row r="1743" spans="1:11" x14ac:dyDescent="0.3">
      <c r="A1743" s="14">
        <v>2024</v>
      </c>
      <c r="B1743" s="14">
        <f t="shared" si="83"/>
        <v>6</v>
      </c>
      <c r="C1743" s="9">
        <v>45327</v>
      </c>
      <c r="D1743" s="9">
        <v>45633</v>
      </c>
      <c r="E1743" s="14">
        <f>VLOOKUP(F1743,CarrierID!A:B,2,0)</f>
        <v>7</v>
      </c>
      <c r="F1743" s="15" t="s">
        <v>4</v>
      </c>
      <c r="G1743" t="str">
        <f>VLOOKUP(F1743,Carrier_Category!A:B,2,0)</f>
        <v>Commuter</v>
      </c>
      <c r="H1743" s="5">
        <v>43</v>
      </c>
      <c r="I1743" s="7">
        <f t="shared" si="85"/>
        <v>2431</v>
      </c>
      <c r="J1743" s="5">
        <v>1447</v>
      </c>
      <c r="K1743" s="18">
        <f t="shared" si="84"/>
        <v>33.651162790697676</v>
      </c>
    </row>
    <row r="1744" spans="1:11" x14ac:dyDescent="0.3">
      <c r="A1744" s="14">
        <v>2024</v>
      </c>
      <c r="B1744" s="14">
        <f t="shared" si="83"/>
        <v>6</v>
      </c>
      <c r="C1744" s="9">
        <v>45327</v>
      </c>
      <c r="D1744" s="9">
        <v>45633</v>
      </c>
      <c r="E1744" s="14">
        <f>VLOOKUP(F1744,CarrierID!A:B,2,0)</f>
        <v>11</v>
      </c>
      <c r="F1744" s="15" t="s">
        <v>5</v>
      </c>
      <c r="G1744" t="str">
        <f>VLOOKUP(F1744,Carrier_Category!A:B,2,0)</f>
        <v>Intercity</v>
      </c>
      <c r="H1744" s="5">
        <v>20</v>
      </c>
      <c r="I1744" s="7">
        <f t="shared" si="85"/>
        <v>43</v>
      </c>
      <c r="J1744" s="5">
        <v>397</v>
      </c>
      <c r="K1744" s="18">
        <f t="shared" si="84"/>
        <v>19.850000000000001</v>
      </c>
    </row>
    <row r="1745" spans="1:11" x14ac:dyDescent="0.3">
      <c r="A1745" s="14">
        <v>2024</v>
      </c>
      <c r="B1745" s="14">
        <f t="shared" si="83"/>
        <v>6</v>
      </c>
      <c r="C1745" s="9">
        <v>45327</v>
      </c>
      <c r="D1745" s="9">
        <v>45633</v>
      </c>
      <c r="E1745" s="14">
        <f>VLOOKUP(F1745,CarrierID!A:B,2,0)</f>
        <v>3</v>
      </c>
      <c r="F1745" s="15" t="s">
        <v>6</v>
      </c>
      <c r="G1745" t="str">
        <f>VLOOKUP(F1745,Carrier_Category!A:B,2,0)</f>
        <v>Commuter</v>
      </c>
      <c r="H1745" s="5">
        <v>185</v>
      </c>
      <c r="I1745" s="7">
        <f t="shared" si="85"/>
        <v>22</v>
      </c>
      <c r="J1745" s="5">
        <v>5509</v>
      </c>
      <c r="K1745" s="18">
        <f t="shared" si="84"/>
        <v>29.778378378378378</v>
      </c>
    </row>
    <row r="1746" spans="1:11" x14ac:dyDescent="0.3">
      <c r="A1746" s="14">
        <v>2024</v>
      </c>
      <c r="B1746" s="14">
        <f t="shared" si="83"/>
        <v>6</v>
      </c>
      <c r="C1746" s="9">
        <v>45327</v>
      </c>
      <c r="D1746" s="9">
        <v>45633</v>
      </c>
      <c r="E1746" s="14">
        <f>VLOOKUP(F1746,CarrierID!A:B,2,0)</f>
        <v>12</v>
      </c>
      <c r="F1746" s="15" t="s">
        <v>25</v>
      </c>
      <c r="G1746" t="str">
        <f>VLOOKUP(F1746,Carrier_Category!A:B,2,0)</f>
        <v>Commuter</v>
      </c>
      <c r="H1746" s="5">
        <v>23</v>
      </c>
      <c r="I1746" s="7">
        <f t="shared" si="85"/>
        <v>185</v>
      </c>
      <c r="J1746" s="5">
        <v>649</v>
      </c>
      <c r="K1746" s="18">
        <f t="shared" si="84"/>
        <v>28.217391304347824</v>
      </c>
    </row>
    <row r="1747" spans="1:11" x14ac:dyDescent="0.3">
      <c r="A1747" s="14">
        <v>2024</v>
      </c>
      <c r="B1747" s="14">
        <f t="shared" si="83"/>
        <v>6</v>
      </c>
      <c r="C1747" s="9">
        <v>45327</v>
      </c>
      <c r="D1747" s="9">
        <v>45633</v>
      </c>
      <c r="E1747" s="14">
        <f>VLOOKUP(F1747,CarrierID!A:B,2,0)</f>
        <v>10</v>
      </c>
      <c r="F1747" s="15" t="s">
        <v>8</v>
      </c>
      <c r="G1747" t="str">
        <f>VLOOKUP(F1747,Carrier_Category!A:B,2,0)</f>
        <v>Intercity</v>
      </c>
      <c r="H1747" s="5">
        <v>23</v>
      </c>
      <c r="I1747" s="7">
        <f t="shared" si="85"/>
        <v>24</v>
      </c>
      <c r="J1747" s="5">
        <v>745</v>
      </c>
      <c r="K1747" s="18">
        <f t="shared" si="84"/>
        <v>32.391304347826086</v>
      </c>
    </row>
    <row r="1748" spans="1:11" x14ac:dyDescent="0.3">
      <c r="A1748" s="14">
        <v>2024</v>
      </c>
      <c r="B1748" s="14">
        <f t="shared" si="83"/>
        <v>6</v>
      </c>
      <c r="C1748" s="9">
        <v>45327</v>
      </c>
      <c r="D1748" s="9">
        <v>45633</v>
      </c>
      <c r="E1748" s="14">
        <f>VLOOKUP(F1748,CarrierID!A:B,2,0)</f>
        <v>6</v>
      </c>
      <c r="F1748" s="15" t="s">
        <v>9</v>
      </c>
      <c r="G1748" t="str">
        <f>VLOOKUP(F1748,Carrier_Category!A:B,2,0)</f>
        <v>Commuter</v>
      </c>
      <c r="H1748" s="5">
        <v>86</v>
      </c>
      <c r="I1748" s="7">
        <f t="shared" si="85"/>
        <v>23</v>
      </c>
      <c r="J1748" s="5">
        <v>1461</v>
      </c>
      <c r="K1748" s="18">
        <f t="shared" si="84"/>
        <v>16.988372093023255</v>
      </c>
    </row>
    <row r="1749" spans="1:11" x14ac:dyDescent="0.3">
      <c r="A1749" s="14">
        <v>2024</v>
      </c>
      <c r="B1749" s="14">
        <f t="shared" si="83"/>
        <v>7</v>
      </c>
      <c r="C1749" s="9">
        <v>45334</v>
      </c>
      <c r="D1749" s="9">
        <v>45630</v>
      </c>
      <c r="E1749" s="14">
        <f>VLOOKUP(F1749,CarrierID!A:B,2,0)</f>
        <v>1</v>
      </c>
      <c r="F1749" s="15" t="s">
        <v>0</v>
      </c>
      <c r="G1749" t="str">
        <f>VLOOKUP(F1749,Carrier_Category!A:B,2,0)</f>
        <v>Commuter</v>
      </c>
      <c r="H1749" s="5">
        <v>42</v>
      </c>
      <c r="I1749" s="7">
        <f t="shared" si="85"/>
        <v>87</v>
      </c>
      <c r="J1749" s="5">
        <v>837</v>
      </c>
      <c r="K1749" s="18">
        <f t="shared" si="84"/>
        <v>19.928571428571427</v>
      </c>
    </row>
    <row r="1750" spans="1:11" x14ac:dyDescent="0.3">
      <c r="A1750" s="14">
        <v>2024</v>
      </c>
      <c r="B1750" s="14">
        <f t="shared" si="83"/>
        <v>7</v>
      </c>
      <c r="C1750" s="9">
        <v>45334</v>
      </c>
      <c r="D1750" s="9">
        <v>45630</v>
      </c>
      <c r="E1750" s="14">
        <f>VLOOKUP(F1750,CarrierID!A:B,2,0)</f>
        <v>5</v>
      </c>
      <c r="F1750" s="15" t="s">
        <v>1</v>
      </c>
      <c r="G1750" t="str">
        <f>VLOOKUP(F1750,Carrier_Category!A:B,2,0)</f>
        <v>Intercity</v>
      </c>
      <c r="H1750" s="5">
        <v>57</v>
      </c>
      <c r="I1750" s="7">
        <f t="shared" si="85"/>
        <v>43</v>
      </c>
      <c r="J1750" s="5">
        <v>1258</v>
      </c>
      <c r="K1750" s="18">
        <f t="shared" si="84"/>
        <v>22.07017543859649</v>
      </c>
    </row>
    <row r="1751" spans="1:11" x14ac:dyDescent="0.3">
      <c r="A1751" s="14">
        <v>2024</v>
      </c>
      <c r="B1751" s="14">
        <f t="shared" si="83"/>
        <v>7</v>
      </c>
      <c r="C1751" s="9">
        <v>45334</v>
      </c>
      <c r="D1751" s="9">
        <v>45630</v>
      </c>
      <c r="E1751" s="14">
        <f>VLOOKUP(F1751,CarrierID!A:B,2,0)</f>
        <v>8</v>
      </c>
      <c r="F1751" s="15" t="s">
        <v>2</v>
      </c>
      <c r="G1751" t="str">
        <f>VLOOKUP(F1751,Carrier_Category!A:B,2,0)</f>
        <v>Commuter</v>
      </c>
      <c r="H1751" s="5">
        <v>15</v>
      </c>
      <c r="I1751" s="7">
        <f t="shared" si="85"/>
        <v>61</v>
      </c>
      <c r="J1751" s="5">
        <v>596</v>
      </c>
      <c r="K1751" s="18">
        <f t="shared" si="84"/>
        <v>39.733333333333334</v>
      </c>
    </row>
    <row r="1752" spans="1:11" x14ac:dyDescent="0.3">
      <c r="A1752" s="14">
        <v>2024</v>
      </c>
      <c r="B1752" s="14">
        <f t="shared" si="83"/>
        <v>7</v>
      </c>
      <c r="C1752" s="9">
        <v>45334</v>
      </c>
      <c r="D1752" s="9">
        <v>45630</v>
      </c>
      <c r="E1752" s="14">
        <f>VLOOKUP(F1752,CarrierID!A:B,2,0)</f>
        <v>9</v>
      </c>
      <c r="F1752" s="15" t="s">
        <v>3</v>
      </c>
      <c r="G1752" t="str">
        <f>VLOOKUP(F1752,Carrier_Category!A:B,2,0)</f>
        <v>NJT</v>
      </c>
      <c r="H1752" s="5">
        <v>2407</v>
      </c>
      <c r="I1752" s="7">
        <f t="shared" si="85"/>
        <v>18</v>
      </c>
      <c r="J1752" s="5">
        <v>80052</v>
      </c>
      <c r="K1752" s="18">
        <f t="shared" si="84"/>
        <v>33.25799750727046</v>
      </c>
    </row>
    <row r="1753" spans="1:11" x14ac:dyDescent="0.3">
      <c r="A1753" s="14">
        <v>2024</v>
      </c>
      <c r="B1753" s="14">
        <f t="shared" si="83"/>
        <v>7</v>
      </c>
      <c r="C1753" s="9">
        <v>45334</v>
      </c>
      <c r="D1753" s="9">
        <v>45630</v>
      </c>
      <c r="E1753" s="14">
        <f>VLOOKUP(F1753,CarrierID!A:B,2,0)</f>
        <v>7</v>
      </c>
      <c r="F1753" s="15" t="s">
        <v>4</v>
      </c>
      <c r="G1753" t="str">
        <f>VLOOKUP(F1753,Carrier_Category!A:B,2,0)</f>
        <v>Commuter</v>
      </c>
      <c r="H1753" s="5">
        <v>43</v>
      </c>
      <c r="I1753" s="7">
        <f t="shared" si="85"/>
        <v>2414</v>
      </c>
      <c r="J1753" s="5">
        <v>1447</v>
      </c>
      <c r="K1753" s="18">
        <f t="shared" si="84"/>
        <v>33.651162790697676</v>
      </c>
    </row>
    <row r="1754" spans="1:11" x14ac:dyDescent="0.3">
      <c r="A1754" s="14">
        <v>2024</v>
      </c>
      <c r="B1754" s="14">
        <f t="shared" si="83"/>
        <v>7</v>
      </c>
      <c r="C1754" s="9">
        <v>45334</v>
      </c>
      <c r="D1754" s="9">
        <v>45630</v>
      </c>
      <c r="E1754" s="14">
        <f>VLOOKUP(F1754,CarrierID!A:B,2,0)</f>
        <v>11</v>
      </c>
      <c r="F1754" s="15" t="s">
        <v>5</v>
      </c>
      <c r="G1754" t="str">
        <f>VLOOKUP(F1754,Carrier_Category!A:B,2,0)</f>
        <v>Intercity</v>
      </c>
      <c r="H1754" s="5">
        <v>18</v>
      </c>
      <c r="I1754" s="7">
        <f t="shared" si="85"/>
        <v>43</v>
      </c>
      <c r="J1754" s="5">
        <v>430</v>
      </c>
      <c r="K1754" s="18">
        <f t="shared" si="84"/>
        <v>23.888888888888889</v>
      </c>
    </row>
    <row r="1755" spans="1:11" x14ac:dyDescent="0.3">
      <c r="A1755" s="14">
        <v>2024</v>
      </c>
      <c r="B1755" s="14">
        <f t="shared" si="83"/>
        <v>7</v>
      </c>
      <c r="C1755" s="9">
        <v>45334</v>
      </c>
      <c r="D1755" s="9">
        <v>45630</v>
      </c>
      <c r="E1755" s="14">
        <f>VLOOKUP(F1755,CarrierID!A:B,2,0)</f>
        <v>3</v>
      </c>
      <c r="F1755" s="15" t="s">
        <v>6</v>
      </c>
      <c r="G1755" t="str">
        <f>VLOOKUP(F1755,Carrier_Category!A:B,2,0)</f>
        <v>Commuter</v>
      </c>
      <c r="H1755" s="5">
        <v>168</v>
      </c>
      <c r="I1755" s="7">
        <f t="shared" si="85"/>
        <v>20</v>
      </c>
      <c r="J1755" s="5">
        <v>4420</v>
      </c>
      <c r="K1755" s="18">
        <f t="shared" si="84"/>
        <v>26.30952380952381</v>
      </c>
    </row>
    <row r="1756" spans="1:11" x14ac:dyDescent="0.3">
      <c r="A1756" s="14">
        <v>2024</v>
      </c>
      <c r="B1756" s="14">
        <f t="shared" si="83"/>
        <v>7</v>
      </c>
      <c r="C1756" s="9">
        <v>45334</v>
      </c>
      <c r="D1756" s="9">
        <v>45630</v>
      </c>
      <c r="E1756" s="14">
        <f>VLOOKUP(F1756,CarrierID!A:B,2,0)</f>
        <v>12</v>
      </c>
      <c r="F1756" s="15" t="s">
        <v>25</v>
      </c>
      <c r="G1756" t="str">
        <f>VLOOKUP(F1756,Carrier_Category!A:B,2,0)</f>
        <v>Commuter</v>
      </c>
      <c r="H1756" s="5">
        <v>19</v>
      </c>
      <c r="I1756" s="7">
        <f t="shared" si="85"/>
        <v>185</v>
      </c>
      <c r="J1756" s="5">
        <v>522</v>
      </c>
      <c r="K1756" s="18">
        <f t="shared" si="84"/>
        <v>27.473684210526315</v>
      </c>
    </row>
    <row r="1757" spans="1:11" x14ac:dyDescent="0.3">
      <c r="A1757" s="14">
        <v>2024</v>
      </c>
      <c r="B1757" s="14">
        <f t="shared" si="83"/>
        <v>7</v>
      </c>
      <c r="C1757" s="9">
        <v>45334</v>
      </c>
      <c r="D1757" s="9">
        <v>45630</v>
      </c>
      <c r="E1757" s="14">
        <f>VLOOKUP(F1757,CarrierID!A:B,2,0)</f>
        <v>10</v>
      </c>
      <c r="F1757" s="15" t="s">
        <v>8</v>
      </c>
      <c r="G1757" t="str">
        <f>VLOOKUP(F1757,Carrier_Category!A:B,2,0)</f>
        <v>Intercity</v>
      </c>
      <c r="H1757" s="5">
        <v>23</v>
      </c>
      <c r="I1757" s="7">
        <f t="shared" si="85"/>
        <v>23</v>
      </c>
      <c r="J1757" s="5">
        <v>745</v>
      </c>
      <c r="K1757" s="18">
        <f t="shared" si="84"/>
        <v>32.391304347826086</v>
      </c>
    </row>
    <row r="1758" spans="1:11" x14ac:dyDescent="0.3">
      <c r="A1758" s="14">
        <v>2024</v>
      </c>
      <c r="B1758" s="14">
        <f t="shared" si="83"/>
        <v>7</v>
      </c>
      <c r="C1758" s="9">
        <v>45334</v>
      </c>
      <c r="D1758" s="9">
        <v>45630</v>
      </c>
      <c r="E1758" s="14">
        <f>VLOOKUP(F1758,CarrierID!A:B,2,0)</f>
        <v>6</v>
      </c>
      <c r="F1758" s="15" t="s">
        <v>9</v>
      </c>
      <c r="G1758" t="str">
        <f>VLOOKUP(F1758,Carrier_Category!A:B,2,0)</f>
        <v>Commuter</v>
      </c>
      <c r="H1758" s="5">
        <v>86</v>
      </c>
      <c r="I1758" s="7">
        <f t="shared" si="85"/>
        <v>23</v>
      </c>
      <c r="J1758" s="5">
        <v>1461</v>
      </c>
      <c r="K1758" s="18">
        <f t="shared" si="84"/>
        <v>16.988372093023255</v>
      </c>
    </row>
    <row r="1759" spans="1:11" x14ac:dyDescent="0.3">
      <c r="A1759" s="14">
        <v>2024</v>
      </c>
      <c r="B1759" s="14">
        <f t="shared" si="83"/>
        <v>8</v>
      </c>
      <c r="C1759" s="9">
        <v>45341</v>
      </c>
      <c r="D1759" s="9">
        <v>45627</v>
      </c>
      <c r="E1759" s="14">
        <f>VLOOKUP(F1759,CarrierID!A:B,2,0)</f>
        <v>1</v>
      </c>
      <c r="F1759" s="15" t="s">
        <v>0</v>
      </c>
      <c r="G1759" t="str">
        <f>VLOOKUP(F1759,Carrier_Category!A:B,2,0)</f>
        <v>Commuter</v>
      </c>
      <c r="H1759" s="5">
        <v>38</v>
      </c>
      <c r="I1759" s="7">
        <f t="shared" si="85"/>
        <v>86</v>
      </c>
      <c r="J1759" s="5">
        <v>912</v>
      </c>
      <c r="K1759" s="18">
        <f t="shared" si="84"/>
        <v>24</v>
      </c>
    </row>
    <row r="1760" spans="1:11" x14ac:dyDescent="0.3">
      <c r="A1760" s="14">
        <v>2024</v>
      </c>
      <c r="B1760" s="14">
        <f t="shared" si="83"/>
        <v>8</v>
      </c>
      <c r="C1760" s="9">
        <v>45341</v>
      </c>
      <c r="D1760" s="9">
        <v>45627</v>
      </c>
      <c r="E1760" s="14">
        <f>VLOOKUP(F1760,CarrierID!A:B,2,0)</f>
        <v>5</v>
      </c>
      <c r="F1760" s="15" t="s">
        <v>1</v>
      </c>
      <c r="G1760" t="str">
        <f>VLOOKUP(F1760,Carrier_Category!A:B,2,0)</f>
        <v>Intercity</v>
      </c>
      <c r="H1760" s="5">
        <v>61</v>
      </c>
      <c r="I1760" s="7">
        <f t="shared" si="85"/>
        <v>42</v>
      </c>
      <c r="J1760" s="5">
        <v>1677</v>
      </c>
      <c r="K1760" s="18">
        <f t="shared" si="84"/>
        <v>27.491803278688526</v>
      </c>
    </row>
    <row r="1761" spans="1:11" x14ac:dyDescent="0.3">
      <c r="A1761" s="14">
        <v>2024</v>
      </c>
      <c r="B1761" s="14">
        <f t="shared" si="83"/>
        <v>8</v>
      </c>
      <c r="C1761" s="9">
        <v>45341</v>
      </c>
      <c r="D1761" s="9">
        <v>45627</v>
      </c>
      <c r="E1761" s="14">
        <f>VLOOKUP(F1761,CarrierID!A:B,2,0)</f>
        <v>8</v>
      </c>
      <c r="F1761" s="15" t="s">
        <v>2</v>
      </c>
      <c r="G1761" t="str">
        <f>VLOOKUP(F1761,Carrier_Category!A:B,2,0)</f>
        <v>Commuter</v>
      </c>
      <c r="H1761" s="5">
        <v>17</v>
      </c>
      <c r="I1761" s="7">
        <f t="shared" si="85"/>
        <v>57</v>
      </c>
      <c r="J1761" s="5">
        <v>680</v>
      </c>
      <c r="K1761" s="18">
        <f t="shared" si="84"/>
        <v>40</v>
      </c>
    </row>
    <row r="1762" spans="1:11" x14ac:dyDescent="0.3">
      <c r="A1762" s="14">
        <v>2024</v>
      </c>
      <c r="B1762" s="14">
        <f t="shared" si="83"/>
        <v>8</v>
      </c>
      <c r="C1762" s="9">
        <v>45341</v>
      </c>
      <c r="D1762" s="9">
        <v>45627</v>
      </c>
      <c r="E1762" s="14">
        <f>VLOOKUP(F1762,CarrierID!A:B,2,0)</f>
        <v>9</v>
      </c>
      <c r="F1762" s="15" t="s">
        <v>3</v>
      </c>
      <c r="G1762" t="str">
        <f>VLOOKUP(F1762,Carrier_Category!A:B,2,0)</f>
        <v>NJT</v>
      </c>
      <c r="H1762" s="5">
        <v>2424</v>
      </c>
      <c r="I1762" s="7">
        <f t="shared" si="85"/>
        <v>15</v>
      </c>
      <c r="J1762" s="5">
        <v>78892</v>
      </c>
      <c r="K1762" s="18">
        <f t="shared" si="84"/>
        <v>32.546204620462049</v>
      </c>
    </row>
    <row r="1763" spans="1:11" x14ac:dyDescent="0.3">
      <c r="A1763" s="14">
        <v>2024</v>
      </c>
      <c r="B1763" s="14">
        <f t="shared" si="83"/>
        <v>8</v>
      </c>
      <c r="C1763" s="9">
        <v>45341</v>
      </c>
      <c r="D1763" s="9">
        <v>45627</v>
      </c>
      <c r="E1763" s="14">
        <f>VLOOKUP(F1763,CarrierID!A:B,2,0)</f>
        <v>7</v>
      </c>
      <c r="F1763" s="15" t="s">
        <v>4</v>
      </c>
      <c r="G1763" t="str">
        <f>VLOOKUP(F1763,Carrier_Category!A:B,2,0)</f>
        <v>Commuter</v>
      </c>
      <c r="H1763" s="5">
        <v>44</v>
      </c>
      <c r="I1763" s="7">
        <f t="shared" si="85"/>
        <v>2407</v>
      </c>
      <c r="J1763" s="5">
        <v>1517</v>
      </c>
      <c r="K1763" s="18">
        <f t="shared" si="84"/>
        <v>34.477272727272727</v>
      </c>
    </row>
    <row r="1764" spans="1:11" x14ac:dyDescent="0.3">
      <c r="A1764" s="14">
        <v>2024</v>
      </c>
      <c r="B1764" s="14">
        <f t="shared" si="83"/>
        <v>8</v>
      </c>
      <c r="C1764" s="9">
        <v>45341</v>
      </c>
      <c r="D1764" s="9">
        <v>45627</v>
      </c>
      <c r="E1764" s="14">
        <f>VLOOKUP(F1764,CarrierID!A:B,2,0)</f>
        <v>11</v>
      </c>
      <c r="F1764" s="15" t="s">
        <v>5</v>
      </c>
      <c r="G1764" t="str">
        <f>VLOOKUP(F1764,Carrier_Category!A:B,2,0)</f>
        <v>Intercity</v>
      </c>
      <c r="H1764" s="5">
        <v>21</v>
      </c>
      <c r="I1764" s="7">
        <f t="shared" si="85"/>
        <v>43</v>
      </c>
      <c r="J1764" s="5">
        <v>624</v>
      </c>
      <c r="K1764" s="18">
        <f t="shared" si="84"/>
        <v>29.714285714285715</v>
      </c>
    </row>
    <row r="1765" spans="1:11" x14ac:dyDescent="0.3">
      <c r="A1765" s="14">
        <v>2024</v>
      </c>
      <c r="B1765" s="14">
        <f t="shared" si="83"/>
        <v>8</v>
      </c>
      <c r="C1765" s="9">
        <v>45341</v>
      </c>
      <c r="D1765" s="9">
        <v>45627</v>
      </c>
      <c r="E1765" s="14">
        <f>VLOOKUP(F1765,CarrierID!A:B,2,0)</f>
        <v>3</v>
      </c>
      <c r="F1765" s="15" t="s">
        <v>6</v>
      </c>
      <c r="G1765" t="str">
        <f>VLOOKUP(F1765,Carrier_Category!A:B,2,0)</f>
        <v>Commuter</v>
      </c>
      <c r="H1765" s="5">
        <v>164</v>
      </c>
      <c r="I1765" s="7">
        <f t="shared" si="85"/>
        <v>18</v>
      </c>
      <c r="J1765" s="5">
        <v>4516</v>
      </c>
      <c r="K1765" s="18">
        <f t="shared" si="84"/>
        <v>27.536585365853657</v>
      </c>
    </row>
    <row r="1766" spans="1:11" x14ac:dyDescent="0.3">
      <c r="A1766" s="14">
        <v>2024</v>
      </c>
      <c r="B1766" s="14">
        <f t="shared" si="83"/>
        <v>8</v>
      </c>
      <c r="C1766" s="9">
        <v>45341</v>
      </c>
      <c r="D1766" s="9">
        <v>45627</v>
      </c>
      <c r="E1766" s="14">
        <f>VLOOKUP(F1766,CarrierID!A:B,2,0)</f>
        <v>12</v>
      </c>
      <c r="F1766" s="15" t="s">
        <v>25</v>
      </c>
      <c r="G1766" t="str">
        <f>VLOOKUP(F1766,Carrier_Category!A:B,2,0)</f>
        <v>Commuter</v>
      </c>
      <c r="H1766" s="5">
        <v>19</v>
      </c>
      <c r="I1766" s="7">
        <f t="shared" si="85"/>
        <v>168</v>
      </c>
      <c r="J1766" s="5">
        <v>522</v>
      </c>
      <c r="K1766" s="18">
        <f t="shared" si="84"/>
        <v>27.473684210526315</v>
      </c>
    </row>
    <row r="1767" spans="1:11" x14ac:dyDescent="0.3">
      <c r="A1767" s="14">
        <v>2024</v>
      </c>
      <c r="B1767" s="14">
        <f t="shared" si="83"/>
        <v>8</v>
      </c>
      <c r="C1767" s="9">
        <v>45341</v>
      </c>
      <c r="D1767" s="9">
        <v>45627</v>
      </c>
      <c r="E1767" s="14">
        <f>VLOOKUP(F1767,CarrierID!A:B,2,0)</f>
        <v>10</v>
      </c>
      <c r="F1767" s="15" t="s">
        <v>8</v>
      </c>
      <c r="G1767" t="str">
        <f>VLOOKUP(F1767,Carrier_Category!A:B,2,0)</f>
        <v>Intercity</v>
      </c>
      <c r="H1767" s="5">
        <v>23</v>
      </c>
      <c r="I1767" s="7">
        <f t="shared" si="85"/>
        <v>19</v>
      </c>
      <c r="J1767" s="5">
        <v>745</v>
      </c>
      <c r="K1767" s="18">
        <f t="shared" si="84"/>
        <v>32.391304347826086</v>
      </c>
    </row>
    <row r="1768" spans="1:11" x14ac:dyDescent="0.3">
      <c r="A1768" s="14">
        <v>2024</v>
      </c>
      <c r="B1768" s="14">
        <f t="shared" si="83"/>
        <v>8</v>
      </c>
      <c r="C1768" s="9">
        <v>45341</v>
      </c>
      <c r="D1768" s="9">
        <v>45627</v>
      </c>
      <c r="E1768" s="14">
        <f>VLOOKUP(F1768,CarrierID!A:B,2,0)</f>
        <v>6</v>
      </c>
      <c r="F1768" s="15" t="s">
        <v>9</v>
      </c>
      <c r="G1768" t="str">
        <f>VLOOKUP(F1768,Carrier_Category!A:B,2,0)</f>
        <v>Commuter</v>
      </c>
      <c r="H1768" s="5">
        <v>86</v>
      </c>
      <c r="I1768" s="7">
        <f t="shared" si="85"/>
        <v>23</v>
      </c>
      <c r="J1768" s="5">
        <v>1461</v>
      </c>
      <c r="K1768" s="18">
        <f t="shared" si="84"/>
        <v>16.988372093023255</v>
      </c>
    </row>
    <row r="1769" spans="1:11" x14ac:dyDescent="0.3">
      <c r="A1769" s="14">
        <v>2024</v>
      </c>
      <c r="B1769" s="14">
        <f t="shared" si="83"/>
        <v>9</v>
      </c>
      <c r="C1769" s="9">
        <v>45348</v>
      </c>
      <c r="D1769" s="9">
        <v>45352</v>
      </c>
      <c r="E1769" s="14">
        <f>VLOOKUP(F1769,CarrierID!A:B,2,0)</f>
        <v>1</v>
      </c>
      <c r="F1769" s="15" t="s">
        <v>0</v>
      </c>
      <c r="G1769" t="str">
        <f>VLOOKUP(F1769,Carrier_Category!A:B,2,0)</f>
        <v>Commuter</v>
      </c>
      <c r="H1769" s="5">
        <v>38</v>
      </c>
      <c r="I1769" s="7">
        <f t="shared" si="85"/>
        <v>86</v>
      </c>
      <c r="J1769" s="5">
        <v>912</v>
      </c>
      <c r="K1769" s="18">
        <f t="shared" si="84"/>
        <v>24</v>
      </c>
    </row>
    <row r="1770" spans="1:11" x14ac:dyDescent="0.3">
      <c r="A1770" s="14">
        <v>2024</v>
      </c>
      <c r="B1770" s="14">
        <f t="shared" si="83"/>
        <v>9</v>
      </c>
      <c r="C1770" s="9">
        <v>45348</v>
      </c>
      <c r="D1770" s="9">
        <v>45352</v>
      </c>
      <c r="E1770" s="14">
        <f>VLOOKUP(F1770,CarrierID!A:B,2,0)</f>
        <v>5</v>
      </c>
      <c r="F1770" s="15" t="s">
        <v>1</v>
      </c>
      <c r="G1770" t="str">
        <f>VLOOKUP(F1770,Carrier_Category!A:B,2,0)</f>
        <v>Intercity</v>
      </c>
      <c r="H1770" s="5">
        <v>61</v>
      </c>
      <c r="I1770" s="7">
        <f t="shared" si="85"/>
        <v>38</v>
      </c>
      <c r="J1770" s="5">
        <v>1361</v>
      </c>
      <c r="K1770" s="18">
        <f t="shared" si="84"/>
        <v>22.311475409836067</v>
      </c>
    </row>
    <row r="1771" spans="1:11" x14ac:dyDescent="0.3">
      <c r="A1771" s="14">
        <v>2024</v>
      </c>
      <c r="B1771" s="14">
        <f t="shared" si="83"/>
        <v>9</v>
      </c>
      <c r="C1771" s="9">
        <v>45348</v>
      </c>
      <c r="D1771" s="9">
        <v>45352</v>
      </c>
      <c r="E1771" s="14">
        <f>VLOOKUP(F1771,CarrierID!A:B,2,0)</f>
        <v>8</v>
      </c>
      <c r="F1771" s="15" t="s">
        <v>2</v>
      </c>
      <c r="G1771" t="str">
        <f>VLOOKUP(F1771,Carrier_Category!A:B,2,0)</f>
        <v>Commuter</v>
      </c>
      <c r="H1771" s="5">
        <v>18</v>
      </c>
      <c r="I1771" s="7">
        <f t="shared" si="85"/>
        <v>61</v>
      </c>
      <c r="J1771" s="5">
        <v>713</v>
      </c>
      <c r="K1771" s="18">
        <f t="shared" si="84"/>
        <v>39.611111111111114</v>
      </c>
    </row>
    <row r="1772" spans="1:11" x14ac:dyDescent="0.3">
      <c r="A1772" s="14">
        <v>2024</v>
      </c>
      <c r="B1772" s="14">
        <f t="shared" si="83"/>
        <v>9</v>
      </c>
      <c r="C1772" s="9">
        <v>45348</v>
      </c>
      <c r="D1772" s="9">
        <v>45352</v>
      </c>
      <c r="E1772" s="14">
        <f>VLOOKUP(F1772,CarrierID!A:B,2,0)</f>
        <v>9</v>
      </c>
      <c r="F1772" s="15" t="s">
        <v>3</v>
      </c>
      <c r="G1772" t="str">
        <f>VLOOKUP(F1772,Carrier_Category!A:B,2,0)</f>
        <v>NJT</v>
      </c>
      <c r="H1772" s="5">
        <v>2422</v>
      </c>
      <c r="I1772" s="7">
        <f t="shared" si="85"/>
        <v>17</v>
      </c>
      <c r="J1772" s="5">
        <v>77873</v>
      </c>
      <c r="K1772" s="18">
        <f t="shared" si="84"/>
        <v>32.152353426919902</v>
      </c>
    </row>
    <row r="1773" spans="1:11" x14ac:dyDescent="0.3">
      <c r="A1773" s="14">
        <v>2024</v>
      </c>
      <c r="B1773" s="14">
        <f t="shared" si="83"/>
        <v>9</v>
      </c>
      <c r="C1773" s="9">
        <v>45348</v>
      </c>
      <c r="D1773" s="9">
        <v>45352</v>
      </c>
      <c r="E1773" s="14">
        <f>VLOOKUP(F1773,CarrierID!A:B,2,0)</f>
        <v>7</v>
      </c>
      <c r="F1773" s="15" t="s">
        <v>4</v>
      </c>
      <c r="G1773" t="str">
        <f>VLOOKUP(F1773,Carrier_Category!A:B,2,0)</f>
        <v>Commuter</v>
      </c>
      <c r="H1773" s="5">
        <v>41</v>
      </c>
      <c r="I1773" s="7">
        <f t="shared" si="85"/>
        <v>2424</v>
      </c>
      <c r="J1773" s="5">
        <v>1407</v>
      </c>
      <c r="K1773" s="18">
        <f t="shared" si="84"/>
        <v>34.31707317073171</v>
      </c>
    </row>
    <row r="1774" spans="1:11" x14ac:dyDescent="0.3">
      <c r="A1774" s="14">
        <v>2024</v>
      </c>
      <c r="B1774" s="14">
        <f t="shared" si="83"/>
        <v>9</v>
      </c>
      <c r="C1774" s="9">
        <v>45348</v>
      </c>
      <c r="D1774" s="9">
        <v>45352</v>
      </c>
      <c r="E1774" s="14">
        <f>VLOOKUP(F1774,CarrierID!A:B,2,0)</f>
        <v>11</v>
      </c>
      <c r="F1774" s="15" t="s">
        <v>5</v>
      </c>
      <c r="G1774" t="str">
        <f>VLOOKUP(F1774,Carrier_Category!A:B,2,0)</f>
        <v>Intercity</v>
      </c>
      <c r="H1774" s="5">
        <v>21</v>
      </c>
      <c r="I1774" s="7">
        <f t="shared" si="85"/>
        <v>44</v>
      </c>
      <c r="J1774" s="5">
        <v>486</v>
      </c>
      <c r="K1774" s="18">
        <f t="shared" si="84"/>
        <v>23.142857142857142</v>
      </c>
    </row>
    <row r="1775" spans="1:11" x14ac:dyDescent="0.3">
      <c r="A1775" s="14">
        <v>2024</v>
      </c>
      <c r="B1775" s="14">
        <f t="shared" si="83"/>
        <v>9</v>
      </c>
      <c r="C1775" s="9">
        <v>45348</v>
      </c>
      <c r="D1775" s="9">
        <v>45352</v>
      </c>
      <c r="E1775" s="14">
        <f>VLOOKUP(F1775,CarrierID!A:B,2,0)</f>
        <v>3</v>
      </c>
      <c r="F1775" s="15" t="s">
        <v>6</v>
      </c>
      <c r="G1775" t="str">
        <f>VLOOKUP(F1775,Carrier_Category!A:B,2,0)</f>
        <v>Commuter</v>
      </c>
      <c r="H1775" s="5">
        <v>183</v>
      </c>
      <c r="I1775" s="7">
        <f t="shared" si="85"/>
        <v>21</v>
      </c>
      <c r="J1775" s="5">
        <v>5367</v>
      </c>
      <c r="K1775" s="18">
        <f t="shared" si="84"/>
        <v>29.327868852459016</v>
      </c>
    </row>
    <row r="1776" spans="1:11" x14ac:dyDescent="0.3">
      <c r="A1776" s="14">
        <v>2024</v>
      </c>
      <c r="B1776" s="14">
        <f t="shared" si="83"/>
        <v>9</v>
      </c>
      <c r="C1776" s="9">
        <v>45348</v>
      </c>
      <c r="D1776" s="9">
        <v>45352</v>
      </c>
      <c r="E1776" s="14">
        <f>VLOOKUP(F1776,CarrierID!A:B,2,0)</f>
        <v>12</v>
      </c>
      <c r="F1776" s="15" t="s">
        <v>25</v>
      </c>
      <c r="G1776" t="str">
        <f>VLOOKUP(F1776,Carrier_Category!A:B,2,0)</f>
        <v>Commuter</v>
      </c>
      <c r="H1776" s="5">
        <v>19</v>
      </c>
      <c r="I1776" s="7">
        <f t="shared" si="85"/>
        <v>164</v>
      </c>
      <c r="J1776" s="5">
        <v>522</v>
      </c>
      <c r="K1776" s="18">
        <f t="shared" si="84"/>
        <v>27.473684210526315</v>
      </c>
    </row>
    <row r="1777" spans="1:11" x14ac:dyDescent="0.3">
      <c r="A1777" s="14">
        <v>2024</v>
      </c>
      <c r="B1777" s="14">
        <f t="shared" si="83"/>
        <v>9</v>
      </c>
      <c r="C1777" s="9">
        <v>45348</v>
      </c>
      <c r="D1777" s="9">
        <v>45352</v>
      </c>
      <c r="E1777" s="14">
        <f>VLOOKUP(F1777,CarrierID!A:B,2,0)</f>
        <v>10</v>
      </c>
      <c r="F1777" s="15" t="s">
        <v>8</v>
      </c>
      <c r="G1777" t="str">
        <f>VLOOKUP(F1777,Carrier_Category!A:B,2,0)</f>
        <v>Intercity</v>
      </c>
      <c r="H1777" s="5">
        <v>23</v>
      </c>
      <c r="I1777" s="7">
        <f t="shared" si="85"/>
        <v>19</v>
      </c>
      <c r="J1777" s="5">
        <v>745</v>
      </c>
      <c r="K1777" s="18">
        <f t="shared" si="84"/>
        <v>32.391304347826086</v>
      </c>
    </row>
    <row r="1778" spans="1:11" x14ac:dyDescent="0.3">
      <c r="A1778" s="14">
        <v>2024</v>
      </c>
      <c r="B1778" s="14">
        <f t="shared" si="83"/>
        <v>9</v>
      </c>
      <c r="C1778" s="9">
        <v>45348</v>
      </c>
      <c r="D1778" s="9">
        <v>45352</v>
      </c>
      <c r="E1778" s="14">
        <f>VLOOKUP(F1778,CarrierID!A:B,2,0)</f>
        <v>6</v>
      </c>
      <c r="F1778" s="15" t="s">
        <v>9</v>
      </c>
      <c r="G1778" t="str">
        <f>VLOOKUP(F1778,Carrier_Category!A:B,2,0)</f>
        <v>Commuter</v>
      </c>
      <c r="H1778" s="5">
        <v>86</v>
      </c>
      <c r="I1778" s="7">
        <f t="shared" si="85"/>
        <v>23</v>
      </c>
      <c r="J1778" s="5">
        <v>1461</v>
      </c>
      <c r="K1778" s="18">
        <f t="shared" si="84"/>
        <v>16.988372093023255</v>
      </c>
    </row>
    <row r="1779" spans="1:11" x14ac:dyDescent="0.3">
      <c r="A1779" s="14">
        <v>2024</v>
      </c>
      <c r="B1779" s="14">
        <f t="shared" si="83"/>
        <v>10</v>
      </c>
      <c r="C1779" s="9">
        <v>45355</v>
      </c>
      <c r="D1779" s="9">
        <v>45630</v>
      </c>
      <c r="E1779" s="14">
        <f>VLOOKUP(F1779,CarrierID!A:B,2,0)</f>
        <v>1</v>
      </c>
      <c r="F1779" s="15" t="s">
        <v>0</v>
      </c>
      <c r="G1779" t="str">
        <f>VLOOKUP(F1779,Carrier_Category!A:B,2,0)</f>
        <v>Commuter</v>
      </c>
      <c r="H1779" s="5">
        <v>44</v>
      </c>
      <c r="I1779" s="7">
        <f t="shared" si="85"/>
        <v>86</v>
      </c>
      <c r="J1779" s="5">
        <v>1304</v>
      </c>
      <c r="K1779" s="18">
        <f t="shared" si="84"/>
        <v>29.636363636363637</v>
      </c>
    </row>
    <row r="1780" spans="1:11" x14ac:dyDescent="0.3">
      <c r="A1780" s="14">
        <v>2024</v>
      </c>
      <c r="B1780" s="14">
        <f t="shared" si="83"/>
        <v>10</v>
      </c>
      <c r="C1780" s="9">
        <v>45355</v>
      </c>
      <c r="D1780" s="9">
        <v>45630</v>
      </c>
      <c r="E1780" s="14">
        <f>VLOOKUP(F1780,CarrierID!A:B,2,0)</f>
        <v>5</v>
      </c>
      <c r="F1780" s="15" t="s">
        <v>1</v>
      </c>
      <c r="G1780" t="str">
        <f>VLOOKUP(F1780,Carrier_Category!A:B,2,0)</f>
        <v>Intercity</v>
      </c>
      <c r="H1780" s="5">
        <v>62</v>
      </c>
      <c r="I1780" s="7">
        <f t="shared" si="85"/>
        <v>38</v>
      </c>
      <c r="J1780" s="5">
        <v>1556</v>
      </c>
      <c r="K1780" s="18">
        <f t="shared" si="84"/>
        <v>25.096774193548388</v>
      </c>
    </row>
    <row r="1781" spans="1:11" x14ac:dyDescent="0.3">
      <c r="A1781" s="14">
        <v>2024</v>
      </c>
      <c r="B1781" s="14">
        <f t="shared" si="83"/>
        <v>10</v>
      </c>
      <c r="C1781" s="9">
        <v>45355</v>
      </c>
      <c r="D1781" s="9">
        <v>45630</v>
      </c>
      <c r="E1781" s="14">
        <f>VLOOKUP(F1781,CarrierID!A:B,2,0)</f>
        <v>8</v>
      </c>
      <c r="F1781" s="15" t="s">
        <v>2</v>
      </c>
      <c r="G1781" t="str">
        <f>VLOOKUP(F1781,Carrier_Category!A:B,2,0)</f>
        <v>Commuter</v>
      </c>
      <c r="H1781" s="5">
        <v>18</v>
      </c>
      <c r="I1781" s="7">
        <f t="shared" si="85"/>
        <v>61</v>
      </c>
      <c r="J1781" s="5">
        <v>732</v>
      </c>
      <c r="K1781" s="18">
        <f t="shared" si="84"/>
        <v>40.666666666666664</v>
      </c>
    </row>
    <row r="1782" spans="1:11" x14ac:dyDescent="0.3">
      <c r="A1782" s="14">
        <v>2024</v>
      </c>
      <c r="B1782" s="14">
        <f t="shared" si="83"/>
        <v>10</v>
      </c>
      <c r="C1782" s="9">
        <v>45355</v>
      </c>
      <c r="D1782" s="9">
        <v>45630</v>
      </c>
      <c r="E1782" s="14">
        <f>VLOOKUP(F1782,CarrierID!A:B,2,0)</f>
        <v>9</v>
      </c>
      <c r="F1782" s="15" t="s">
        <v>3</v>
      </c>
      <c r="G1782" t="str">
        <f>VLOOKUP(F1782,Carrier_Category!A:B,2,0)</f>
        <v>NJT</v>
      </c>
      <c r="H1782" s="5">
        <v>2385</v>
      </c>
      <c r="I1782" s="7">
        <f t="shared" si="85"/>
        <v>18</v>
      </c>
      <c r="J1782" s="5">
        <v>77033</v>
      </c>
      <c r="K1782" s="18">
        <f t="shared" si="84"/>
        <v>32.298951781970651</v>
      </c>
    </row>
    <row r="1783" spans="1:11" x14ac:dyDescent="0.3">
      <c r="A1783" s="14">
        <v>2024</v>
      </c>
      <c r="B1783" s="14">
        <f t="shared" si="83"/>
        <v>10</v>
      </c>
      <c r="C1783" s="9">
        <v>45355</v>
      </c>
      <c r="D1783" s="9">
        <v>45630</v>
      </c>
      <c r="E1783" s="14">
        <f>VLOOKUP(F1783,CarrierID!A:B,2,0)</f>
        <v>7</v>
      </c>
      <c r="F1783" s="15" t="s">
        <v>4</v>
      </c>
      <c r="G1783" t="str">
        <f>VLOOKUP(F1783,Carrier_Category!A:B,2,0)</f>
        <v>Commuter</v>
      </c>
      <c r="H1783" s="5">
        <v>42</v>
      </c>
      <c r="I1783" s="7">
        <f t="shared" si="85"/>
        <v>2422</v>
      </c>
      <c r="J1783" s="5">
        <v>1452</v>
      </c>
      <c r="K1783" s="18">
        <f t="shared" si="84"/>
        <v>34.571428571428569</v>
      </c>
    </row>
    <row r="1784" spans="1:11" x14ac:dyDescent="0.3">
      <c r="A1784" s="14">
        <v>2024</v>
      </c>
      <c r="B1784" s="14">
        <f t="shared" si="83"/>
        <v>10</v>
      </c>
      <c r="C1784" s="9">
        <v>45355</v>
      </c>
      <c r="D1784" s="9">
        <v>45630</v>
      </c>
      <c r="E1784" s="14">
        <f>VLOOKUP(F1784,CarrierID!A:B,2,0)</f>
        <v>11</v>
      </c>
      <c r="F1784" s="15" t="s">
        <v>5</v>
      </c>
      <c r="G1784" t="str">
        <f>VLOOKUP(F1784,Carrier_Category!A:B,2,0)</f>
        <v>Intercity</v>
      </c>
      <c r="H1784" s="5">
        <v>21</v>
      </c>
      <c r="I1784" s="7">
        <f t="shared" si="85"/>
        <v>41</v>
      </c>
      <c r="J1784" s="5">
        <v>497</v>
      </c>
      <c r="K1784" s="18">
        <f t="shared" si="84"/>
        <v>23.666666666666668</v>
      </c>
    </row>
    <row r="1785" spans="1:11" x14ac:dyDescent="0.3">
      <c r="A1785" s="14">
        <v>2024</v>
      </c>
      <c r="B1785" s="14">
        <f t="shared" si="83"/>
        <v>10</v>
      </c>
      <c r="C1785" s="9">
        <v>45355</v>
      </c>
      <c r="D1785" s="9">
        <v>45630</v>
      </c>
      <c r="E1785" s="14">
        <f>VLOOKUP(F1785,CarrierID!A:B,2,0)</f>
        <v>3</v>
      </c>
      <c r="F1785" s="15" t="s">
        <v>6</v>
      </c>
      <c r="G1785" t="str">
        <f>VLOOKUP(F1785,Carrier_Category!A:B,2,0)</f>
        <v>Commuter</v>
      </c>
      <c r="H1785" s="5">
        <v>186</v>
      </c>
      <c r="I1785" s="7">
        <f t="shared" si="85"/>
        <v>21</v>
      </c>
      <c r="J1785" s="5">
        <v>5388</v>
      </c>
      <c r="K1785" s="18">
        <f t="shared" si="84"/>
        <v>28.967741935483872</v>
      </c>
    </row>
    <row r="1786" spans="1:11" x14ac:dyDescent="0.3">
      <c r="A1786" s="14">
        <v>2024</v>
      </c>
      <c r="B1786" s="14">
        <f t="shared" si="83"/>
        <v>10</v>
      </c>
      <c r="C1786" s="9">
        <v>45355</v>
      </c>
      <c r="D1786" s="9">
        <v>45630</v>
      </c>
      <c r="E1786" s="14">
        <f>VLOOKUP(F1786,CarrierID!A:B,2,0)</f>
        <v>12</v>
      </c>
      <c r="F1786" s="15" t="s">
        <v>25</v>
      </c>
      <c r="G1786" t="str">
        <f>VLOOKUP(F1786,Carrier_Category!A:B,2,0)</f>
        <v>Commuter</v>
      </c>
      <c r="H1786" s="5">
        <v>24</v>
      </c>
      <c r="I1786" s="7">
        <f t="shared" si="85"/>
        <v>183</v>
      </c>
      <c r="J1786" s="5">
        <v>639</v>
      </c>
      <c r="K1786" s="18">
        <f t="shared" si="84"/>
        <v>26.625</v>
      </c>
    </row>
    <row r="1787" spans="1:11" x14ac:dyDescent="0.3">
      <c r="A1787" s="14">
        <v>2024</v>
      </c>
      <c r="B1787" s="14">
        <f t="shared" si="83"/>
        <v>10</v>
      </c>
      <c r="C1787" s="9">
        <v>45355</v>
      </c>
      <c r="D1787" s="9">
        <v>45630</v>
      </c>
      <c r="E1787" s="14">
        <f>VLOOKUP(F1787,CarrierID!A:B,2,0)</f>
        <v>10</v>
      </c>
      <c r="F1787" s="15" t="s">
        <v>8</v>
      </c>
      <c r="G1787" t="str">
        <f>VLOOKUP(F1787,Carrier_Category!A:B,2,0)</f>
        <v>Intercity</v>
      </c>
      <c r="H1787" s="5">
        <v>26</v>
      </c>
      <c r="I1787" s="7">
        <f t="shared" si="85"/>
        <v>19</v>
      </c>
      <c r="J1787" s="5">
        <v>721</v>
      </c>
      <c r="K1787" s="18">
        <f t="shared" si="84"/>
        <v>27.73076923076923</v>
      </c>
    </row>
    <row r="1788" spans="1:11" x14ac:dyDescent="0.3">
      <c r="A1788" s="14">
        <v>2024</v>
      </c>
      <c r="B1788" s="14">
        <f t="shared" si="83"/>
        <v>10</v>
      </c>
      <c r="C1788" s="9">
        <v>45355</v>
      </c>
      <c r="D1788" s="9">
        <v>45630</v>
      </c>
      <c r="E1788" s="14">
        <f>VLOOKUP(F1788,CarrierID!A:B,2,0)</f>
        <v>6</v>
      </c>
      <c r="F1788" s="15" t="s">
        <v>9</v>
      </c>
      <c r="G1788" t="str">
        <f>VLOOKUP(F1788,Carrier_Category!A:B,2,0)</f>
        <v>Commuter</v>
      </c>
      <c r="H1788" s="5">
        <v>88</v>
      </c>
      <c r="I1788" s="7">
        <f t="shared" si="85"/>
        <v>23</v>
      </c>
      <c r="J1788" s="5">
        <v>1516</v>
      </c>
      <c r="K1788" s="18">
        <f t="shared" si="84"/>
        <v>17.227272727272727</v>
      </c>
    </row>
    <row r="1789" spans="1:11" x14ac:dyDescent="0.3">
      <c r="A1789" s="14">
        <v>2024</v>
      </c>
      <c r="B1789" s="14">
        <f t="shared" si="83"/>
        <v>11</v>
      </c>
      <c r="C1789" s="9">
        <v>45362</v>
      </c>
      <c r="D1789" s="9">
        <v>45627</v>
      </c>
      <c r="E1789" s="14">
        <f>VLOOKUP(F1789,CarrierID!A:B,2,0)</f>
        <v>1</v>
      </c>
      <c r="F1789" s="15" t="s">
        <v>0</v>
      </c>
      <c r="G1789" t="str">
        <f>VLOOKUP(F1789,Carrier_Category!A:B,2,0)</f>
        <v>Commuter</v>
      </c>
      <c r="H1789" s="5">
        <v>44</v>
      </c>
      <c r="I1789" s="7">
        <f t="shared" si="85"/>
        <v>86</v>
      </c>
      <c r="J1789" s="5">
        <v>1278</v>
      </c>
      <c r="K1789" s="18">
        <f t="shared" si="84"/>
        <v>29.045454545454547</v>
      </c>
    </row>
    <row r="1790" spans="1:11" x14ac:dyDescent="0.3">
      <c r="A1790" s="14">
        <v>2024</v>
      </c>
      <c r="B1790" s="14">
        <f t="shared" si="83"/>
        <v>11</v>
      </c>
      <c r="C1790" s="9">
        <v>45362</v>
      </c>
      <c r="D1790" s="9">
        <v>45627</v>
      </c>
      <c r="E1790" s="14">
        <f>VLOOKUP(F1790,CarrierID!A:B,2,0)</f>
        <v>5</v>
      </c>
      <c r="F1790" s="15" t="s">
        <v>1</v>
      </c>
      <c r="G1790" t="str">
        <f>VLOOKUP(F1790,Carrier_Category!A:B,2,0)</f>
        <v>Intercity</v>
      </c>
      <c r="H1790" s="5">
        <v>61</v>
      </c>
      <c r="I1790" s="7">
        <f t="shared" si="85"/>
        <v>44</v>
      </c>
      <c r="J1790" s="5">
        <v>1550</v>
      </c>
      <c r="K1790" s="18">
        <f t="shared" si="84"/>
        <v>25.409836065573771</v>
      </c>
    </row>
    <row r="1791" spans="1:11" x14ac:dyDescent="0.3">
      <c r="A1791" s="14">
        <v>2024</v>
      </c>
      <c r="B1791" s="14">
        <f t="shared" si="83"/>
        <v>11</v>
      </c>
      <c r="C1791" s="9">
        <v>45362</v>
      </c>
      <c r="D1791" s="9">
        <v>45627</v>
      </c>
      <c r="E1791" s="14">
        <f>VLOOKUP(F1791,CarrierID!A:B,2,0)</f>
        <v>8</v>
      </c>
      <c r="F1791" s="15" t="s">
        <v>2</v>
      </c>
      <c r="G1791" t="str">
        <f>VLOOKUP(F1791,Carrier_Category!A:B,2,0)</f>
        <v>Commuter</v>
      </c>
      <c r="H1791" s="5">
        <v>18</v>
      </c>
      <c r="I1791" s="7">
        <f t="shared" si="85"/>
        <v>62</v>
      </c>
      <c r="J1791" s="5">
        <v>728</v>
      </c>
      <c r="K1791" s="18">
        <f t="shared" si="84"/>
        <v>40.444444444444443</v>
      </c>
    </row>
    <row r="1792" spans="1:11" x14ac:dyDescent="0.3">
      <c r="A1792" s="14">
        <v>2024</v>
      </c>
      <c r="B1792" s="14">
        <f t="shared" si="83"/>
        <v>11</v>
      </c>
      <c r="C1792" s="9">
        <v>45362</v>
      </c>
      <c r="D1792" s="9">
        <v>45627</v>
      </c>
      <c r="E1792" s="14">
        <f>VLOOKUP(F1792,CarrierID!A:B,2,0)</f>
        <v>9</v>
      </c>
      <c r="F1792" s="15" t="s">
        <v>3</v>
      </c>
      <c r="G1792" t="str">
        <f>VLOOKUP(F1792,Carrier_Category!A:B,2,0)</f>
        <v>NJT</v>
      </c>
      <c r="H1792" s="5">
        <v>2437</v>
      </c>
      <c r="I1792" s="7">
        <f t="shared" si="85"/>
        <v>18</v>
      </c>
      <c r="J1792" s="5">
        <v>80553</v>
      </c>
      <c r="K1792" s="18">
        <f t="shared" si="84"/>
        <v>33.054164956914242</v>
      </c>
    </row>
    <row r="1793" spans="1:11" x14ac:dyDescent="0.3">
      <c r="A1793" s="14">
        <v>2024</v>
      </c>
      <c r="B1793" s="14">
        <f t="shared" si="83"/>
        <v>11</v>
      </c>
      <c r="C1793" s="9">
        <v>45362</v>
      </c>
      <c r="D1793" s="9">
        <v>45627</v>
      </c>
      <c r="E1793" s="14">
        <f>VLOOKUP(F1793,CarrierID!A:B,2,0)</f>
        <v>7</v>
      </c>
      <c r="F1793" s="15" t="s">
        <v>4</v>
      </c>
      <c r="G1793" t="str">
        <f>VLOOKUP(F1793,Carrier_Category!A:B,2,0)</f>
        <v>Commuter</v>
      </c>
      <c r="H1793" s="5">
        <v>42</v>
      </c>
      <c r="I1793" s="7">
        <f t="shared" si="85"/>
        <v>2385</v>
      </c>
      <c r="J1793" s="5">
        <v>1471</v>
      </c>
      <c r="K1793" s="18">
        <f t="shared" si="84"/>
        <v>35.023809523809526</v>
      </c>
    </row>
    <row r="1794" spans="1:11" x14ac:dyDescent="0.3">
      <c r="A1794" s="14">
        <v>2024</v>
      </c>
      <c r="B1794" s="14">
        <f t="shared" si="83"/>
        <v>11</v>
      </c>
      <c r="C1794" s="9">
        <v>45362</v>
      </c>
      <c r="D1794" s="9">
        <v>45627</v>
      </c>
      <c r="E1794" s="14">
        <f>VLOOKUP(F1794,CarrierID!A:B,2,0)</f>
        <v>11</v>
      </c>
      <c r="F1794" s="15" t="s">
        <v>5</v>
      </c>
      <c r="G1794" t="str">
        <f>VLOOKUP(F1794,Carrier_Category!A:B,2,0)</f>
        <v>Intercity</v>
      </c>
      <c r="H1794" s="5">
        <v>24</v>
      </c>
      <c r="I1794" s="7">
        <f t="shared" si="85"/>
        <v>42</v>
      </c>
      <c r="J1794" s="5">
        <v>568</v>
      </c>
      <c r="K1794" s="18">
        <f t="shared" si="84"/>
        <v>23.666666666666668</v>
      </c>
    </row>
    <row r="1795" spans="1:11" x14ac:dyDescent="0.3">
      <c r="A1795" s="14">
        <v>2024</v>
      </c>
      <c r="B1795" s="14">
        <f t="shared" si="83"/>
        <v>11</v>
      </c>
      <c r="C1795" s="9">
        <v>45362</v>
      </c>
      <c r="D1795" s="9">
        <v>45627</v>
      </c>
      <c r="E1795" s="14">
        <f>VLOOKUP(F1795,CarrierID!A:B,2,0)</f>
        <v>3</v>
      </c>
      <c r="F1795" s="15" t="s">
        <v>6</v>
      </c>
      <c r="G1795" t="str">
        <f>VLOOKUP(F1795,Carrier_Category!A:B,2,0)</f>
        <v>Commuter</v>
      </c>
      <c r="H1795" s="5">
        <v>185</v>
      </c>
      <c r="I1795" s="7">
        <f t="shared" si="85"/>
        <v>21</v>
      </c>
      <c r="J1795" s="5">
        <v>5491</v>
      </c>
      <c r="K1795" s="18">
        <f t="shared" si="84"/>
        <v>29.681081081081082</v>
      </c>
    </row>
    <row r="1796" spans="1:11" x14ac:dyDescent="0.3">
      <c r="A1796" s="14">
        <v>2024</v>
      </c>
      <c r="B1796" s="14">
        <f t="shared" si="83"/>
        <v>11</v>
      </c>
      <c r="C1796" s="9">
        <v>45362</v>
      </c>
      <c r="D1796" s="9">
        <v>45627</v>
      </c>
      <c r="E1796" s="14">
        <f>VLOOKUP(F1796,CarrierID!A:B,2,0)</f>
        <v>12</v>
      </c>
      <c r="F1796" s="15" t="s">
        <v>25</v>
      </c>
      <c r="G1796" t="str">
        <f>VLOOKUP(F1796,Carrier_Category!A:B,2,0)</f>
        <v>Commuter</v>
      </c>
      <c r="H1796" s="5">
        <v>23</v>
      </c>
      <c r="I1796" s="7">
        <f t="shared" si="85"/>
        <v>186</v>
      </c>
      <c r="J1796" s="5">
        <v>682</v>
      </c>
      <c r="K1796" s="18">
        <f t="shared" si="84"/>
        <v>29.652173913043477</v>
      </c>
    </row>
    <row r="1797" spans="1:11" x14ac:dyDescent="0.3">
      <c r="A1797" s="14">
        <v>2024</v>
      </c>
      <c r="B1797" s="14">
        <f t="shared" ref="B1797:B1860" si="86">_xlfn.ISOWEEKNUM(C1797)</f>
        <v>11</v>
      </c>
      <c r="C1797" s="9">
        <v>45362</v>
      </c>
      <c r="D1797" s="9">
        <v>45627</v>
      </c>
      <c r="E1797" s="14">
        <f>VLOOKUP(F1797,CarrierID!A:B,2,0)</f>
        <v>10</v>
      </c>
      <c r="F1797" s="15" t="s">
        <v>8</v>
      </c>
      <c r="G1797" t="str">
        <f>VLOOKUP(F1797,Carrier_Category!A:B,2,0)</f>
        <v>Intercity</v>
      </c>
      <c r="H1797" s="5">
        <v>28</v>
      </c>
      <c r="I1797" s="7">
        <f t="shared" si="85"/>
        <v>24</v>
      </c>
      <c r="J1797" s="5">
        <v>831</v>
      </c>
      <c r="K1797" s="18">
        <f t="shared" ref="K1797:K1860" si="87">J1797/H1797</f>
        <v>29.678571428571427</v>
      </c>
    </row>
    <row r="1798" spans="1:11" x14ac:dyDescent="0.3">
      <c r="A1798" s="14">
        <v>2024</v>
      </c>
      <c r="B1798" s="14">
        <f t="shared" si="86"/>
        <v>11</v>
      </c>
      <c r="C1798" s="9">
        <v>45362</v>
      </c>
      <c r="D1798" s="9">
        <v>45627</v>
      </c>
      <c r="E1798" s="14">
        <f>VLOOKUP(F1798,CarrierID!A:B,2,0)</f>
        <v>6</v>
      </c>
      <c r="F1798" s="15" t="s">
        <v>9</v>
      </c>
      <c r="G1798" t="str">
        <f>VLOOKUP(F1798,Carrier_Category!A:B,2,0)</f>
        <v>Commuter</v>
      </c>
      <c r="H1798" s="5">
        <v>88</v>
      </c>
      <c r="I1798" s="7">
        <f t="shared" si="85"/>
        <v>26</v>
      </c>
      <c r="J1798" s="5">
        <v>1516</v>
      </c>
      <c r="K1798" s="18">
        <f t="shared" si="87"/>
        <v>17.227272727272727</v>
      </c>
    </row>
    <row r="1799" spans="1:11" x14ac:dyDescent="0.3">
      <c r="A1799" s="14">
        <v>2024</v>
      </c>
      <c r="B1799" s="14">
        <f t="shared" si="86"/>
        <v>12</v>
      </c>
      <c r="C1799" s="9">
        <v>45369</v>
      </c>
      <c r="D1799" s="9">
        <v>45634</v>
      </c>
      <c r="E1799" s="14">
        <f>VLOOKUP(F1799,CarrierID!A:B,2,0)</f>
        <v>1</v>
      </c>
      <c r="F1799" s="15" t="s">
        <v>0</v>
      </c>
      <c r="G1799" t="str">
        <f>VLOOKUP(F1799,Carrier_Category!A:B,2,0)</f>
        <v>Commuter</v>
      </c>
      <c r="H1799" s="5">
        <v>44</v>
      </c>
      <c r="I1799" s="7">
        <f t="shared" si="85"/>
        <v>88</v>
      </c>
      <c r="J1799" s="5">
        <v>1541</v>
      </c>
      <c r="K1799" s="18">
        <f t="shared" si="87"/>
        <v>35.022727272727273</v>
      </c>
    </row>
    <row r="1800" spans="1:11" x14ac:dyDescent="0.3">
      <c r="A1800" s="14">
        <v>2024</v>
      </c>
      <c r="B1800" s="14">
        <f t="shared" si="86"/>
        <v>12</v>
      </c>
      <c r="C1800" s="9">
        <v>45369</v>
      </c>
      <c r="D1800" s="9">
        <v>45634</v>
      </c>
      <c r="E1800" s="14">
        <f>VLOOKUP(F1800,CarrierID!A:B,2,0)</f>
        <v>5</v>
      </c>
      <c r="F1800" s="15" t="s">
        <v>1</v>
      </c>
      <c r="G1800" t="str">
        <f>VLOOKUP(F1800,Carrier_Category!A:B,2,0)</f>
        <v>Intercity</v>
      </c>
      <c r="H1800" s="5">
        <v>61</v>
      </c>
      <c r="I1800" s="7">
        <f t="shared" si="85"/>
        <v>44</v>
      </c>
      <c r="J1800" s="5">
        <v>1509</v>
      </c>
      <c r="K1800" s="18">
        <f t="shared" si="87"/>
        <v>24.737704918032787</v>
      </c>
    </row>
    <row r="1801" spans="1:11" x14ac:dyDescent="0.3">
      <c r="A1801" s="14">
        <v>2024</v>
      </c>
      <c r="B1801" s="14">
        <f t="shared" si="86"/>
        <v>12</v>
      </c>
      <c r="C1801" s="9">
        <v>45369</v>
      </c>
      <c r="D1801" s="9">
        <v>45634</v>
      </c>
      <c r="E1801" s="14">
        <f>VLOOKUP(F1801,CarrierID!A:B,2,0)</f>
        <v>8</v>
      </c>
      <c r="F1801" s="15" t="s">
        <v>2</v>
      </c>
      <c r="G1801" t="str">
        <f>VLOOKUP(F1801,Carrier_Category!A:B,2,0)</f>
        <v>Commuter</v>
      </c>
      <c r="H1801" s="5">
        <v>18</v>
      </c>
      <c r="I1801" s="7">
        <f t="shared" si="85"/>
        <v>61</v>
      </c>
      <c r="J1801" s="5">
        <v>734</v>
      </c>
      <c r="K1801" s="18">
        <f t="shared" si="87"/>
        <v>40.777777777777779</v>
      </c>
    </row>
    <row r="1802" spans="1:11" x14ac:dyDescent="0.3">
      <c r="A1802" s="14">
        <v>2024</v>
      </c>
      <c r="B1802" s="14">
        <f t="shared" si="86"/>
        <v>12</v>
      </c>
      <c r="C1802" s="9">
        <v>45369</v>
      </c>
      <c r="D1802" s="9">
        <v>45634</v>
      </c>
      <c r="E1802" s="14">
        <f>VLOOKUP(F1802,CarrierID!A:B,2,0)</f>
        <v>9</v>
      </c>
      <c r="F1802" s="15" t="s">
        <v>3</v>
      </c>
      <c r="G1802" t="str">
        <f>VLOOKUP(F1802,Carrier_Category!A:B,2,0)</f>
        <v>NJT</v>
      </c>
      <c r="H1802" s="5">
        <v>2420</v>
      </c>
      <c r="I1802" s="7">
        <f t="shared" si="85"/>
        <v>18</v>
      </c>
      <c r="J1802" s="5">
        <v>78950</v>
      </c>
      <c r="K1802" s="18">
        <f t="shared" si="87"/>
        <v>32.623966942148762</v>
      </c>
    </row>
    <row r="1803" spans="1:11" x14ac:dyDescent="0.3">
      <c r="A1803" s="14">
        <v>2024</v>
      </c>
      <c r="B1803" s="14">
        <f t="shared" si="86"/>
        <v>12</v>
      </c>
      <c r="C1803" s="9">
        <v>45369</v>
      </c>
      <c r="D1803" s="9">
        <v>45634</v>
      </c>
      <c r="E1803" s="14">
        <f>VLOOKUP(F1803,CarrierID!A:B,2,0)</f>
        <v>7</v>
      </c>
      <c r="F1803" s="15" t="s">
        <v>4</v>
      </c>
      <c r="G1803" t="str">
        <f>VLOOKUP(F1803,Carrier_Category!A:B,2,0)</f>
        <v>Commuter</v>
      </c>
      <c r="H1803" s="5">
        <v>42</v>
      </c>
      <c r="I1803" s="7">
        <f t="shared" si="85"/>
        <v>2437</v>
      </c>
      <c r="J1803" s="5">
        <v>1430</v>
      </c>
      <c r="K1803" s="18">
        <f t="shared" si="87"/>
        <v>34.047619047619051</v>
      </c>
    </row>
    <row r="1804" spans="1:11" x14ac:dyDescent="0.3">
      <c r="A1804" s="14">
        <v>2024</v>
      </c>
      <c r="B1804" s="14">
        <f t="shared" si="86"/>
        <v>12</v>
      </c>
      <c r="C1804" s="9">
        <v>45369</v>
      </c>
      <c r="D1804" s="9">
        <v>45634</v>
      </c>
      <c r="E1804" s="14">
        <f>VLOOKUP(F1804,CarrierID!A:B,2,0)</f>
        <v>11</v>
      </c>
      <c r="F1804" s="15" t="s">
        <v>5</v>
      </c>
      <c r="G1804" t="str">
        <f>VLOOKUP(F1804,Carrier_Category!A:B,2,0)</f>
        <v>Intercity</v>
      </c>
      <c r="H1804" s="5">
        <v>21</v>
      </c>
      <c r="I1804" s="7">
        <f t="shared" si="85"/>
        <v>42</v>
      </c>
      <c r="J1804" s="5">
        <v>509</v>
      </c>
      <c r="K1804" s="18">
        <f t="shared" si="87"/>
        <v>24.238095238095237</v>
      </c>
    </row>
    <row r="1805" spans="1:11" x14ac:dyDescent="0.3">
      <c r="A1805" s="14">
        <v>2024</v>
      </c>
      <c r="B1805" s="14">
        <f t="shared" si="86"/>
        <v>12</v>
      </c>
      <c r="C1805" s="9">
        <v>45369</v>
      </c>
      <c r="D1805" s="9">
        <v>45634</v>
      </c>
      <c r="E1805" s="14">
        <f>VLOOKUP(F1805,CarrierID!A:B,2,0)</f>
        <v>3</v>
      </c>
      <c r="F1805" s="15" t="s">
        <v>6</v>
      </c>
      <c r="G1805" t="str">
        <f>VLOOKUP(F1805,Carrier_Category!A:B,2,0)</f>
        <v>Commuter</v>
      </c>
      <c r="H1805" s="5">
        <v>186</v>
      </c>
      <c r="I1805" s="7">
        <f t="shared" ref="I1805:I1868" si="88">H1794</f>
        <v>24</v>
      </c>
      <c r="J1805" s="5">
        <v>5564</v>
      </c>
      <c r="K1805" s="18">
        <f t="shared" si="87"/>
        <v>29.913978494623656</v>
      </c>
    </row>
    <row r="1806" spans="1:11" x14ac:dyDescent="0.3">
      <c r="A1806" s="14">
        <v>2024</v>
      </c>
      <c r="B1806" s="14">
        <f t="shared" si="86"/>
        <v>12</v>
      </c>
      <c r="C1806" s="9">
        <v>45369</v>
      </c>
      <c r="D1806" s="9">
        <v>45634</v>
      </c>
      <c r="E1806" s="14">
        <f>VLOOKUP(F1806,CarrierID!A:B,2,0)</f>
        <v>12</v>
      </c>
      <c r="F1806" s="15" t="s">
        <v>25</v>
      </c>
      <c r="G1806" t="str">
        <f>VLOOKUP(F1806,Carrier_Category!A:B,2,0)</f>
        <v>Commuter</v>
      </c>
      <c r="H1806" s="5">
        <v>24</v>
      </c>
      <c r="I1806" s="7">
        <f t="shared" si="88"/>
        <v>185</v>
      </c>
      <c r="J1806" s="5">
        <v>691</v>
      </c>
      <c r="K1806" s="18">
        <f t="shared" si="87"/>
        <v>28.791666666666668</v>
      </c>
    </row>
    <row r="1807" spans="1:11" x14ac:dyDescent="0.3">
      <c r="A1807" s="14">
        <v>2024</v>
      </c>
      <c r="B1807" s="14">
        <f t="shared" si="86"/>
        <v>12</v>
      </c>
      <c r="C1807" s="9">
        <v>45369</v>
      </c>
      <c r="D1807" s="9">
        <v>45634</v>
      </c>
      <c r="E1807" s="14">
        <f>VLOOKUP(F1807,CarrierID!A:B,2,0)</f>
        <v>10</v>
      </c>
      <c r="F1807" s="15" t="s">
        <v>8</v>
      </c>
      <c r="G1807" t="str">
        <f>VLOOKUP(F1807,Carrier_Category!A:B,2,0)</f>
        <v>Intercity</v>
      </c>
      <c r="H1807" s="5">
        <v>28</v>
      </c>
      <c r="I1807" s="7">
        <f t="shared" si="88"/>
        <v>23</v>
      </c>
      <c r="J1807" s="5">
        <v>831</v>
      </c>
      <c r="K1807" s="18">
        <f t="shared" si="87"/>
        <v>29.678571428571427</v>
      </c>
    </row>
    <row r="1808" spans="1:11" x14ac:dyDescent="0.3">
      <c r="A1808" s="14">
        <v>2024</v>
      </c>
      <c r="B1808" s="14">
        <f t="shared" si="86"/>
        <v>12</v>
      </c>
      <c r="C1808" s="9">
        <v>45369</v>
      </c>
      <c r="D1808" s="9">
        <v>45634</v>
      </c>
      <c r="E1808" s="14">
        <f>VLOOKUP(F1808,CarrierID!A:B,2,0)</f>
        <v>6</v>
      </c>
      <c r="F1808" s="15" t="s">
        <v>9</v>
      </c>
      <c r="G1808" t="str">
        <f>VLOOKUP(F1808,Carrier_Category!A:B,2,0)</f>
        <v>Commuter</v>
      </c>
      <c r="H1808" s="5">
        <v>83</v>
      </c>
      <c r="I1808" s="7">
        <f t="shared" si="88"/>
        <v>28</v>
      </c>
      <c r="J1808" s="5">
        <v>1495</v>
      </c>
      <c r="K1808" s="18">
        <f t="shared" si="87"/>
        <v>18.012048192771083</v>
      </c>
    </row>
    <row r="1809" spans="1:11" x14ac:dyDescent="0.3">
      <c r="A1809" s="14">
        <v>2024</v>
      </c>
      <c r="B1809" s="14">
        <f t="shared" si="86"/>
        <v>13</v>
      </c>
      <c r="C1809" s="9">
        <v>45376</v>
      </c>
      <c r="D1809" s="9">
        <v>45631</v>
      </c>
      <c r="E1809" s="14">
        <f>VLOOKUP(F1809,CarrierID!A:B,2,0)</f>
        <v>1</v>
      </c>
      <c r="F1809" s="15" t="s">
        <v>0</v>
      </c>
      <c r="G1809" t="str">
        <f>VLOOKUP(F1809,Carrier_Category!A:B,2,0)</f>
        <v>Commuter</v>
      </c>
      <c r="H1809" s="5">
        <v>44</v>
      </c>
      <c r="I1809" s="7">
        <f t="shared" si="88"/>
        <v>88</v>
      </c>
      <c r="J1809" s="5">
        <v>1229</v>
      </c>
      <c r="K1809" s="18">
        <f t="shared" si="87"/>
        <v>27.931818181818183</v>
      </c>
    </row>
    <row r="1810" spans="1:11" x14ac:dyDescent="0.3">
      <c r="A1810" s="14">
        <v>2024</v>
      </c>
      <c r="B1810" s="14">
        <f t="shared" si="86"/>
        <v>13</v>
      </c>
      <c r="C1810" s="9">
        <v>45376</v>
      </c>
      <c r="D1810" s="9">
        <v>45631</v>
      </c>
      <c r="E1810" s="14">
        <f>VLOOKUP(F1810,CarrierID!A:B,2,0)</f>
        <v>5</v>
      </c>
      <c r="F1810" s="15" t="s">
        <v>1</v>
      </c>
      <c r="G1810" t="str">
        <f>VLOOKUP(F1810,Carrier_Category!A:B,2,0)</f>
        <v>Intercity</v>
      </c>
      <c r="H1810" s="5">
        <v>61</v>
      </c>
      <c r="I1810" s="7">
        <f t="shared" si="88"/>
        <v>44</v>
      </c>
      <c r="J1810" s="5">
        <v>1613</v>
      </c>
      <c r="K1810" s="18">
        <f t="shared" si="87"/>
        <v>26.442622950819672</v>
      </c>
    </row>
    <row r="1811" spans="1:11" x14ac:dyDescent="0.3">
      <c r="A1811" s="14">
        <v>2024</v>
      </c>
      <c r="B1811" s="14">
        <f t="shared" si="86"/>
        <v>13</v>
      </c>
      <c r="C1811" s="9">
        <v>45376</v>
      </c>
      <c r="D1811" s="9">
        <v>45631</v>
      </c>
      <c r="E1811" s="14">
        <f>VLOOKUP(F1811,CarrierID!A:B,2,0)</f>
        <v>8</v>
      </c>
      <c r="F1811" s="15" t="s">
        <v>2</v>
      </c>
      <c r="G1811" t="str">
        <f>VLOOKUP(F1811,Carrier_Category!A:B,2,0)</f>
        <v>Commuter</v>
      </c>
      <c r="H1811" s="5">
        <v>18</v>
      </c>
      <c r="I1811" s="7">
        <f t="shared" si="88"/>
        <v>61</v>
      </c>
      <c r="J1811" s="5">
        <v>723</v>
      </c>
      <c r="K1811" s="18">
        <f t="shared" si="87"/>
        <v>40.166666666666664</v>
      </c>
    </row>
    <row r="1812" spans="1:11" x14ac:dyDescent="0.3">
      <c r="A1812" s="14">
        <v>2024</v>
      </c>
      <c r="B1812" s="14">
        <f t="shared" si="86"/>
        <v>13</v>
      </c>
      <c r="C1812" s="9">
        <v>45376</v>
      </c>
      <c r="D1812" s="9">
        <v>45631</v>
      </c>
      <c r="E1812" s="14">
        <f>VLOOKUP(F1812,CarrierID!A:B,2,0)</f>
        <v>9</v>
      </c>
      <c r="F1812" s="15" t="s">
        <v>3</v>
      </c>
      <c r="G1812" t="str">
        <f>VLOOKUP(F1812,Carrier_Category!A:B,2,0)</f>
        <v>NJT</v>
      </c>
      <c r="H1812" s="5">
        <v>2417</v>
      </c>
      <c r="I1812" s="7">
        <f t="shared" si="88"/>
        <v>18</v>
      </c>
      <c r="J1812" s="5">
        <v>80983</v>
      </c>
      <c r="K1812" s="18">
        <f t="shared" si="87"/>
        <v>33.505585436491515</v>
      </c>
    </row>
    <row r="1813" spans="1:11" x14ac:dyDescent="0.3">
      <c r="A1813" s="14">
        <v>2024</v>
      </c>
      <c r="B1813" s="14">
        <f t="shared" si="86"/>
        <v>13</v>
      </c>
      <c r="C1813" s="9">
        <v>45376</v>
      </c>
      <c r="D1813" s="9">
        <v>45631</v>
      </c>
      <c r="E1813" s="14">
        <f>VLOOKUP(F1813,CarrierID!A:B,2,0)</f>
        <v>7</v>
      </c>
      <c r="F1813" s="15" t="s">
        <v>4</v>
      </c>
      <c r="G1813" t="str">
        <f>VLOOKUP(F1813,Carrier_Category!A:B,2,0)</f>
        <v>Commuter</v>
      </c>
      <c r="H1813" s="5">
        <v>42</v>
      </c>
      <c r="I1813" s="7">
        <f t="shared" si="88"/>
        <v>2420</v>
      </c>
      <c r="J1813" s="5">
        <v>1382</v>
      </c>
      <c r="K1813" s="18">
        <f t="shared" si="87"/>
        <v>32.904761904761905</v>
      </c>
    </row>
    <row r="1814" spans="1:11" x14ac:dyDescent="0.3">
      <c r="A1814" s="14">
        <v>2024</v>
      </c>
      <c r="B1814" s="14">
        <f t="shared" si="86"/>
        <v>13</v>
      </c>
      <c r="C1814" s="9">
        <v>45376</v>
      </c>
      <c r="D1814" s="9">
        <v>45631</v>
      </c>
      <c r="E1814" s="14">
        <f>VLOOKUP(F1814,CarrierID!A:B,2,0)</f>
        <v>11</v>
      </c>
      <c r="F1814" s="15" t="s">
        <v>5</v>
      </c>
      <c r="G1814" t="str">
        <f>VLOOKUP(F1814,Carrier_Category!A:B,2,0)</f>
        <v>Intercity</v>
      </c>
      <c r="H1814" s="5">
        <v>21</v>
      </c>
      <c r="I1814" s="7">
        <f t="shared" si="88"/>
        <v>42</v>
      </c>
      <c r="J1814" s="5">
        <v>542</v>
      </c>
      <c r="K1814" s="18">
        <f t="shared" si="87"/>
        <v>25.80952380952381</v>
      </c>
    </row>
    <row r="1815" spans="1:11" x14ac:dyDescent="0.3">
      <c r="A1815" s="14">
        <v>2024</v>
      </c>
      <c r="B1815" s="14">
        <f t="shared" si="86"/>
        <v>13</v>
      </c>
      <c r="C1815" s="9">
        <v>45376</v>
      </c>
      <c r="D1815" s="9">
        <v>45631</v>
      </c>
      <c r="E1815" s="14">
        <f>VLOOKUP(F1815,CarrierID!A:B,2,0)</f>
        <v>3</v>
      </c>
      <c r="F1815" s="15" t="s">
        <v>6</v>
      </c>
      <c r="G1815" t="str">
        <f>VLOOKUP(F1815,Carrier_Category!A:B,2,0)</f>
        <v>Commuter</v>
      </c>
      <c r="H1815" s="5">
        <v>186</v>
      </c>
      <c r="I1815" s="7">
        <f t="shared" si="88"/>
        <v>21</v>
      </c>
      <c r="J1815" s="5">
        <v>5564</v>
      </c>
      <c r="K1815" s="18">
        <f t="shared" si="87"/>
        <v>29.913978494623656</v>
      </c>
    </row>
    <row r="1816" spans="1:11" x14ac:dyDescent="0.3">
      <c r="A1816" s="14">
        <v>2024</v>
      </c>
      <c r="B1816" s="14">
        <f t="shared" si="86"/>
        <v>13</v>
      </c>
      <c r="C1816" s="9">
        <v>45376</v>
      </c>
      <c r="D1816" s="9">
        <v>45631</v>
      </c>
      <c r="E1816" s="14">
        <f>VLOOKUP(F1816,CarrierID!A:B,2,0)</f>
        <v>12</v>
      </c>
      <c r="F1816" s="15" t="s">
        <v>25</v>
      </c>
      <c r="G1816" t="str">
        <f>VLOOKUP(F1816,Carrier_Category!A:B,2,0)</f>
        <v>Commuter</v>
      </c>
      <c r="H1816" s="5">
        <v>24</v>
      </c>
      <c r="I1816" s="7">
        <f t="shared" si="88"/>
        <v>186</v>
      </c>
      <c r="J1816" s="5">
        <v>684</v>
      </c>
      <c r="K1816" s="18">
        <f t="shared" si="87"/>
        <v>28.5</v>
      </c>
    </row>
    <row r="1817" spans="1:11" x14ac:dyDescent="0.3">
      <c r="A1817" s="14">
        <v>2024</v>
      </c>
      <c r="B1817" s="14">
        <f t="shared" si="86"/>
        <v>13</v>
      </c>
      <c r="C1817" s="9">
        <v>45376</v>
      </c>
      <c r="D1817" s="9">
        <v>45631</v>
      </c>
      <c r="E1817" s="14">
        <f>VLOOKUP(F1817,CarrierID!A:B,2,0)</f>
        <v>10</v>
      </c>
      <c r="F1817" s="15" t="s">
        <v>8</v>
      </c>
      <c r="G1817" t="str">
        <f>VLOOKUP(F1817,Carrier_Category!A:B,2,0)</f>
        <v>Intercity</v>
      </c>
      <c r="H1817" s="5">
        <v>28</v>
      </c>
      <c r="I1817" s="7">
        <f t="shared" si="88"/>
        <v>24</v>
      </c>
      <c r="J1817" s="5">
        <v>831</v>
      </c>
      <c r="K1817" s="18">
        <f t="shared" si="87"/>
        <v>29.678571428571427</v>
      </c>
    </row>
    <row r="1818" spans="1:11" x14ac:dyDescent="0.3">
      <c r="A1818" s="14">
        <v>2024</v>
      </c>
      <c r="B1818" s="14">
        <f t="shared" si="86"/>
        <v>13</v>
      </c>
      <c r="C1818" s="9">
        <v>45376</v>
      </c>
      <c r="D1818" s="9">
        <v>45631</v>
      </c>
      <c r="E1818" s="14">
        <f>VLOOKUP(F1818,CarrierID!A:B,2,0)</f>
        <v>6</v>
      </c>
      <c r="F1818" s="15" t="s">
        <v>9</v>
      </c>
      <c r="G1818" t="str">
        <f>VLOOKUP(F1818,Carrier_Category!A:B,2,0)</f>
        <v>Commuter</v>
      </c>
      <c r="H1818" s="5">
        <v>83</v>
      </c>
      <c r="I1818" s="7">
        <f t="shared" si="88"/>
        <v>28</v>
      </c>
      <c r="J1818" s="5">
        <v>1593</v>
      </c>
      <c r="K1818" s="18">
        <f t="shared" si="87"/>
        <v>19.192771084337348</v>
      </c>
    </row>
    <row r="1819" spans="1:11" x14ac:dyDescent="0.3">
      <c r="A1819" s="14">
        <v>2024</v>
      </c>
      <c r="B1819" s="14">
        <f t="shared" si="86"/>
        <v>14</v>
      </c>
      <c r="C1819" s="9">
        <v>45383</v>
      </c>
      <c r="D1819" s="9">
        <v>45387</v>
      </c>
      <c r="E1819" s="14">
        <f>VLOOKUP(F1819,CarrierID!A:B,2,0)</f>
        <v>1</v>
      </c>
      <c r="F1819" s="15" t="s">
        <v>0</v>
      </c>
      <c r="G1819" t="str">
        <f>VLOOKUP(F1819,Carrier_Category!A:B,2,0)</f>
        <v>Commuter</v>
      </c>
      <c r="H1819" s="5">
        <v>44</v>
      </c>
      <c r="I1819" s="7">
        <f t="shared" si="88"/>
        <v>83</v>
      </c>
      <c r="J1819" s="5">
        <v>1101</v>
      </c>
      <c r="K1819" s="18">
        <f t="shared" si="87"/>
        <v>25.022727272727273</v>
      </c>
    </row>
    <row r="1820" spans="1:11" x14ac:dyDescent="0.3">
      <c r="A1820" s="14">
        <v>2024</v>
      </c>
      <c r="B1820" s="14">
        <f t="shared" si="86"/>
        <v>14</v>
      </c>
      <c r="C1820" s="9">
        <v>45383</v>
      </c>
      <c r="D1820" s="9">
        <v>45387</v>
      </c>
      <c r="E1820" s="14">
        <f>VLOOKUP(F1820,CarrierID!A:B,2,0)</f>
        <v>5</v>
      </c>
      <c r="F1820" s="15" t="s">
        <v>1</v>
      </c>
      <c r="G1820" t="str">
        <f>VLOOKUP(F1820,Carrier_Category!A:B,2,0)</f>
        <v>Intercity</v>
      </c>
      <c r="H1820" s="5">
        <v>60</v>
      </c>
      <c r="I1820" s="7">
        <f t="shared" si="88"/>
        <v>44</v>
      </c>
      <c r="J1820" s="5">
        <v>1601</v>
      </c>
      <c r="K1820" s="18">
        <f t="shared" si="87"/>
        <v>26.683333333333334</v>
      </c>
    </row>
    <row r="1821" spans="1:11" x14ac:dyDescent="0.3">
      <c r="A1821" s="14">
        <v>2024</v>
      </c>
      <c r="B1821" s="14">
        <f t="shared" si="86"/>
        <v>14</v>
      </c>
      <c r="C1821" s="9">
        <v>45383</v>
      </c>
      <c r="D1821" s="9">
        <v>45387</v>
      </c>
      <c r="E1821" s="14">
        <f>VLOOKUP(F1821,CarrierID!A:B,2,0)</f>
        <v>8</v>
      </c>
      <c r="F1821" s="15" t="s">
        <v>2</v>
      </c>
      <c r="G1821" t="str">
        <f>VLOOKUP(F1821,Carrier_Category!A:B,2,0)</f>
        <v>Commuter</v>
      </c>
      <c r="H1821" s="5">
        <v>18</v>
      </c>
      <c r="I1821" s="7">
        <f t="shared" si="88"/>
        <v>61</v>
      </c>
      <c r="J1821" s="5">
        <v>725</v>
      </c>
      <c r="K1821" s="18">
        <f t="shared" si="87"/>
        <v>40.277777777777779</v>
      </c>
    </row>
    <row r="1822" spans="1:11" x14ac:dyDescent="0.3">
      <c r="A1822" s="14">
        <v>2024</v>
      </c>
      <c r="B1822" s="14">
        <f t="shared" si="86"/>
        <v>14</v>
      </c>
      <c r="C1822" s="9">
        <v>45383</v>
      </c>
      <c r="D1822" s="9">
        <v>45387</v>
      </c>
      <c r="E1822" s="14">
        <f>VLOOKUP(F1822,CarrierID!A:B,2,0)</f>
        <v>9</v>
      </c>
      <c r="F1822" s="15" t="s">
        <v>3</v>
      </c>
      <c r="G1822" t="str">
        <f>VLOOKUP(F1822,Carrier_Category!A:B,2,0)</f>
        <v>NJT</v>
      </c>
      <c r="H1822" s="5">
        <v>2410</v>
      </c>
      <c r="I1822" s="7">
        <f t="shared" si="88"/>
        <v>18</v>
      </c>
      <c r="J1822" s="5">
        <v>73730</v>
      </c>
      <c r="K1822" s="18">
        <f t="shared" si="87"/>
        <v>30.593360995850624</v>
      </c>
    </row>
    <row r="1823" spans="1:11" x14ac:dyDescent="0.3">
      <c r="A1823" s="14">
        <v>2024</v>
      </c>
      <c r="B1823" s="14">
        <f t="shared" si="86"/>
        <v>14</v>
      </c>
      <c r="C1823" s="9">
        <v>45383</v>
      </c>
      <c r="D1823" s="9">
        <v>45387</v>
      </c>
      <c r="E1823" s="14">
        <f>VLOOKUP(F1823,CarrierID!A:B,2,0)</f>
        <v>7</v>
      </c>
      <c r="F1823" s="15" t="s">
        <v>4</v>
      </c>
      <c r="G1823" t="str">
        <f>VLOOKUP(F1823,Carrier_Category!A:B,2,0)</f>
        <v>Commuter</v>
      </c>
      <c r="H1823" s="5">
        <v>42</v>
      </c>
      <c r="I1823" s="7">
        <f t="shared" si="88"/>
        <v>2417</v>
      </c>
      <c r="J1823" s="5">
        <v>1232</v>
      </c>
      <c r="K1823" s="18">
        <f t="shared" si="87"/>
        <v>29.333333333333332</v>
      </c>
    </row>
    <row r="1824" spans="1:11" x14ac:dyDescent="0.3">
      <c r="A1824" s="14">
        <v>2024</v>
      </c>
      <c r="B1824" s="14">
        <f t="shared" si="86"/>
        <v>14</v>
      </c>
      <c r="C1824" s="9">
        <v>45383</v>
      </c>
      <c r="D1824" s="9">
        <v>45387</v>
      </c>
      <c r="E1824" s="14">
        <f>VLOOKUP(F1824,CarrierID!A:B,2,0)</f>
        <v>11</v>
      </c>
      <c r="F1824" s="15" t="s">
        <v>5</v>
      </c>
      <c r="G1824" t="str">
        <f>VLOOKUP(F1824,Carrier_Category!A:B,2,0)</f>
        <v>Intercity</v>
      </c>
      <c r="H1824" s="5">
        <v>23</v>
      </c>
      <c r="I1824" s="7">
        <f t="shared" si="88"/>
        <v>42</v>
      </c>
      <c r="J1824" s="5">
        <v>688</v>
      </c>
      <c r="K1824" s="18">
        <f t="shared" si="87"/>
        <v>29.913043478260871</v>
      </c>
    </row>
    <row r="1825" spans="1:11" x14ac:dyDescent="0.3">
      <c r="A1825" s="14">
        <v>2024</v>
      </c>
      <c r="B1825" s="14">
        <f t="shared" si="86"/>
        <v>14</v>
      </c>
      <c r="C1825" s="9">
        <v>45383</v>
      </c>
      <c r="D1825" s="9">
        <v>45387</v>
      </c>
      <c r="E1825" s="14">
        <f>VLOOKUP(F1825,CarrierID!A:B,2,0)</f>
        <v>3</v>
      </c>
      <c r="F1825" s="15" t="s">
        <v>6</v>
      </c>
      <c r="G1825" t="str">
        <f>VLOOKUP(F1825,Carrier_Category!A:B,2,0)</f>
        <v>Commuter</v>
      </c>
      <c r="H1825" s="5">
        <v>174</v>
      </c>
      <c r="I1825" s="7">
        <f t="shared" si="88"/>
        <v>21</v>
      </c>
      <c r="J1825" s="5">
        <v>4872</v>
      </c>
      <c r="K1825" s="18">
        <f t="shared" si="87"/>
        <v>28</v>
      </c>
    </row>
    <row r="1826" spans="1:11" x14ac:dyDescent="0.3">
      <c r="A1826" s="14">
        <v>2024</v>
      </c>
      <c r="B1826" s="14">
        <f t="shared" si="86"/>
        <v>14</v>
      </c>
      <c r="C1826" s="9">
        <v>45383</v>
      </c>
      <c r="D1826" s="9">
        <v>45387</v>
      </c>
      <c r="E1826" s="14">
        <f>VLOOKUP(F1826,CarrierID!A:B,2,0)</f>
        <v>12</v>
      </c>
      <c r="F1826" s="15" t="s">
        <v>25</v>
      </c>
      <c r="G1826" t="str">
        <f>VLOOKUP(F1826,Carrier_Category!A:B,2,0)</f>
        <v>Commuter</v>
      </c>
      <c r="H1826" s="5">
        <v>23</v>
      </c>
      <c r="I1826" s="7">
        <f t="shared" si="88"/>
        <v>186</v>
      </c>
      <c r="J1826" s="5">
        <v>594</v>
      </c>
      <c r="K1826" s="18">
        <f t="shared" si="87"/>
        <v>25.826086956521738</v>
      </c>
    </row>
    <row r="1827" spans="1:11" x14ac:dyDescent="0.3">
      <c r="A1827" s="14">
        <v>2024</v>
      </c>
      <c r="B1827" s="14">
        <f t="shared" si="86"/>
        <v>14</v>
      </c>
      <c r="C1827" s="9">
        <v>45383</v>
      </c>
      <c r="D1827" s="9">
        <v>45387</v>
      </c>
      <c r="E1827" s="14">
        <f>VLOOKUP(F1827,CarrierID!A:B,2,0)</f>
        <v>10</v>
      </c>
      <c r="F1827" s="15" t="s">
        <v>8</v>
      </c>
      <c r="G1827" t="str">
        <f>VLOOKUP(F1827,Carrier_Category!A:B,2,0)</f>
        <v>Intercity</v>
      </c>
      <c r="H1827" s="5">
        <v>30</v>
      </c>
      <c r="I1827" s="7">
        <f t="shared" si="88"/>
        <v>24</v>
      </c>
      <c r="J1827" s="5">
        <v>919</v>
      </c>
      <c r="K1827" s="18">
        <f t="shared" si="87"/>
        <v>30.633333333333333</v>
      </c>
    </row>
    <row r="1828" spans="1:11" x14ac:dyDescent="0.3">
      <c r="A1828" s="14">
        <v>2024</v>
      </c>
      <c r="B1828" s="14">
        <f t="shared" si="86"/>
        <v>14</v>
      </c>
      <c r="C1828" s="9">
        <v>45383</v>
      </c>
      <c r="D1828" s="9">
        <v>45387</v>
      </c>
      <c r="E1828" s="14">
        <f>VLOOKUP(F1828,CarrierID!A:B,2,0)</f>
        <v>6</v>
      </c>
      <c r="F1828" s="15" t="s">
        <v>9</v>
      </c>
      <c r="G1828" t="str">
        <f>VLOOKUP(F1828,Carrier_Category!A:B,2,0)</f>
        <v>Commuter</v>
      </c>
      <c r="H1828" s="5">
        <v>85</v>
      </c>
      <c r="I1828" s="7">
        <f t="shared" si="88"/>
        <v>28</v>
      </c>
      <c r="J1828" s="5">
        <v>1573</v>
      </c>
      <c r="K1828" s="18">
        <f t="shared" si="87"/>
        <v>18.505882352941178</v>
      </c>
    </row>
    <row r="1829" spans="1:11" x14ac:dyDescent="0.3">
      <c r="A1829" s="14">
        <v>2024</v>
      </c>
      <c r="B1829" s="14">
        <f t="shared" si="86"/>
        <v>15</v>
      </c>
      <c r="C1829" s="9">
        <v>45390</v>
      </c>
      <c r="D1829" s="9">
        <v>45394</v>
      </c>
      <c r="E1829" s="14">
        <f>VLOOKUP(F1829,CarrierID!A:B,2,0)</f>
        <v>1</v>
      </c>
      <c r="F1829" s="15" t="s">
        <v>0</v>
      </c>
      <c r="G1829" t="str">
        <f>VLOOKUP(F1829,Carrier_Category!A:B,2,0)</f>
        <v>Commuter</v>
      </c>
      <c r="H1829" s="5">
        <v>44</v>
      </c>
      <c r="I1829" s="7">
        <f t="shared" si="88"/>
        <v>83</v>
      </c>
      <c r="J1829" s="5">
        <v>1246</v>
      </c>
      <c r="K1829" s="18">
        <f t="shared" si="87"/>
        <v>28.318181818181817</v>
      </c>
    </row>
    <row r="1830" spans="1:11" x14ac:dyDescent="0.3">
      <c r="A1830" s="14">
        <v>2024</v>
      </c>
      <c r="B1830" s="14">
        <f t="shared" si="86"/>
        <v>15</v>
      </c>
      <c r="C1830" s="9">
        <v>45390</v>
      </c>
      <c r="D1830" s="9">
        <v>45394</v>
      </c>
      <c r="E1830" s="14">
        <f>VLOOKUP(F1830,CarrierID!A:B,2,0)</f>
        <v>5</v>
      </c>
      <c r="F1830" s="15" t="s">
        <v>1</v>
      </c>
      <c r="G1830" t="str">
        <f>VLOOKUP(F1830,Carrier_Category!A:B,2,0)</f>
        <v>Intercity</v>
      </c>
      <c r="H1830" s="5">
        <v>60</v>
      </c>
      <c r="I1830" s="7">
        <f t="shared" si="88"/>
        <v>44</v>
      </c>
      <c r="J1830" s="5">
        <v>1474</v>
      </c>
      <c r="K1830" s="18">
        <f t="shared" si="87"/>
        <v>24.566666666666666</v>
      </c>
    </row>
    <row r="1831" spans="1:11" x14ac:dyDescent="0.3">
      <c r="A1831" s="14">
        <v>2024</v>
      </c>
      <c r="B1831" s="14">
        <f t="shared" si="86"/>
        <v>15</v>
      </c>
      <c r="C1831" s="9">
        <v>45390</v>
      </c>
      <c r="D1831" s="9">
        <v>45394</v>
      </c>
      <c r="E1831" s="14">
        <f>VLOOKUP(F1831,CarrierID!A:B,2,0)</f>
        <v>8</v>
      </c>
      <c r="F1831" s="15" t="s">
        <v>2</v>
      </c>
      <c r="G1831" t="str">
        <f>VLOOKUP(F1831,Carrier_Category!A:B,2,0)</f>
        <v>Commuter</v>
      </c>
      <c r="H1831" s="5">
        <v>18</v>
      </c>
      <c r="I1831" s="7">
        <f t="shared" si="88"/>
        <v>60</v>
      </c>
      <c r="J1831" s="5">
        <v>717</v>
      </c>
      <c r="K1831" s="18">
        <f t="shared" si="87"/>
        <v>39.833333333333336</v>
      </c>
    </row>
    <row r="1832" spans="1:11" x14ac:dyDescent="0.3">
      <c r="A1832" s="14">
        <v>2024</v>
      </c>
      <c r="B1832" s="14">
        <f t="shared" si="86"/>
        <v>15</v>
      </c>
      <c r="C1832" s="9">
        <v>45390</v>
      </c>
      <c r="D1832" s="9">
        <v>45394</v>
      </c>
      <c r="E1832" s="14">
        <f>VLOOKUP(F1832,CarrierID!A:B,2,0)</f>
        <v>9</v>
      </c>
      <c r="F1832" s="15" t="s">
        <v>3</v>
      </c>
      <c r="G1832" t="str">
        <f>VLOOKUP(F1832,Carrier_Category!A:B,2,0)</f>
        <v>NJT</v>
      </c>
      <c r="H1832" s="5">
        <v>2412</v>
      </c>
      <c r="I1832" s="7">
        <f t="shared" si="88"/>
        <v>18</v>
      </c>
      <c r="J1832" s="5">
        <v>78409</v>
      </c>
      <c r="K1832" s="18">
        <f t="shared" si="87"/>
        <v>32.50787728026534</v>
      </c>
    </row>
    <row r="1833" spans="1:11" x14ac:dyDescent="0.3">
      <c r="A1833" s="14">
        <v>2024</v>
      </c>
      <c r="B1833" s="14">
        <f t="shared" si="86"/>
        <v>15</v>
      </c>
      <c r="C1833" s="9">
        <v>45390</v>
      </c>
      <c r="D1833" s="9">
        <v>45394</v>
      </c>
      <c r="E1833" s="14">
        <f>VLOOKUP(F1833,CarrierID!A:B,2,0)</f>
        <v>7</v>
      </c>
      <c r="F1833" s="15" t="s">
        <v>4</v>
      </c>
      <c r="G1833" t="str">
        <f>VLOOKUP(F1833,Carrier_Category!A:B,2,0)</f>
        <v>Commuter</v>
      </c>
      <c r="H1833" s="5">
        <v>42</v>
      </c>
      <c r="I1833" s="7">
        <f t="shared" si="88"/>
        <v>2410</v>
      </c>
      <c r="J1833" s="5">
        <v>1395</v>
      </c>
      <c r="K1833" s="18">
        <f t="shared" si="87"/>
        <v>33.214285714285715</v>
      </c>
    </row>
    <row r="1834" spans="1:11" x14ac:dyDescent="0.3">
      <c r="A1834" s="14">
        <v>2024</v>
      </c>
      <c r="B1834" s="14">
        <f t="shared" si="86"/>
        <v>15</v>
      </c>
      <c r="C1834" s="9">
        <v>45390</v>
      </c>
      <c r="D1834" s="9">
        <v>45394</v>
      </c>
      <c r="E1834" s="14">
        <f>VLOOKUP(F1834,CarrierID!A:B,2,0)</f>
        <v>11</v>
      </c>
      <c r="F1834" s="15" t="s">
        <v>5</v>
      </c>
      <c r="G1834" t="str">
        <f>VLOOKUP(F1834,Carrier_Category!A:B,2,0)</f>
        <v>Intercity</v>
      </c>
      <c r="H1834" s="5">
        <v>23</v>
      </c>
      <c r="I1834" s="7">
        <f t="shared" si="88"/>
        <v>42</v>
      </c>
      <c r="J1834" s="5">
        <v>688</v>
      </c>
      <c r="K1834" s="18">
        <f t="shared" si="87"/>
        <v>29.913043478260871</v>
      </c>
    </row>
    <row r="1835" spans="1:11" x14ac:dyDescent="0.3">
      <c r="A1835" s="14">
        <v>2024</v>
      </c>
      <c r="B1835" s="14">
        <f t="shared" si="86"/>
        <v>15</v>
      </c>
      <c r="C1835" s="9">
        <v>45390</v>
      </c>
      <c r="D1835" s="9">
        <v>45394</v>
      </c>
      <c r="E1835" s="14">
        <f>VLOOKUP(F1835,CarrierID!A:B,2,0)</f>
        <v>3</v>
      </c>
      <c r="F1835" s="15" t="s">
        <v>6</v>
      </c>
      <c r="G1835" t="str">
        <f>VLOOKUP(F1835,Carrier_Category!A:B,2,0)</f>
        <v>Commuter</v>
      </c>
      <c r="H1835" s="5">
        <v>188</v>
      </c>
      <c r="I1835" s="7">
        <f t="shared" si="88"/>
        <v>23</v>
      </c>
      <c r="J1835" s="5">
        <v>5358</v>
      </c>
      <c r="K1835" s="18">
        <f t="shared" si="87"/>
        <v>28.5</v>
      </c>
    </row>
    <row r="1836" spans="1:11" x14ac:dyDescent="0.3">
      <c r="A1836" s="14">
        <v>2024</v>
      </c>
      <c r="B1836" s="14">
        <f t="shared" si="86"/>
        <v>15</v>
      </c>
      <c r="C1836" s="9">
        <v>45390</v>
      </c>
      <c r="D1836" s="9">
        <v>45394</v>
      </c>
      <c r="E1836" s="14">
        <f>VLOOKUP(F1836,CarrierID!A:B,2,0)</f>
        <v>12</v>
      </c>
      <c r="F1836" s="15" t="s">
        <v>25</v>
      </c>
      <c r="G1836" t="str">
        <f>VLOOKUP(F1836,Carrier_Category!A:B,2,0)</f>
        <v>Commuter</v>
      </c>
      <c r="H1836" s="5">
        <v>24</v>
      </c>
      <c r="I1836" s="7">
        <f t="shared" si="88"/>
        <v>174</v>
      </c>
      <c r="J1836" s="5">
        <v>632</v>
      </c>
      <c r="K1836" s="18">
        <f t="shared" si="87"/>
        <v>26.333333333333332</v>
      </c>
    </row>
    <row r="1837" spans="1:11" x14ac:dyDescent="0.3">
      <c r="A1837" s="14">
        <v>2024</v>
      </c>
      <c r="B1837" s="14">
        <f t="shared" si="86"/>
        <v>15</v>
      </c>
      <c r="C1837" s="9">
        <v>45390</v>
      </c>
      <c r="D1837" s="9">
        <v>45394</v>
      </c>
      <c r="E1837" s="14">
        <f>VLOOKUP(F1837,CarrierID!A:B,2,0)</f>
        <v>10</v>
      </c>
      <c r="F1837" s="15" t="s">
        <v>8</v>
      </c>
      <c r="G1837" t="str">
        <f>VLOOKUP(F1837,Carrier_Category!A:B,2,0)</f>
        <v>Intercity</v>
      </c>
      <c r="H1837" s="5">
        <v>24</v>
      </c>
      <c r="I1837" s="7">
        <f t="shared" si="88"/>
        <v>23</v>
      </c>
      <c r="J1837" s="5">
        <v>712</v>
      </c>
      <c r="K1837" s="18">
        <f t="shared" si="87"/>
        <v>29.666666666666668</v>
      </c>
    </row>
    <row r="1838" spans="1:11" x14ac:dyDescent="0.3">
      <c r="A1838" s="14">
        <v>2024</v>
      </c>
      <c r="B1838" s="14">
        <f t="shared" si="86"/>
        <v>15</v>
      </c>
      <c r="C1838" s="9">
        <v>45390</v>
      </c>
      <c r="D1838" s="9">
        <v>45394</v>
      </c>
      <c r="E1838" s="14">
        <f>VLOOKUP(F1838,CarrierID!A:B,2,0)</f>
        <v>6</v>
      </c>
      <c r="F1838" s="15" t="s">
        <v>9</v>
      </c>
      <c r="G1838" t="str">
        <f>VLOOKUP(F1838,Carrier_Category!A:B,2,0)</f>
        <v>Commuter</v>
      </c>
      <c r="H1838" s="5">
        <v>83</v>
      </c>
      <c r="I1838" s="7">
        <f t="shared" si="88"/>
        <v>30</v>
      </c>
      <c r="J1838" s="5">
        <v>1585</v>
      </c>
      <c r="K1838" s="18">
        <f t="shared" si="87"/>
        <v>19.096385542168676</v>
      </c>
    </row>
    <row r="1839" spans="1:11" x14ac:dyDescent="0.3">
      <c r="A1839" s="14">
        <v>2024</v>
      </c>
      <c r="B1839" s="14">
        <f t="shared" si="86"/>
        <v>16</v>
      </c>
      <c r="C1839" s="9">
        <v>45397</v>
      </c>
      <c r="D1839" s="9">
        <v>45401</v>
      </c>
      <c r="E1839" s="14">
        <f>VLOOKUP(F1839,CarrierID!A:B,2,0)</f>
        <v>1</v>
      </c>
      <c r="F1839" s="15" t="s">
        <v>0</v>
      </c>
      <c r="G1839" t="str">
        <f>VLOOKUP(F1839,Carrier_Category!A:B,2,0)</f>
        <v>Commuter</v>
      </c>
      <c r="H1839" s="5">
        <v>44</v>
      </c>
      <c r="I1839" s="7">
        <f t="shared" si="88"/>
        <v>85</v>
      </c>
      <c r="J1839" s="5">
        <v>1272</v>
      </c>
      <c r="K1839" s="18">
        <f t="shared" si="87"/>
        <v>28.90909090909091</v>
      </c>
    </row>
    <row r="1840" spans="1:11" x14ac:dyDescent="0.3">
      <c r="A1840" s="14">
        <v>2024</v>
      </c>
      <c r="B1840" s="14">
        <f t="shared" si="86"/>
        <v>16</v>
      </c>
      <c r="C1840" s="9">
        <v>45397</v>
      </c>
      <c r="D1840" s="9">
        <v>45401</v>
      </c>
      <c r="E1840" s="14">
        <f>VLOOKUP(F1840,CarrierID!A:B,2,0)</f>
        <v>5</v>
      </c>
      <c r="F1840" s="15" t="s">
        <v>1</v>
      </c>
      <c r="G1840" t="str">
        <f>VLOOKUP(F1840,Carrier_Category!A:B,2,0)</f>
        <v>Intercity</v>
      </c>
      <c r="H1840" s="5">
        <v>61</v>
      </c>
      <c r="I1840" s="7">
        <f t="shared" si="88"/>
        <v>44</v>
      </c>
      <c r="J1840" s="5">
        <v>1546</v>
      </c>
      <c r="K1840" s="18">
        <f t="shared" si="87"/>
        <v>25.344262295081968</v>
      </c>
    </row>
    <row r="1841" spans="1:11" x14ac:dyDescent="0.3">
      <c r="A1841" s="14">
        <v>2024</v>
      </c>
      <c r="B1841" s="14">
        <f t="shared" si="86"/>
        <v>16</v>
      </c>
      <c r="C1841" s="9">
        <v>45397</v>
      </c>
      <c r="D1841" s="9">
        <v>45401</v>
      </c>
      <c r="E1841" s="14">
        <f>VLOOKUP(F1841,CarrierID!A:B,2,0)</f>
        <v>8</v>
      </c>
      <c r="F1841" s="15" t="s">
        <v>2</v>
      </c>
      <c r="G1841" t="str">
        <f>VLOOKUP(F1841,Carrier_Category!A:B,2,0)</f>
        <v>Commuter</v>
      </c>
      <c r="H1841" s="5">
        <v>18</v>
      </c>
      <c r="I1841" s="7">
        <f t="shared" si="88"/>
        <v>60</v>
      </c>
      <c r="J1841" s="5">
        <v>750</v>
      </c>
      <c r="K1841" s="18">
        <f t="shared" si="87"/>
        <v>41.666666666666664</v>
      </c>
    </row>
    <row r="1842" spans="1:11" x14ac:dyDescent="0.3">
      <c r="A1842" s="14">
        <v>2024</v>
      </c>
      <c r="B1842" s="14">
        <f t="shared" si="86"/>
        <v>16</v>
      </c>
      <c r="C1842" s="9">
        <v>45397</v>
      </c>
      <c r="D1842" s="9">
        <v>45401</v>
      </c>
      <c r="E1842" s="14">
        <f>VLOOKUP(F1842,CarrierID!A:B,2,0)</f>
        <v>9</v>
      </c>
      <c r="F1842" s="15" t="s">
        <v>3</v>
      </c>
      <c r="G1842" t="str">
        <f>VLOOKUP(F1842,Carrier_Category!A:B,2,0)</f>
        <v>NJT</v>
      </c>
      <c r="H1842" s="5">
        <v>2426</v>
      </c>
      <c r="I1842" s="7">
        <f t="shared" si="88"/>
        <v>18</v>
      </c>
      <c r="J1842" s="5">
        <v>82045</v>
      </c>
      <c r="K1842" s="18">
        <f t="shared" si="87"/>
        <v>33.819043693322342</v>
      </c>
    </row>
    <row r="1843" spans="1:11" x14ac:dyDescent="0.3">
      <c r="A1843" s="14">
        <v>2024</v>
      </c>
      <c r="B1843" s="14">
        <f t="shared" si="86"/>
        <v>16</v>
      </c>
      <c r="C1843" s="9">
        <v>45397</v>
      </c>
      <c r="D1843" s="9">
        <v>45401</v>
      </c>
      <c r="E1843" s="14">
        <f>VLOOKUP(F1843,CarrierID!A:B,2,0)</f>
        <v>7</v>
      </c>
      <c r="F1843" s="15" t="s">
        <v>4</v>
      </c>
      <c r="G1843" t="str">
        <f>VLOOKUP(F1843,Carrier_Category!A:B,2,0)</f>
        <v>Commuter</v>
      </c>
      <c r="H1843" s="5">
        <v>42</v>
      </c>
      <c r="I1843" s="7">
        <f t="shared" si="88"/>
        <v>2412</v>
      </c>
      <c r="J1843" s="5">
        <v>1420</v>
      </c>
      <c r="K1843" s="18">
        <f t="shared" si="87"/>
        <v>33.80952380952381</v>
      </c>
    </row>
    <row r="1844" spans="1:11" x14ac:dyDescent="0.3">
      <c r="A1844" s="14">
        <v>2024</v>
      </c>
      <c r="B1844" s="14">
        <f t="shared" si="86"/>
        <v>16</v>
      </c>
      <c r="C1844" s="9">
        <v>45397</v>
      </c>
      <c r="D1844" s="9">
        <v>45401</v>
      </c>
      <c r="E1844" s="14">
        <f>VLOOKUP(F1844,CarrierID!A:B,2,0)</f>
        <v>11</v>
      </c>
      <c r="F1844" s="15" t="s">
        <v>5</v>
      </c>
      <c r="G1844" t="str">
        <f>VLOOKUP(F1844,Carrier_Category!A:B,2,0)</f>
        <v>Intercity</v>
      </c>
      <c r="H1844" s="5">
        <v>21</v>
      </c>
      <c r="I1844" s="7">
        <f t="shared" si="88"/>
        <v>42</v>
      </c>
      <c r="J1844" s="5">
        <v>510</v>
      </c>
      <c r="K1844" s="18">
        <f t="shared" si="87"/>
        <v>24.285714285714285</v>
      </c>
    </row>
    <row r="1845" spans="1:11" x14ac:dyDescent="0.3">
      <c r="A1845" s="14">
        <v>2024</v>
      </c>
      <c r="B1845" s="14">
        <f t="shared" si="86"/>
        <v>16</v>
      </c>
      <c r="C1845" s="9">
        <v>45397</v>
      </c>
      <c r="D1845" s="9">
        <v>45401</v>
      </c>
      <c r="E1845" s="14">
        <f>VLOOKUP(F1845,CarrierID!A:B,2,0)</f>
        <v>3</v>
      </c>
      <c r="F1845" s="15" t="s">
        <v>6</v>
      </c>
      <c r="G1845" t="str">
        <f>VLOOKUP(F1845,Carrier_Category!A:B,2,0)</f>
        <v>Commuter</v>
      </c>
      <c r="H1845" s="5">
        <v>187</v>
      </c>
      <c r="I1845" s="7">
        <f t="shared" si="88"/>
        <v>23</v>
      </c>
      <c r="J1845" s="5">
        <v>5470</v>
      </c>
      <c r="K1845" s="18">
        <f t="shared" si="87"/>
        <v>29.251336898395721</v>
      </c>
    </row>
    <row r="1846" spans="1:11" x14ac:dyDescent="0.3">
      <c r="A1846" s="14">
        <v>2024</v>
      </c>
      <c r="B1846" s="14">
        <f t="shared" si="86"/>
        <v>16</v>
      </c>
      <c r="C1846" s="9">
        <v>45397</v>
      </c>
      <c r="D1846" s="9">
        <v>45401</v>
      </c>
      <c r="E1846" s="14">
        <f>VLOOKUP(F1846,CarrierID!A:B,2,0)</f>
        <v>12</v>
      </c>
      <c r="F1846" s="15" t="s">
        <v>25</v>
      </c>
      <c r="G1846" t="str">
        <f>VLOOKUP(F1846,Carrier_Category!A:B,2,0)</f>
        <v>Commuter</v>
      </c>
      <c r="H1846" s="5">
        <v>24</v>
      </c>
      <c r="I1846" s="7">
        <f t="shared" si="88"/>
        <v>188</v>
      </c>
      <c r="J1846" s="5">
        <v>667</v>
      </c>
      <c r="K1846" s="18">
        <f t="shared" si="87"/>
        <v>27.791666666666668</v>
      </c>
    </row>
    <row r="1847" spans="1:11" x14ac:dyDescent="0.3">
      <c r="A1847" s="14">
        <v>2024</v>
      </c>
      <c r="B1847" s="14">
        <f t="shared" si="86"/>
        <v>16</v>
      </c>
      <c r="C1847" s="9">
        <v>45397</v>
      </c>
      <c r="D1847" s="9">
        <v>45401</v>
      </c>
      <c r="E1847" s="14">
        <f>VLOOKUP(F1847,CarrierID!A:B,2,0)</f>
        <v>10</v>
      </c>
      <c r="F1847" s="15" t="s">
        <v>8</v>
      </c>
      <c r="G1847" t="str">
        <f>VLOOKUP(F1847,Carrier_Category!A:B,2,0)</f>
        <v>Intercity</v>
      </c>
      <c r="H1847" s="5">
        <v>24</v>
      </c>
      <c r="I1847" s="7">
        <f t="shared" si="88"/>
        <v>24</v>
      </c>
      <c r="J1847" s="5">
        <v>712</v>
      </c>
      <c r="K1847" s="18">
        <f t="shared" si="87"/>
        <v>29.666666666666668</v>
      </c>
    </row>
    <row r="1848" spans="1:11" x14ac:dyDescent="0.3">
      <c r="A1848" s="14">
        <v>2024</v>
      </c>
      <c r="B1848" s="14">
        <f t="shared" si="86"/>
        <v>16</v>
      </c>
      <c r="C1848" s="9">
        <v>45397</v>
      </c>
      <c r="D1848" s="9">
        <v>45401</v>
      </c>
      <c r="E1848" s="14">
        <f>VLOOKUP(F1848,CarrierID!A:B,2,0)</f>
        <v>6</v>
      </c>
      <c r="F1848" s="15" t="s">
        <v>9</v>
      </c>
      <c r="G1848" t="str">
        <f>VLOOKUP(F1848,Carrier_Category!A:B,2,0)</f>
        <v>Commuter</v>
      </c>
      <c r="H1848" s="5">
        <v>85</v>
      </c>
      <c r="I1848" s="7">
        <f t="shared" si="88"/>
        <v>24</v>
      </c>
      <c r="J1848" s="5">
        <v>1612</v>
      </c>
      <c r="K1848" s="18">
        <f t="shared" si="87"/>
        <v>18.964705882352941</v>
      </c>
    </row>
    <row r="1849" spans="1:11" x14ac:dyDescent="0.3">
      <c r="A1849" s="14">
        <v>2024</v>
      </c>
      <c r="B1849" s="14">
        <f t="shared" si="86"/>
        <v>17</v>
      </c>
      <c r="C1849" s="9">
        <v>45404</v>
      </c>
      <c r="D1849" s="9">
        <v>45408</v>
      </c>
      <c r="E1849" s="14">
        <f>VLOOKUP(F1849,CarrierID!A:B,2,0)</f>
        <v>1</v>
      </c>
      <c r="F1849" s="15" t="s">
        <v>0</v>
      </c>
      <c r="G1849" t="str">
        <f>VLOOKUP(F1849,Carrier_Category!A:B,2,0)</f>
        <v>Commuter</v>
      </c>
      <c r="H1849" s="5">
        <v>44</v>
      </c>
      <c r="I1849" s="7">
        <f t="shared" si="88"/>
        <v>83</v>
      </c>
      <c r="J1849" s="5">
        <v>1243</v>
      </c>
      <c r="K1849" s="18">
        <f t="shared" si="87"/>
        <v>28.25</v>
      </c>
    </row>
    <row r="1850" spans="1:11" x14ac:dyDescent="0.3">
      <c r="A1850" s="14">
        <v>2024</v>
      </c>
      <c r="B1850" s="14">
        <f t="shared" si="86"/>
        <v>17</v>
      </c>
      <c r="C1850" s="9">
        <v>45404</v>
      </c>
      <c r="D1850" s="9">
        <v>45408</v>
      </c>
      <c r="E1850" s="14">
        <f>VLOOKUP(F1850,CarrierID!A:B,2,0)</f>
        <v>5</v>
      </c>
      <c r="F1850" s="15" t="s">
        <v>1</v>
      </c>
      <c r="G1850" t="str">
        <f>VLOOKUP(F1850,Carrier_Category!A:B,2,0)</f>
        <v>Intercity</v>
      </c>
      <c r="H1850" s="5">
        <v>61</v>
      </c>
      <c r="I1850" s="7">
        <f t="shared" si="88"/>
        <v>44</v>
      </c>
      <c r="J1850" s="5">
        <v>1806</v>
      </c>
      <c r="K1850" s="18">
        <f t="shared" si="87"/>
        <v>29.606557377049182</v>
      </c>
    </row>
    <row r="1851" spans="1:11" x14ac:dyDescent="0.3">
      <c r="A1851" s="14">
        <v>2024</v>
      </c>
      <c r="B1851" s="14">
        <f t="shared" si="86"/>
        <v>17</v>
      </c>
      <c r="C1851" s="9">
        <v>45404</v>
      </c>
      <c r="D1851" s="9">
        <v>45408</v>
      </c>
      <c r="E1851" s="14">
        <f>VLOOKUP(F1851,CarrierID!A:B,2,0)</f>
        <v>8</v>
      </c>
      <c r="F1851" s="15" t="s">
        <v>2</v>
      </c>
      <c r="G1851" t="str">
        <f>VLOOKUP(F1851,Carrier_Category!A:B,2,0)</f>
        <v>Commuter</v>
      </c>
      <c r="H1851" s="5">
        <v>18</v>
      </c>
      <c r="I1851" s="7">
        <f t="shared" si="88"/>
        <v>61</v>
      </c>
      <c r="J1851" s="5">
        <v>743</v>
      </c>
      <c r="K1851" s="18">
        <f t="shared" si="87"/>
        <v>41.277777777777779</v>
      </c>
    </row>
    <row r="1852" spans="1:11" x14ac:dyDescent="0.3">
      <c r="A1852" s="14">
        <v>2024</v>
      </c>
      <c r="B1852" s="14">
        <f t="shared" si="86"/>
        <v>17</v>
      </c>
      <c r="C1852" s="9">
        <v>45404</v>
      </c>
      <c r="D1852" s="9">
        <v>45408</v>
      </c>
      <c r="E1852" s="14">
        <f>VLOOKUP(F1852,CarrierID!A:B,2,0)</f>
        <v>9</v>
      </c>
      <c r="F1852" s="15" t="s">
        <v>3</v>
      </c>
      <c r="G1852" t="str">
        <f>VLOOKUP(F1852,Carrier_Category!A:B,2,0)</f>
        <v>NJT</v>
      </c>
      <c r="H1852" s="5">
        <v>2399</v>
      </c>
      <c r="I1852" s="7">
        <f t="shared" si="88"/>
        <v>18</v>
      </c>
      <c r="J1852" s="5">
        <v>78753</v>
      </c>
      <c r="K1852" s="18">
        <f t="shared" si="87"/>
        <v>32.8274280950396</v>
      </c>
    </row>
    <row r="1853" spans="1:11" x14ac:dyDescent="0.3">
      <c r="A1853" s="14">
        <v>2024</v>
      </c>
      <c r="B1853" s="14">
        <f t="shared" si="86"/>
        <v>17</v>
      </c>
      <c r="C1853" s="9">
        <v>45404</v>
      </c>
      <c r="D1853" s="9">
        <v>45408</v>
      </c>
      <c r="E1853" s="14">
        <f>VLOOKUP(F1853,CarrierID!A:B,2,0)</f>
        <v>7</v>
      </c>
      <c r="F1853" s="15" t="s">
        <v>4</v>
      </c>
      <c r="G1853" t="str">
        <f>VLOOKUP(F1853,Carrier_Category!A:B,2,0)</f>
        <v>Commuter</v>
      </c>
      <c r="H1853" s="5">
        <v>42</v>
      </c>
      <c r="I1853" s="7">
        <f t="shared" si="88"/>
        <v>2426</v>
      </c>
      <c r="J1853" s="5">
        <v>1425</v>
      </c>
      <c r="K1853" s="18">
        <f t="shared" si="87"/>
        <v>33.928571428571431</v>
      </c>
    </row>
    <row r="1854" spans="1:11" x14ac:dyDescent="0.3">
      <c r="A1854" s="14">
        <v>2024</v>
      </c>
      <c r="B1854" s="14">
        <f t="shared" si="86"/>
        <v>17</v>
      </c>
      <c r="C1854" s="9">
        <v>45404</v>
      </c>
      <c r="D1854" s="9">
        <v>45408</v>
      </c>
      <c r="E1854" s="14">
        <f>VLOOKUP(F1854,CarrierID!A:B,2,0)</f>
        <v>11</v>
      </c>
      <c r="F1854" s="15" t="s">
        <v>5</v>
      </c>
      <c r="G1854" t="str">
        <f>VLOOKUP(F1854,Carrier_Category!A:B,2,0)</f>
        <v>Intercity</v>
      </c>
      <c r="H1854" s="5">
        <v>22</v>
      </c>
      <c r="I1854" s="7">
        <f t="shared" si="88"/>
        <v>42</v>
      </c>
      <c r="J1854" s="5">
        <v>607</v>
      </c>
      <c r="K1854" s="18">
        <f t="shared" si="87"/>
        <v>27.59090909090909</v>
      </c>
    </row>
    <row r="1855" spans="1:11" x14ac:dyDescent="0.3">
      <c r="A1855" s="14">
        <v>2024</v>
      </c>
      <c r="B1855" s="14">
        <f t="shared" si="86"/>
        <v>17</v>
      </c>
      <c r="C1855" s="9">
        <v>45404</v>
      </c>
      <c r="D1855" s="9">
        <v>45408</v>
      </c>
      <c r="E1855" s="14">
        <f>VLOOKUP(F1855,CarrierID!A:B,2,0)</f>
        <v>3</v>
      </c>
      <c r="F1855" s="15" t="s">
        <v>6</v>
      </c>
      <c r="G1855" t="str">
        <f>VLOOKUP(F1855,Carrier_Category!A:B,2,0)</f>
        <v>Commuter</v>
      </c>
      <c r="H1855" s="5">
        <v>189</v>
      </c>
      <c r="I1855" s="7">
        <f t="shared" si="88"/>
        <v>21</v>
      </c>
      <c r="J1855" s="5">
        <v>5352</v>
      </c>
      <c r="K1855" s="18">
        <f t="shared" si="87"/>
        <v>28.317460317460316</v>
      </c>
    </row>
    <row r="1856" spans="1:11" x14ac:dyDescent="0.3">
      <c r="A1856" s="14">
        <v>2024</v>
      </c>
      <c r="B1856" s="14">
        <f t="shared" si="86"/>
        <v>17</v>
      </c>
      <c r="C1856" s="9">
        <v>45404</v>
      </c>
      <c r="D1856" s="9">
        <v>45408</v>
      </c>
      <c r="E1856" s="14">
        <f>VLOOKUP(F1856,CarrierID!A:B,2,0)</f>
        <v>12</v>
      </c>
      <c r="F1856" s="15" t="s">
        <v>25</v>
      </c>
      <c r="G1856" t="str">
        <f>VLOOKUP(F1856,Carrier_Category!A:B,2,0)</f>
        <v>Commuter</v>
      </c>
      <c r="H1856" s="5">
        <v>24</v>
      </c>
      <c r="I1856" s="7">
        <f t="shared" si="88"/>
        <v>187</v>
      </c>
      <c r="J1856" s="5">
        <v>667</v>
      </c>
      <c r="K1856" s="18">
        <f t="shared" si="87"/>
        <v>27.791666666666668</v>
      </c>
    </row>
    <row r="1857" spans="1:11" x14ac:dyDescent="0.3">
      <c r="A1857" s="14">
        <v>2024</v>
      </c>
      <c r="B1857" s="14">
        <f t="shared" si="86"/>
        <v>17</v>
      </c>
      <c r="C1857" s="9">
        <v>45404</v>
      </c>
      <c r="D1857" s="9">
        <v>45408</v>
      </c>
      <c r="E1857" s="14">
        <f>VLOOKUP(F1857,CarrierID!A:B,2,0)</f>
        <v>10</v>
      </c>
      <c r="F1857" s="15" t="s">
        <v>8</v>
      </c>
      <c r="G1857" t="str">
        <f>VLOOKUP(F1857,Carrier_Category!A:B,2,0)</f>
        <v>Intercity</v>
      </c>
      <c r="H1857" s="5">
        <v>24</v>
      </c>
      <c r="I1857" s="7">
        <f t="shared" si="88"/>
        <v>24</v>
      </c>
      <c r="J1857" s="5">
        <v>712</v>
      </c>
      <c r="K1857" s="18">
        <f t="shared" si="87"/>
        <v>29.666666666666668</v>
      </c>
    </row>
    <row r="1858" spans="1:11" x14ac:dyDescent="0.3">
      <c r="A1858" s="14">
        <v>2024</v>
      </c>
      <c r="B1858" s="14">
        <f t="shared" si="86"/>
        <v>17</v>
      </c>
      <c r="C1858" s="9">
        <v>45404</v>
      </c>
      <c r="D1858" s="9">
        <v>45408</v>
      </c>
      <c r="E1858" s="14">
        <f>VLOOKUP(F1858,CarrierID!A:B,2,0)</f>
        <v>6</v>
      </c>
      <c r="F1858" s="15" t="s">
        <v>9</v>
      </c>
      <c r="G1858" t="str">
        <f>VLOOKUP(F1858,Carrier_Category!A:B,2,0)</f>
        <v>Commuter</v>
      </c>
      <c r="H1858" s="5">
        <v>86</v>
      </c>
      <c r="I1858" s="7">
        <f t="shared" si="88"/>
        <v>24</v>
      </c>
      <c r="J1858" s="5">
        <v>1644</v>
      </c>
      <c r="K1858" s="18">
        <f t="shared" si="87"/>
        <v>19.11627906976744</v>
      </c>
    </row>
    <row r="1859" spans="1:11" x14ac:dyDescent="0.3">
      <c r="A1859" s="14">
        <v>2024</v>
      </c>
      <c r="B1859" s="14">
        <f t="shared" si="86"/>
        <v>18</v>
      </c>
      <c r="C1859" s="9">
        <v>45411</v>
      </c>
      <c r="D1859" s="9">
        <v>45415</v>
      </c>
      <c r="E1859" s="14">
        <f>VLOOKUP(F1859,CarrierID!A:B,2,0)</f>
        <v>1</v>
      </c>
      <c r="F1859" s="15" t="s">
        <v>0</v>
      </c>
      <c r="G1859" t="str">
        <f>VLOOKUP(F1859,Carrier_Category!A:B,2,0)</f>
        <v>Commuter</v>
      </c>
      <c r="H1859" s="5">
        <v>44</v>
      </c>
      <c r="I1859" s="7">
        <f t="shared" si="88"/>
        <v>85</v>
      </c>
      <c r="J1859" s="5">
        <v>1248</v>
      </c>
      <c r="K1859" s="18">
        <f t="shared" si="87"/>
        <v>28.363636363636363</v>
      </c>
    </row>
    <row r="1860" spans="1:11" x14ac:dyDescent="0.3">
      <c r="A1860" s="14">
        <v>2024</v>
      </c>
      <c r="B1860" s="14">
        <f t="shared" si="86"/>
        <v>18</v>
      </c>
      <c r="C1860" s="9">
        <v>45411</v>
      </c>
      <c r="D1860" s="9">
        <v>45415</v>
      </c>
      <c r="E1860" s="14">
        <f>VLOOKUP(F1860,CarrierID!A:B,2,0)</f>
        <v>5</v>
      </c>
      <c r="F1860" s="15" t="s">
        <v>1</v>
      </c>
      <c r="G1860" t="str">
        <f>VLOOKUP(F1860,Carrier_Category!A:B,2,0)</f>
        <v>Intercity</v>
      </c>
      <c r="H1860" s="5">
        <v>60</v>
      </c>
      <c r="I1860" s="7">
        <f t="shared" si="88"/>
        <v>44</v>
      </c>
      <c r="J1860" s="5">
        <v>1490</v>
      </c>
      <c r="K1860" s="18">
        <f t="shared" si="87"/>
        <v>24.833333333333332</v>
      </c>
    </row>
    <row r="1861" spans="1:11" x14ac:dyDescent="0.3">
      <c r="A1861" s="14">
        <v>2024</v>
      </c>
      <c r="B1861" s="14">
        <f t="shared" ref="B1861:B1924" si="89">_xlfn.ISOWEEKNUM(C1861)</f>
        <v>18</v>
      </c>
      <c r="C1861" s="9">
        <v>45411</v>
      </c>
      <c r="D1861" s="9">
        <v>45415</v>
      </c>
      <c r="E1861" s="14">
        <f>VLOOKUP(F1861,CarrierID!A:B,2,0)</f>
        <v>8</v>
      </c>
      <c r="F1861" s="15" t="s">
        <v>2</v>
      </c>
      <c r="G1861" t="str">
        <f>VLOOKUP(F1861,Carrier_Category!A:B,2,0)</f>
        <v>Commuter</v>
      </c>
      <c r="H1861" s="5">
        <v>18</v>
      </c>
      <c r="I1861" s="7">
        <f t="shared" si="88"/>
        <v>61</v>
      </c>
      <c r="J1861" s="5">
        <v>746</v>
      </c>
      <c r="K1861" s="18">
        <f t="shared" ref="K1861:K1924" si="90">J1861/H1861</f>
        <v>41.444444444444443</v>
      </c>
    </row>
    <row r="1862" spans="1:11" x14ac:dyDescent="0.3">
      <c r="A1862" s="14">
        <v>2024</v>
      </c>
      <c r="B1862" s="14">
        <f t="shared" si="89"/>
        <v>18</v>
      </c>
      <c r="C1862" s="9">
        <v>45411</v>
      </c>
      <c r="D1862" s="9">
        <v>45415</v>
      </c>
      <c r="E1862" s="14">
        <f>VLOOKUP(F1862,CarrierID!A:B,2,0)</f>
        <v>9</v>
      </c>
      <c r="F1862" s="15" t="s">
        <v>3</v>
      </c>
      <c r="G1862" t="str">
        <f>VLOOKUP(F1862,Carrier_Category!A:B,2,0)</f>
        <v>NJT</v>
      </c>
      <c r="H1862" s="5">
        <v>2364</v>
      </c>
      <c r="I1862" s="7">
        <f t="shared" si="88"/>
        <v>18</v>
      </c>
      <c r="J1862" s="5">
        <v>81958</v>
      </c>
      <c r="K1862" s="18">
        <f t="shared" si="90"/>
        <v>34.669204737732656</v>
      </c>
    </row>
    <row r="1863" spans="1:11" x14ac:dyDescent="0.3">
      <c r="A1863" s="14">
        <v>2024</v>
      </c>
      <c r="B1863" s="14">
        <f t="shared" si="89"/>
        <v>18</v>
      </c>
      <c r="C1863" s="9">
        <v>45411</v>
      </c>
      <c r="D1863" s="9">
        <v>45415</v>
      </c>
      <c r="E1863" s="14">
        <f>VLOOKUP(F1863,CarrierID!A:B,2,0)</f>
        <v>7</v>
      </c>
      <c r="F1863" s="15" t="s">
        <v>4</v>
      </c>
      <c r="G1863" t="str">
        <f>VLOOKUP(F1863,Carrier_Category!A:B,2,0)</f>
        <v>Commuter</v>
      </c>
      <c r="H1863" s="5">
        <v>42</v>
      </c>
      <c r="I1863" s="7">
        <f t="shared" si="88"/>
        <v>2399</v>
      </c>
      <c r="J1863" s="5">
        <v>1409</v>
      </c>
      <c r="K1863" s="18">
        <f t="shared" si="90"/>
        <v>33.547619047619051</v>
      </c>
    </row>
    <row r="1864" spans="1:11" x14ac:dyDescent="0.3">
      <c r="A1864" s="14">
        <v>2024</v>
      </c>
      <c r="B1864" s="14">
        <f t="shared" si="89"/>
        <v>18</v>
      </c>
      <c r="C1864" s="9">
        <v>45411</v>
      </c>
      <c r="D1864" s="9">
        <v>45415</v>
      </c>
      <c r="E1864" s="14">
        <f>VLOOKUP(F1864,CarrierID!A:B,2,0)</f>
        <v>11</v>
      </c>
      <c r="F1864" s="15" t="s">
        <v>5</v>
      </c>
      <c r="G1864" t="str">
        <f>VLOOKUP(F1864,Carrier_Category!A:B,2,0)</f>
        <v>Intercity</v>
      </c>
      <c r="H1864" s="5">
        <v>22</v>
      </c>
      <c r="I1864" s="7">
        <f t="shared" si="88"/>
        <v>42</v>
      </c>
      <c r="J1864" s="5">
        <v>607</v>
      </c>
      <c r="K1864" s="18">
        <f t="shared" si="90"/>
        <v>27.59090909090909</v>
      </c>
    </row>
    <row r="1865" spans="1:11" x14ac:dyDescent="0.3">
      <c r="A1865" s="14">
        <v>2024</v>
      </c>
      <c r="B1865" s="14">
        <f t="shared" si="89"/>
        <v>18</v>
      </c>
      <c r="C1865" s="9">
        <v>45411</v>
      </c>
      <c r="D1865" s="9">
        <v>45415</v>
      </c>
      <c r="E1865" s="14">
        <f>VLOOKUP(F1865,CarrierID!A:B,2,0)</f>
        <v>3</v>
      </c>
      <c r="F1865" s="15" t="s">
        <v>6</v>
      </c>
      <c r="G1865" t="str">
        <f>VLOOKUP(F1865,Carrier_Category!A:B,2,0)</f>
        <v>Commuter</v>
      </c>
      <c r="H1865" s="5">
        <v>186</v>
      </c>
      <c r="I1865" s="7">
        <f t="shared" si="88"/>
        <v>22</v>
      </c>
      <c r="J1865" s="5">
        <v>5420</v>
      </c>
      <c r="K1865" s="18">
        <f t="shared" si="90"/>
        <v>29.13978494623656</v>
      </c>
    </row>
    <row r="1866" spans="1:11" x14ac:dyDescent="0.3">
      <c r="A1866" s="14">
        <v>2024</v>
      </c>
      <c r="B1866" s="14">
        <f t="shared" si="89"/>
        <v>18</v>
      </c>
      <c r="C1866" s="9">
        <v>45411</v>
      </c>
      <c r="D1866" s="9">
        <v>45415</v>
      </c>
      <c r="E1866" s="14">
        <f>VLOOKUP(F1866,CarrierID!A:B,2,0)</f>
        <v>12</v>
      </c>
      <c r="F1866" s="15" t="s">
        <v>25</v>
      </c>
      <c r="G1866" t="str">
        <f>VLOOKUP(F1866,Carrier_Category!A:B,2,0)</f>
        <v>Commuter</v>
      </c>
      <c r="H1866" s="5">
        <v>24</v>
      </c>
      <c r="I1866" s="7">
        <f t="shared" si="88"/>
        <v>189</v>
      </c>
      <c r="J1866" s="5">
        <v>630</v>
      </c>
      <c r="K1866" s="18">
        <f t="shared" si="90"/>
        <v>26.25</v>
      </c>
    </row>
    <row r="1867" spans="1:11" x14ac:dyDescent="0.3">
      <c r="A1867" s="14">
        <v>2024</v>
      </c>
      <c r="B1867" s="14">
        <f t="shared" si="89"/>
        <v>18</v>
      </c>
      <c r="C1867" s="9">
        <v>45411</v>
      </c>
      <c r="D1867" s="9">
        <v>45415</v>
      </c>
      <c r="E1867" s="14">
        <f>VLOOKUP(F1867,CarrierID!A:B,2,0)</f>
        <v>10</v>
      </c>
      <c r="F1867" s="15" t="s">
        <v>8</v>
      </c>
      <c r="G1867" t="str">
        <f>VLOOKUP(F1867,Carrier_Category!A:B,2,0)</f>
        <v>Intercity</v>
      </c>
      <c r="H1867" s="5">
        <v>24</v>
      </c>
      <c r="I1867" s="7">
        <f t="shared" si="88"/>
        <v>24</v>
      </c>
      <c r="J1867" s="5">
        <v>712</v>
      </c>
      <c r="K1867" s="18">
        <f t="shared" si="90"/>
        <v>29.666666666666668</v>
      </c>
    </row>
    <row r="1868" spans="1:11" x14ac:dyDescent="0.3">
      <c r="A1868" s="14">
        <v>2024</v>
      </c>
      <c r="B1868" s="14">
        <f t="shared" si="89"/>
        <v>18</v>
      </c>
      <c r="C1868" s="9">
        <v>45411</v>
      </c>
      <c r="D1868" s="9">
        <v>45415</v>
      </c>
      <c r="E1868" s="14">
        <f>VLOOKUP(F1868,CarrierID!A:B,2,0)</f>
        <v>6</v>
      </c>
      <c r="F1868" s="15" t="s">
        <v>9</v>
      </c>
      <c r="G1868" t="str">
        <f>VLOOKUP(F1868,Carrier_Category!A:B,2,0)</f>
        <v>Commuter</v>
      </c>
      <c r="H1868" s="5">
        <v>80</v>
      </c>
      <c r="I1868" s="7">
        <f t="shared" si="88"/>
        <v>24</v>
      </c>
      <c r="J1868" s="5">
        <v>1439</v>
      </c>
      <c r="K1868" s="18">
        <f t="shared" si="90"/>
        <v>17.987500000000001</v>
      </c>
    </row>
    <row r="1869" spans="1:11" x14ac:dyDescent="0.3">
      <c r="A1869" s="14">
        <v>2024</v>
      </c>
      <c r="B1869" s="14">
        <f t="shared" si="89"/>
        <v>19</v>
      </c>
      <c r="C1869" s="9">
        <v>45418</v>
      </c>
      <c r="D1869" s="9">
        <v>45422</v>
      </c>
      <c r="E1869" s="14">
        <f>VLOOKUP(F1869,CarrierID!A:B,2,0)</f>
        <v>1</v>
      </c>
      <c r="F1869" s="15" t="s">
        <v>0</v>
      </c>
      <c r="G1869" t="str">
        <f>VLOOKUP(F1869,Carrier_Category!A:B,2,0)</f>
        <v>Commuter</v>
      </c>
      <c r="H1869" s="5">
        <v>44</v>
      </c>
      <c r="I1869" s="7">
        <f t="shared" ref="I1869:I1932" si="91">H1858</f>
        <v>86</v>
      </c>
      <c r="J1869" s="5">
        <v>1251</v>
      </c>
      <c r="K1869" s="18">
        <f t="shared" si="90"/>
        <v>28.431818181818183</v>
      </c>
    </row>
    <row r="1870" spans="1:11" x14ac:dyDescent="0.3">
      <c r="A1870" s="14">
        <v>2024</v>
      </c>
      <c r="B1870" s="14">
        <f t="shared" si="89"/>
        <v>19</v>
      </c>
      <c r="C1870" s="9">
        <v>45418</v>
      </c>
      <c r="D1870" s="9">
        <v>45422</v>
      </c>
      <c r="E1870" s="14">
        <f>VLOOKUP(F1870,CarrierID!A:B,2,0)</f>
        <v>5</v>
      </c>
      <c r="F1870" s="15" t="s">
        <v>1</v>
      </c>
      <c r="G1870" t="str">
        <f>VLOOKUP(F1870,Carrier_Category!A:B,2,0)</f>
        <v>Intercity</v>
      </c>
      <c r="H1870" s="5">
        <v>61</v>
      </c>
      <c r="I1870" s="7">
        <f t="shared" si="91"/>
        <v>44</v>
      </c>
      <c r="J1870" s="5">
        <v>1560</v>
      </c>
      <c r="K1870" s="18">
        <f t="shared" si="90"/>
        <v>25.57377049180328</v>
      </c>
    </row>
    <row r="1871" spans="1:11" x14ac:dyDescent="0.3">
      <c r="A1871" s="14">
        <v>2024</v>
      </c>
      <c r="B1871" s="14">
        <f t="shared" si="89"/>
        <v>19</v>
      </c>
      <c r="C1871" s="9">
        <v>45418</v>
      </c>
      <c r="D1871" s="9">
        <v>45422</v>
      </c>
      <c r="E1871" s="14">
        <f>VLOOKUP(F1871,CarrierID!A:B,2,0)</f>
        <v>8</v>
      </c>
      <c r="F1871" s="15" t="s">
        <v>2</v>
      </c>
      <c r="G1871" t="str">
        <f>VLOOKUP(F1871,Carrier_Category!A:B,2,0)</f>
        <v>Commuter</v>
      </c>
      <c r="H1871" s="5">
        <v>18</v>
      </c>
      <c r="I1871" s="7">
        <f t="shared" si="91"/>
        <v>60</v>
      </c>
      <c r="J1871" s="5">
        <v>758</v>
      </c>
      <c r="K1871" s="18">
        <f t="shared" si="90"/>
        <v>42.111111111111114</v>
      </c>
    </row>
    <row r="1872" spans="1:11" x14ac:dyDescent="0.3">
      <c r="A1872" s="14">
        <v>2024</v>
      </c>
      <c r="B1872" s="14">
        <f t="shared" si="89"/>
        <v>19</v>
      </c>
      <c r="C1872" s="9">
        <v>45418</v>
      </c>
      <c r="D1872" s="9">
        <v>45422</v>
      </c>
      <c r="E1872" s="14">
        <f>VLOOKUP(F1872,CarrierID!A:B,2,0)</f>
        <v>9</v>
      </c>
      <c r="F1872" s="15" t="s">
        <v>3</v>
      </c>
      <c r="G1872" t="str">
        <f>VLOOKUP(F1872,Carrier_Category!A:B,2,0)</f>
        <v>NJT</v>
      </c>
      <c r="H1872" s="5">
        <v>2389</v>
      </c>
      <c r="I1872" s="7">
        <f t="shared" si="91"/>
        <v>18</v>
      </c>
      <c r="J1872" s="5">
        <v>82850</v>
      </c>
      <c r="K1872" s="18">
        <f t="shared" si="90"/>
        <v>34.679782335705319</v>
      </c>
    </row>
    <row r="1873" spans="1:11" x14ac:dyDescent="0.3">
      <c r="A1873" s="14">
        <v>2024</v>
      </c>
      <c r="B1873" s="14">
        <f t="shared" si="89"/>
        <v>19</v>
      </c>
      <c r="C1873" s="9">
        <v>45418</v>
      </c>
      <c r="D1873" s="9">
        <v>45422</v>
      </c>
      <c r="E1873" s="14">
        <f>VLOOKUP(F1873,CarrierID!A:B,2,0)</f>
        <v>7</v>
      </c>
      <c r="F1873" s="15" t="s">
        <v>4</v>
      </c>
      <c r="G1873" t="str">
        <f>VLOOKUP(F1873,Carrier_Category!A:B,2,0)</f>
        <v>Commuter</v>
      </c>
      <c r="H1873" s="5">
        <v>42</v>
      </c>
      <c r="I1873" s="7">
        <f t="shared" si="91"/>
        <v>2364</v>
      </c>
      <c r="J1873" s="5">
        <v>1409</v>
      </c>
      <c r="K1873" s="18">
        <f t="shared" si="90"/>
        <v>33.547619047619051</v>
      </c>
    </row>
    <row r="1874" spans="1:11" x14ac:dyDescent="0.3">
      <c r="A1874" s="14">
        <v>2024</v>
      </c>
      <c r="B1874" s="14">
        <f t="shared" si="89"/>
        <v>19</v>
      </c>
      <c r="C1874" s="9">
        <v>45418</v>
      </c>
      <c r="D1874" s="9">
        <v>45422</v>
      </c>
      <c r="E1874" s="14">
        <f>VLOOKUP(F1874,CarrierID!A:B,2,0)</f>
        <v>11</v>
      </c>
      <c r="F1874" s="15" t="s">
        <v>5</v>
      </c>
      <c r="G1874" t="str">
        <f>VLOOKUP(F1874,Carrier_Category!A:B,2,0)</f>
        <v>Intercity</v>
      </c>
      <c r="H1874" s="5">
        <v>22</v>
      </c>
      <c r="I1874" s="7">
        <f t="shared" si="91"/>
        <v>42</v>
      </c>
      <c r="J1874" s="5">
        <v>551</v>
      </c>
      <c r="K1874" s="18">
        <f t="shared" si="90"/>
        <v>25.045454545454547</v>
      </c>
    </row>
    <row r="1875" spans="1:11" x14ac:dyDescent="0.3">
      <c r="A1875" s="14">
        <v>2024</v>
      </c>
      <c r="B1875" s="14">
        <f t="shared" si="89"/>
        <v>19</v>
      </c>
      <c r="C1875" s="9">
        <v>45418</v>
      </c>
      <c r="D1875" s="9">
        <v>45422</v>
      </c>
      <c r="E1875" s="14">
        <f>VLOOKUP(F1875,CarrierID!A:B,2,0)</f>
        <v>3</v>
      </c>
      <c r="F1875" s="15" t="s">
        <v>6</v>
      </c>
      <c r="G1875" t="str">
        <f>VLOOKUP(F1875,Carrier_Category!A:B,2,0)</f>
        <v>Commuter</v>
      </c>
      <c r="H1875" s="5">
        <v>187</v>
      </c>
      <c r="I1875" s="7">
        <f t="shared" si="91"/>
        <v>22</v>
      </c>
      <c r="J1875" s="5">
        <v>5475</v>
      </c>
      <c r="K1875" s="18">
        <f t="shared" si="90"/>
        <v>29.27807486631016</v>
      </c>
    </row>
    <row r="1876" spans="1:11" x14ac:dyDescent="0.3">
      <c r="A1876" s="14">
        <v>2024</v>
      </c>
      <c r="B1876" s="14">
        <f t="shared" si="89"/>
        <v>19</v>
      </c>
      <c r="C1876" s="9">
        <v>45418</v>
      </c>
      <c r="D1876" s="9">
        <v>45422</v>
      </c>
      <c r="E1876" s="14">
        <f>VLOOKUP(F1876,CarrierID!A:B,2,0)</f>
        <v>12</v>
      </c>
      <c r="F1876" s="15" t="s">
        <v>25</v>
      </c>
      <c r="G1876" t="str">
        <f>VLOOKUP(F1876,Carrier_Category!A:B,2,0)</f>
        <v>Commuter</v>
      </c>
      <c r="H1876" s="5">
        <v>24</v>
      </c>
      <c r="I1876" s="7">
        <f t="shared" si="91"/>
        <v>186</v>
      </c>
      <c r="J1876" s="5">
        <v>676</v>
      </c>
      <c r="K1876" s="18">
        <f t="shared" si="90"/>
        <v>28.166666666666668</v>
      </c>
    </row>
    <row r="1877" spans="1:11" x14ac:dyDescent="0.3">
      <c r="A1877" s="14">
        <v>2024</v>
      </c>
      <c r="B1877" s="14">
        <f t="shared" si="89"/>
        <v>19</v>
      </c>
      <c r="C1877" s="9">
        <v>45418</v>
      </c>
      <c r="D1877" s="9">
        <v>45422</v>
      </c>
      <c r="E1877" s="14">
        <f>VLOOKUP(F1877,CarrierID!A:B,2,0)</f>
        <v>10</v>
      </c>
      <c r="F1877" s="15" t="s">
        <v>8</v>
      </c>
      <c r="G1877" t="str">
        <f>VLOOKUP(F1877,Carrier_Category!A:B,2,0)</f>
        <v>Intercity</v>
      </c>
      <c r="H1877" s="5">
        <v>24</v>
      </c>
      <c r="I1877" s="7">
        <f t="shared" si="91"/>
        <v>24</v>
      </c>
      <c r="J1877" s="5">
        <v>712</v>
      </c>
      <c r="K1877" s="18">
        <f t="shared" si="90"/>
        <v>29.666666666666668</v>
      </c>
    </row>
    <row r="1878" spans="1:11" x14ac:dyDescent="0.3">
      <c r="A1878" s="14">
        <v>2024</v>
      </c>
      <c r="B1878" s="14">
        <f t="shared" si="89"/>
        <v>19</v>
      </c>
      <c r="C1878" s="9">
        <v>45418</v>
      </c>
      <c r="D1878" s="9">
        <v>45422</v>
      </c>
      <c r="E1878" s="14">
        <f>VLOOKUP(F1878,CarrierID!A:B,2,0)</f>
        <v>6</v>
      </c>
      <c r="F1878" s="15" t="s">
        <v>9</v>
      </c>
      <c r="G1878" t="str">
        <f>VLOOKUP(F1878,Carrier_Category!A:B,2,0)</f>
        <v>Commuter</v>
      </c>
      <c r="H1878" s="5">
        <v>86</v>
      </c>
      <c r="I1878" s="7">
        <f t="shared" si="91"/>
        <v>24</v>
      </c>
      <c r="J1878" s="5">
        <v>1644</v>
      </c>
      <c r="K1878" s="18">
        <f t="shared" si="90"/>
        <v>19.11627906976744</v>
      </c>
    </row>
    <row r="1879" spans="1:11" x14ac:dyDescent="0.3">
      <c r="A1879" s="14">
        <v>2024</v>
      </c>
      <c r="B1879" s="14">
        <f t="shared" si="89"/>
        <v>20</v>
      </c>
      <c r="C1879" s="9">
        <v>45425</v>
      </c>
      <c r="D1879" s="9">
        <v>45429</v>
      </c>
      <c r="E1879" s="14">
        <f>VLOOKUP(F1879,CarrierID!A:B,2,0)</f>
        <v>1</v>
      </c>
      <c r="F1879" s="15" t="s">
        <v>0</v>
      </c>
      <c r="G1879" t="str">
        <f>VLOOKUP(F1879,Carrier_Category!A:B,2,0)</f>
        <v>Commuter</v>
      </c>
      <c r="H1879" s="5">
        <v>44</v>
      </c>
      <c r="I1879" s="7">
        <f t="shared" si="91"/>
        <v>80</v>
      </c>
      <c r="J1879" s="5">
        <v>1249</v>
      </c>
      <c r="K1879" s="18">
        <f t="shared" si="90"/>
        <v>28.386363636363637</v>
      </c>
    </row>
    <row r="1880" spans="1:11" x14ac:dyDescent="0.3">
      <c r="A1880" s="14">
        <v>2024</v>
      </c>
      <c r="B1880" s="14">
        <f t="shared" si="89"/>
        <v>20</v>
      </c>
      <c r="C1880" s="9">
        <v>45425</v>
      </c>
      <c r="D1880" s="9">
        <v>45429</v>
      </c>
      <c r="E1880" s="14">
        <f>VLOOKUP(F1880,CarrierID!A:B,2,0)</f>
        <v>5</v>
      </c>
      <c r="F1880" s="15" t="s">
        <v>1</v>
      </c>
      <c r="G1880" t="str">
        <f>VLOOKUP(F1880,Carrier_Category!A:B,2,0)</f>
        <v>Intercity</v>
      </c>
      <c r="H1880" s="5">
        <v>61</v>
      </c>
      <c r="I1880" s="7">
        <f t="shared" si="91"/>
        <v>44</v>
      </c>
      <c r="J1880" s="5">
        <v>1635</v>
      </c>
      <c r="K1880" s="18">
        <f t="shared" si="90"/>
        <v>26.803278688524589</v>
      </c>
    </row>
    <row r="1881" spans="1:11" x14ac:dyDescent="0.3">
      <c r="A1881" s="14">
        <v>2024</v>
      </c>
      <c r="B1881" s="14">
        <f t="shared" si="89"/>
        <v>20</v>
      </c>
      <c r="C1881" s="9">
        <v>45425</v>
      </c>
      <c r="D1881" s="9">
        <v>45429</v>
      </c>
      <c r="E1881" s="14">
        <f>VLOOKUP(F1881,CarrierID!A:B,2,0)</f>
        <v>8</v>
      </c>
      <c r="F1881" s="15" t="s">
        <v>2</v>
      </c>
      <c r="G1881" t="str">
        <f>VLOOKUP(F1881,Carrier_Category!A:B,2,0)</f>
        <v>Commuter</v>
      </c>
      <c r="H1881" s="5">
        <v>18</v>
      </c>
      <c r="I1881" s="7">
        <f t="shared" si="91"/>
        <v>61</v>
      </c>
      <c r="J1881" s="5">
        <v>757</v>
      </c>
      <c r="K1881" s="18">
        <f t="shared" si="90"/>
        <v>42.055555555555557</v>
      </c>
    </row>
    <row r="1882" spans="1:11" x14ac:dyDescent="0.3">
      <c r="A1882" s="14">
        <v>2024</v>
      </c>
      <c r="B1882" s="14">
        <f t="shared" si="89"/>
        <v>20</v>
      </c>
      <c r="C1882" s="9">
        <v>45425</v>
      </c>
      <c r="D1882" s="9">
        <v>45429</v>
      </c>
      <c r="E1882" s="14">
        <f>VLOOKUP(F1882,CarrierID!A:B,2,0)</f>
        <v>9</v>
      </c>
      <c r="F1882" s="15" t="s">
        <v>3</v>
      </c>
      <c r="G1882" t="str">
        <f>VLOOKUP(F1882,Carrier_Category!A:B,2,0)</f>
        <v>NJT</v>
      </c>
      <c r="H1882" s="5">
        <v>2415</v>
      </c>
      <c r="I1882" s="7">
        <f t="shared" si="91"/>
        <v>18</v>
      </c>
      <c r="J1882" s="5">
        <v>82395</v>
      </c>
      <c r="K1882" s="18">
        <f t="shared" si="90"/>
        <v>34.118012422360252</v>
      </c>
    </row>
    <row r="1883" spans="1:11" x14ac:dyDescent="0.3">
      <c r="A1883" s="14">
        <v>2024</v>
      </c>
      <c r="B1883" s="14">
        <f t="shared" si="89"/>
        <v>20</v>
      </c>
      <c r="C1883" s="9">
        <v>45425</v>
      </c>
      <c r="D1883" s="9">
        <v>45429</v>
      </c>
      <c r="E1883" s="14">
        <f>VLOOKUP(F1883,CarrierID!A:B,2,0)</f>
        <v>7</v>
      </c>
      <c r="F1883" s="15" t="s">
        <v>4</v>
      </c>
      <c r="G1883" t="str">
        <f>VLOOKUP(F1883,Carrier_Category!A:B,2,0)</f>
        <v>Commuter</v>
      </c>
      <c r="H1883" s="5">
        <v>41</v>
      </c>
      <c r="I1883" s="7">
        <f t="shared" si="91"/>
        <v>2389</v>
      </c>
      <c r="J1883" s="5">
        <v>1438</v>
      </c>
      <c r="K1883" s="18">
        <f t="shared" si="90"/>
        <v>35.073170731707314</v>
      </c>
    </row>
    <row r="1884" spans="1:11" x14ac:dyDescent="0.3">
      <c r="A1884" s="14">
        <v>2024</v>
      </c>
      <c r="B1884" s="14">
        <f t="shared" si="89"/>
        <v>20</v>
      </c>
      <c r="C1884" s="9">
        <v>45425</v>
      </c>
      <c r="D1884" s="9">
        <v>45429</v>
      </c>
      <c r="E1884" s="14">
        <f>VLOOKUP(F1884,CarrierID!A:B,2,0)</f>
        <v>11</v>
      </c>
      <c r="F1884" s="15" t="s">
        <v>5</v>
      </c>
      <c r="G1884" t="str">
        <f>VLOOKUP(F1884,Carrier_Category!A:B,2,0)</f>
        <v>Intercity</v>
      </c>
      <c r="H1884" s="5">
        <v>22</v>
      </c>
      <c r="I1884" s="7">
        <f t="shared" si="91"/>
        <v>42</v>
      </c>
      <c r="J1884" s="5">
        <v>562</v>
      </c>
      <c r="K1884" s="18">
        <f t="shared" si="90"/>
        <v>25.545454545454547</v>
      </c>
    </row>
    <row r="1885" spans="1:11" x14ac:dyDescent="0.3">
      <c r="A1885" s="14">
        <v>2024</v>
      </c>
      <c r="B1885" s="14">
        <f t="shared" si="89"/>
        <v>20</v>
      </c>
      <c r="C1885" s="9">
        <v>45425</v>
      </c>
      <c r="D1885" s="9">
        <v>45429</v>
      </c>
      <c r="E1885" s="14">
        <f>VLOOKUP(F1885,CarrierID!A:B,2,0)</f>
        <v>3</v>
      </c>
      <c r="F1885" s="15" t="s">
        <v>6</v>
      </c>
      <c r="G1885" t="str">
        <f>VLOOKUP(F1885,Carrier_Category!A:B,2,0)</f>
        <v>Commuter</v>
      </c>
      <c r="H1885" s="5">
        <v>194</v>
      </c>
      <c r="I1885" s="7">
        <f t="shared" si="91"/>
        <v>22</v>
      </c>
      <c r="J1885" s="5">
        <v>5529</v>
      </c>
      <c r="K1885" s="18">
        <f t="shared" si="90"/>
        <v>28.5</v>
      </c>
    </row>
    <row r="1886" spans="1:11" x14ac:dyDescent="0.3">
      <c r="A1886" s="14">
        <v>2024</v>
      </c>
      <c r="B1886" s="14">
        <f t="shared" si="89"/>
        <v>20</v>
      </c>
      <c r="C1886" s="9">
        <v>45425</v>
      </c>
      <c r="D1886" s="9">
        <v>45429</v>
      </c>
      <c r="E1886" s="14">
        <f>VLOOKUP(F1886,CarrierID!A:B,2,0)</f>
        <v>12</v>
      </c>
      <c r="F1886" s="15" t="s">
        <v>25</v>
      </c>
      <c r="G1886" t="str">
        <f>VLOOKUP(F1886,Carrier_Category!A:B,2,0)</f>
        <v>Commuter</v>
      </c>
      <c r="H1886" s="5">
        <v>23</v>
      </c>
      <c r="I1886" s="7">
        <f t="shared" si="91"/>
        <v>187</v>
      </c>
      <c r="J1886" s="5">
        <v>702</v>
      </c>
      <c r="K1886" s="18">
        <f t="shared" si="90"/>
        <v>30.521739130434781</v>
      </c>
    </row>
    <row r="1887" spans="1:11" x14ac:dyDescent="0.3">
      <c r="A1887" s="14">
        <v>2024</v>
      </c>
      <c r="B1887" s="14">
        <f t="shared" si="89"/>
        <v>20</v>
      </c>
      <c r="C1887" s="9">
        <v>45425</v>
      </c>
      <c r="D1887" s="9">
        <v>45429</v>
      </c>
      <c r="E1887" s="14">
        <f>VLOOKUP(F1887,CarrierID!A:B,2,0)</f>
        <v>10</v>
      </c>
      <c r="F1887" s="15" t="s">
        <v>8</v>
      </c>
      <c r="G1887" t="str">
        <f>VLOOKUP(F1887,Carrier_Category!A:B,2,0)</f>
        <v>Intercity</v>
      </c>
      <c r="H1887" s="5">
        <v>33</v>
      </c>
      <c r="I1887" s="7">
        <f t="shared" si="91"/>
        <v>24</v>
      </c>
      <c r="J1887" s="5">
        <v>918</v>
      </c>
      <c r="K1887" s="18">
        <f t="shared" si="90"/>
        <v>27.818181818181817</v>
      </c>
    </row>
    <row r="1888" spans="1:11" x14ac:dyDescent="0.3">
      <c r="A1888" s="14">
        <v>2024</v>
      </c>
      <c r="B1888" s="14">
        <f t="shared" si="89"/>
        <v>20</v>
      </c>
      <c r="C1888" s="9">
        <v>45425</v>
      </c>
      <c r="D1888" s="9">
        <v>45429</v>
      </c>
      <c r="E1888" s="14">
        <f>VLOOKUP(F1888,CarrierID!A:B,2,0)</f>
        <v>6</v>
      </c>
      <c r="F1888" s="15" t="s">
        <v>9</v>
      </c>
      <c r="G1888" t="str">
        <f>VLOOKUP(F1888,Carrier_Category!A:B,2,0)</f>
        <v>Commuter</v>
      </c>
      <c r="H1888" s="5">
        <v>86</v>
      </c>
      <c r="I1888" s="7">
        <f t="shared" si="91"/>
        <v>24</v>
      </c>
      <c r="J1888" s="5">
        <v>1644</v>
      </c>
      <c r="K1888" s="18">
        <f t="shared" si="90"/>
        <v>19.11627906976744</v>
      </c>
    </row>
    <row r="1889" spans="1:11" x14ac:dyDescent="0.3">
      <c r="A1889" s="14">
        <v>2024</v>
      </c>
      <c r="B1889" s="14">
        <f t="shared" si="89"/>
        <v>21</v>
      </c>
      <c r="C1889" s="9">
        <v>45432</v>
      </c>
      <c r="D1889" s="9">
        <v>45436</v>
      </c>
      <c r="E1889" s="14">
        <f>VLOOKUP(F1889,CarrierID!A:B,2,0)</f>
        <v>1</v>
      </c>
      <c r="F1889" s="15" t="s">
        <v>0</v>
      </c>
      <c r="G1889" t="str">
        <f>VLOOKUP(F1889,Carrier_Category!A:B,2,0)</f>
        <v>Commuter</v>
      </c>
      <c r="H1889" s="5">
        <v>44</v>
      </c>
      <c r="I1889" s="7">
        <f t="shared" si="91"/>
        <v>86</v>
      </c>
      <c r="J1889" s="5">
        <v>1249</v>
      </c>
      <c r="K1889" s="18">
        <f t="shared" si="90"/>
        <v>28.386363636363637</v>
      </c>
    </row>
    <row r="1890" spans="1:11" x14ac:dyDescent="0.3">
      <c r="A1890" s="14">
        <v>2024</v>
      </c>
      <c r="B1890" s="14">
        <f t="shared" si="89"/>
        <v>21</v>
      </c>
      <c r="C1890" s="9">
        <v>45432</v>
      </c>
      <c r="D1890" s="9">
        <v>45436</v>
      </c>
      <c r="E1890" s="14">
        <f>VLOOKUP(F1890,CarrierID!A:B,2,0)</f>
        <v>5</v>
      </c>
      <c r="F1890" s="15" t="s">
        <v>1</v>
      </c>
      <c r="G1890" t="str">
        <f>VLOOKUP(F1890,Carrier_Category!A:B,2,0)</f>
        <v>Intercity</v>
      </c>
      <c r="H1890" s="5">
        <v>60</v>
      </c>
      <c r="I1890" s="7">
        <f t="shared" si="91"/>
        <v>44</v>
      </c>
      <c r="J1890" s="5">
        <v>1838</v>
      </c>
      <c r="K1890" s="18">
        <f t="shared" si="90"/>
        <v>30.633333333333333</v>
      </c>
    </row>
    <row r="1891" spans="1:11" x14ac:dyDescent="0.3">
      <c r="A1891" s="14">
        <v>2024</v>
      </c>
      <c r="B1891" s="14">
        <f t="shared" si="89"/>
        <v>21</v>
      </c>
      <c r="C1891" s="9">
        <v>45432</v>
      </c>
      <c r="D1891" s="9">
        <v>45436</v>
      </c>
      <c r="E1891" s="14">
        <f>VLOOKUP(F1891,CarrierID!A:B,2,0)</f>
        <v>8</v>
      </c>
      <c r="F1891" s="15" t="s">
        <v>2</v>
      </c>
      <c r="G1891" t="str">
        <f>VLOOKUP(F1891,Carrier_Category!A:B,2,0)</f>
        <v>Commuter</v>
      </c>
      <c r="H1891" s="5">
        <v>18</v>
      </c>
      <c r="I1891" s="7">
        <f t="shared" si="91"/>
        <v>61</v>
      </c>
      <c r="J1891" s="5">
        <v>775</v>
      </c>
      <c r="K1891" s="18">
        <f t="shared" si="90"/>
        <v>43.055555555555557</v>
      </c>
    </row>
    <row r="1892" spans="1:11" x14ac:dyDescent="0.3">
      <c r="A1892" s="14">
        <v>2024</v>
      </c>
      <c r="B1892" s="14">
        <f t="shared" si="89"/>
        <v>21</v>
      </c>
      <c r="C1892" s="9">
        <v>45432</v>
      </c>
      <c r="D1892" s="9">
        <v>45436</v>
      </c>
      <c r="E1892" s="14">
        <f>VLOOKUP(F1892,CarrierID!A:B,2,0)</f>
        <v>9</v>
      </c>
      <c r="F1892" s="15" t="s">
        <v>3</v>
      </c>
      <c r="G1892" t="str">
        <f>VLOOKUP(F1892,Carrier_Category!A:B,2,0)</f>
        <v>NJT</v>
      </c>
      <c r="H1892" s="5">
        <v>2372</v>
      </c>
      <c r="I1892" s="7">
        <f t="shared" si="91"/>
        <v>18</v>
      </c>
      <c r="J1892" s="5">
        <v>86933</v>
      </c>
      <c r="K1892" s="18">
        <f t="shared" si="90"/>
        <v>36.649662731871835</v>
      </c>
    </row>
    <row r="1893" spans="1:11" x14ac:dyDescent="0.3">
      <c r="A1893" s="14">
        <v>2024</v>
      </c>
      <c r="B1893" s="14">
        <f t="shared" si="89"/>
        <v>21</v>
      </c>
      <c r="C1893" s="9">
        <v>45432</v>
      </c>
      <c r="D1893" s="9">
        <v>45436</v>
      </c>
      <c r="E1893" s="14">
        <f>VLOOKUP(F1893,CarrierID!A:B,2,0)</f>
        <v>7</v>
      </c>
      <c r="F1893" s="15" t="s">
        <v>4</v>
      </c>
      <c r="G1893" t="str">
        <f>VLOOKUP(F1893,Carrier_Category!A:B,2,0)</f>
        <v>Commuter</v>
      </c>
      <c r="H1893" s="5">
        <v>41</v>
      </c>
      <c r="I1893" s="7">
        <f t="shared" si="91"/>
        <v>2415</v>
      </c>
      <c r="J1893" s="5">
        <v>1451</v>
      </c>
      <c r="K1893" s="18">
        <f t="shared" si="90"/>
        <v>35.390243902439025</v>
      </c>
    </row>
    <row r="1894" spans="1:11" x14ac:dyDescent="0.3">
      <c r="A1894" s="14">
        <v>2024</v>
      </c>
      <c r="B1894" s="14">
        <f t="shared" si="89"/>
        <v>21</v>
      </c>
      <c r="C1894" s="9">
        <v>45432</v>
      </c>
      <c r="D1894" s="9">
        <v>45436</v>
      </c>
      <c r="E1894" s="14">
        <f>VLOOKUP(F1894,CarrierID!A:B,2,0)</f>
        <v>11</v>
      </c>
      <c r="F1894" s="15" t="s">
        <v>5</v>
      </c>
      <c r="G1894" t="str">
        <f>VLOOKUP(F1894,Carrier_Category!A:B,2,0)</f>
        <v>Intercity</v>
      </c>
      <c r="H1894" s="5">
        <v>23</v>
      </c>
      <c r="I1894" s="7">
        <f t="shared" si="91"/>
        <v>41</v>
      </c>
      <c r="J1894" s="5">
        <v>614</v>
      </c>
      <c r="K1894" s="18">
        <f t="shared" si="90"/>
        <v>26.695652173913043</v>
      </c>
    </row>
    <row r="1895" spans="1:11" x14ac:dyDescent="0.3">
      <c r="A1895" s="14">
        <v>2024</v>
      </c>
      <c r="B1895" s="14">
        <f t="shared" si="89"/>
        <v>21</v>
      </c>
      <c r="C1895" s="9">
        <v>45432</v>
      </c>
      <c r="D1895" s="9">
        <v>45436</v>
      </c>
      <c r="E1895" s="14">
        <f>VLOOKUP(F1895,CarrierID!A:B,2,0)</f>
        <v>3</v>
      </c>
      <c r="F1895" s="15" t="s">
        <v>6</v>
      </c>
      <c r="G1895" t="str">
        <f>VLOOKUP(F1895,Carrier_Category!A:B,2,0)</f>
        <v>Commuter</v>
      </c>
      <c r="H1895" s="5">
        <v>184</v>
      </c>
      <c r="I1895" s="7">
        <f t="shared" si="91"/>
        <v>22</v>
      </c>
      <c r="J1895" s="5">
        <v>5625</v>
      </c>
      <c r="K1895" s="18">
        <f t="shared" si="90"/>
        <v>30.570652173913043</v>
      </c>
    </row>
    <row r="1896" spans="1:11" x14ac:dyDescent="0.3">
      <c r="A1896" s="14">
        <v>2024</v>
      </c>
      <c r="B1896" s="14">
        <f t="shared" si="89"/>
        <v>21</v>
      </c>
      <c r="C1896" s="9">
        <v>45432</v>
      </c>
      <c r="D1896" s="9">
        <v>45436</v>
      </c>
      <c r="E1896" s="14">
        <f>VLOOKUP(F1896,CarrierID!A:B,2,0)</f>
        <v>12</v>
      </c>
      <c r="F1896" s="15" t="s">
        <v>25</v>
      </c>
      <c r="G1896" t="str">
        <f>VLOOKUP(F1896,Carrier_Category!A:B,2,0)</f>
        <v>Commuter</v>
      </c>
      <c r="H1896" s="5">
        <v>24</v>
      </c>
      <c r="I1896" s="7">
        <f t="shared" si="91"/>
        <v>194</v>
      </c>
      <c r="J1896" s="5">
        <v>665</v>
      </c>
      <c r="K1896" s="18">
        <f t="shared" si="90"/>
        <v>27.708333333333332</v>
      </c>
    </row>
    <row r="1897" spans="1:11" x14ac:dyDescent="0.3">
      <c r="A1897" s="14">
        <v>2024</v>
      </c>
      <c r="B1897" s="14">
        <f t="shared" si="89"/>
        <v>21</v>
      </c>
      <c r="C1897" s="9">
        <v>45432</v>
      </c>
      <c r="D1897" s="9">
        <v>45436</v>
      </c>
      <c r="E1897" s="14">
        <f>VLOOKUP(F1897,CarrierID!A:B,2,0)</f>
        <v>10</v>
      </c>
      <c r="F1897" s="15" t="s">
        <v>8</v>
      </c>
      <c r="G1897" t="str">
        <f>VLOOKUP(F1897,Carrier_Category!A:B,2,0)</f>
        <v>Intercity</v>
      </c>
      <c r="H1897" s="5">
        <v>33</v>
      </c>
      <c r="I1897" s="7">
        <f t="shared" si="91"/>
        <v>23</v>
      </c>
      <c r="J1897" s="5">
        <v>918</v>
      </c>
      <c r="K1897" s="18">
        <f t="shared" si="90"/>
        <v>27.818181818181817</v>
      </c>
    </row>
    <row r="1898" spans="1:11" x14ac:dyDescent="0.3">
      <c r="A1898" s="14">
        <v>2024</v>
      </c>
      <c r="B1898" s="14">
        <f t="shared" si="89"/>
        <v>21</v>
      </c>
      <c r="C1898" s="9">
        <v>45432</v>
      </c>
      <c r="D1898" s="9">
        <v>45436</v>
      </c>
      <c r="E1898" s="14">
        <f>VLOOKUP(F1898,CarrierID!A:B,2,0)</f>
        <v>6</v>
      </c>
      <c r="F1898" s="15" t="s">
        <v>9</v>
      </c>
      <c r="G1898" t="str">
        <f>VLOOKUP(F1898,Carrier_Category!A:B,2,0)</f>
        <v>Commuter</v>
      </c>
      <c r="H1898" s="5">
        <v>86</v>
      </c>
      <c r="I1898" s="7">
        <f t="shared" si="91"/>
        <v>33</v>
      </c>
      <c r="J1898" s="5">
        <v>1644</v>
      </c>
      <c r="K1898" s="18">
        <f t="shared" si="90"/>
        <v>19.11627906976744</v>
      </c>
    </row>
    <row r="1899" spans="1:11" x14ac:dyDescent="0.3">
      <c r="A1899" s="14">
        <v>2024</v>
      </c>
      <c r="B1899" s="14">
        <f t="shared" si="89"/>
        <v>22</v>
      </c>
      <c r="C1899" s="9">
        <v>45439</v>
      </c>
      <c r="D1899" s="9">
        <v>45443</v>
      </c>
      <c r="E1899" s="14">
        <f>VLOOKUP(F1899,CarrierID!A:B,2,0)</f>
        <v>1</v>
      </c>
      <c r="F1899" s="15" t="s">
        <v>0</v>
      </c>
      <c r="G1899" t="str">
        <f>VLOOKUP(F1899,Carrier_Category!A:B,2,0)</f>
        <v>Commuter</v>
      </c>
      <c r="H1899" s="5">
        <v>43</v>
      </c>
      <c r="I1899" s="7">
        <f t="shared" si="91"/>
        <v>86</v>
      </c>
      <c r="J1899" s="5">
        <v>1238</v>
      </c>
      <c r="K1899" s="18">
        <f t="shared" si="90"/>
        <v>28.790697674418606</v>
      </c>
    </row>
    <row r="1900" spans="1:11" x14ac:dyDescent="0.3">
      <c r="A1900" s="14">
        <v>2024</v>
      </c>
      <c r="B1900" s="14">
        <f t="shared" si="89"/>
        <v>22</v>
      </c>
      <c r="C1900" s="9">
        <v>45439</v>
      </c>
      <c r="D1900" s="9">
        <v>45443</v>
      </c>
      <c r="E1900" s="14">
        <f>VLOOKUP(F1900,CarrierID!A:B,2,0)</f>
        <v>5</v>
      </c>
      <c r="F1900" s="15" t="s">
        <v>1</v>
      </c>
      <c r="G1900" t="str">
        <f>VLOOKUP(F1900,Carrier_Category!A:B,2,0)</f>
        <v>Intercity</v>
      </c>
      <c r="H1900" s="5">
        <v>60</v>
      </c>
      <c r="I1900" s="7">
        <f t="shared" si="91"/>
        <v>44</v>
      </c>
      <c r="J1900" s="5">
        <v>1816</v>
      </c>
      <c r="K1900" s="18">
        <f t="shared" si="90"/>
        <v>30.266666666666666</v>
      </c>
    </row>
    <row r="1901" spans="1:11" x14ac:dyDescent="0.3">
      <c r="A1901" s="14">
        <v>2024</v>
      </c>
      <c r="B1901" s="14">
        <f t="shared" si="89"/>
        <v>22</v>
      </c>
      <c r="C1901" s="9">
        <v>45439</v>
      </c>
      <c r="D1901" s="9">
        <v>45443</v>
      </c>
      <c r="E1901" s="14">
        <f>VLOOKUP(F1901,CarrierID!A:B,2,0)</f>
        <v>8</v>
      </c>
      <c r="F1901" s="15" t="s">
        <v>2</v>
      </c>
      <c r="G1901" t="str">
        <f>VLOOKUP(F1901,Carrier_Category!A:B,2,0)</f>
        <v>Commuter</v>
      </c>
      <c r="H1901" s="5">
        <v>16</v>
      </c>
      <c r="I1901" s="7">
        <f t="shared" si="91"/>
        <v>60</v>
      </c>
      <c r="J1901" s="5">
        <v>670</v>
      </c>
      <c r="K1901" s="18">
        <f t="shared" si="90"/>
        <v>41.875</v>
      </c>
    </row>
    <row r="1902" spans="1:11" x14ac:dyDescent="0.3">
      <c r="A1902" s="14">
        <v>2024</v>
      </c>
      <c r="B1902" s="14">
        <f t="shared" si="89"/>
        <v>22</v>
      </c>
      <c r="C1902" s="9">
        <v>45439</v>
      </c>
      <c r="D1902" s="9">
        <v>45443</v>
      </c>
      <c r="E1902" s="14">
        <f>VLOOKUP(F1902,CarrierID!A:B,2,0)</f>
        <v>9</v>
      </c>
      <c r="F1902" s="15" t="s">
        <v>3</v>
      </c>
      <c r="G1902" t="str">
        <f>VLOOKUP(F1902,Carrier_Category!A:B,2,0)</f>
        <v>NJT</v>
      </c>
      <c r="H1902" s="5">
        <v>2430</v>
      </c>
      <c r="I1902" s="7">
        <f t="shared" si="91"/>
        <v>18</v>
      </c>
      <c r="J1902" s="5">
        <v>82180</v>
      </c>
      <c r="K1902" s="18">
        <f t="shared" si="90"/>
        <v>33.818930041152264</v>
      </c>
    </row>
    <row r="1903" spans="1:11" x14ac:dyDescent="0.3">
      <c r="A1903" s="14">
        <v>2024</v>
      </c>
      <c r="B1903" s="14">
        <f t="shared" si="89"/>
        <v>22</v>
      </c>
      <c r="C1903" s="9">
        <v>45439</v>
      </c>
      <c r="D1903" s="9">
        <v>45443</v>
      </c>
      <c r="E1903" s="14">
        <f>VLOOKUP(F1903,CarrierID!A:B,2,0)</f>
        <v>7</v>
      </c>
      <c r="F1903" s="15" t="s">
        <v>4</v>
      </c>
      <c r="G1903" t="str">
        <f>VLOOKUP(F1903,Carrier_Category!A:B,2,0)</f>
        <v>Commuter</v>
      </c>
      <c r="H1903" s="5">
        <v>37</v>
      </c>
      <c r="I1903" s="7">
        <f t="shared" si="91"/>
        <v>2372</v>
      </c>
      <c r="J1903" s="5">
        <v>1197</v>
      </c>
      <c r="K1903" s="18">
        <f t="shared" si="90"/>
        <v>32.351351351351354</v>
      </c>
    </row>
    <row r="1904" spans="1:11" x14ac:dyDescent="0.3">
      <c r="A1904" s="14">
        <v>2024</v>
      </c>
      <c r="B1904" s="14">
        <f t="shared" si="89"/>
        <v>22</v>
      </c>
      <c r="C1904" s="9">
        <v>45439</v>
      </c>
      <c r="D1904" s="9">
        <v>45443</v>
      </c>
      <c r="E1904" s="14">
        <f>VLOOKUP(F1904,CarrierID!A:B,2,0)</f>
        <v>11</v>
      </c>
      <c r="F1904" s="15" t="s">
        <v>5</v>
      </c>
      <c r="G1904" t="str">
        <f>VLOOKUP(F1904,Carrier_Category!A:B,2,0)</f>
        <v>Intercity</v>
      </c>
      <c r="H1904" s="5">
        <v>23</v>
      </c>
      <c r="I1904" s="7">
        <f t="shared" si="91"/>
        <v>41</v>
      </c>
      <c r="J1904" s="5">
        <v>614</v>
      </c>
      <c r="K1904" s="18">
        <f t="shared" si="90"/>
        <v>26.695652173913043</v>
      </c>
    </row>
    <row r="1905" spans="1:11" x14ac:dyDescent="0.3">
      <c r="A1905" s="14">
        <v>2024</v>
      </c>
      <c r="B1905" s="14">
        <f t="shared" si="89"/>
        <v>22</v>
      </c>
      <c r="C1905" s="9">
        <v>45439</v>
      </c>
      <c r="D1905" s="9">
        <v>45443</v>
      </c>
      <c r="E1905" s="14">
        <f>VLOOKUP(F1905,CarrierID!A:B,2,0)</f>
        <v>3</v>
      </c>
      <c r="F1905" s="15" t="s">
        <v>6</v>
      </c>
      <c r="G1905" t="str">
        <f>VLOOKUP(F1905,Carrier_Category!A:B,2,0)</f>
        <v>Commuter</v>
      </c>
      <c r="H1905" s="5">
        <v>159</v>
      </c>
      <c r="I1905" s="7">
        <f t="shared" si="91"/>
        <v>23</v>
      </c>
      <c r="J1905" s="5">
        <v>4563</v>
      </c>
      <c r="K1905" s="18">
        <f t="shared" si="90"/>
        <v>28.69811320754717</v>
      </c>
    </row>
    <row r="1906" spans="1:11" x14ac:dyDescent="0.3">
      <c r="A1906" s="14">
        <v>2024</v>
      </c>
      <c r="B1906" s="14">
        <f t="shared" si="89"/>
        <v>22</v>
      </c>
      <c r="C1906" s="9">
        <v>45439</v>
      </c>
      <c r="D1906" s="9">
        <v>45443</v>
      </c>
      <c r="E1906" s="14">
        <f>VLOOKUP(F1906,CarrierID!A:B,2,0)</f>
        <v>12</v>
      </c>
      <c r="F1906" s="15" t="s">
        <v>25</v>
      </c>
      <c r="G1906" t="str">
        <f>VLOOKUP(F1906,Carrier_Category!A:B,2,0)</f>
        <v>Commuter</v>
      </c>
      <c r="H1906" s="5">
        <v>21</v>
      </c>
      <c r="I1906" s="7">
        <f t="shared" si="91"/>
        <v>184</v>
      </c>
      <c r="J1906" s="5">
        <v>550</v>
      </c>
      <c r="K1906" s="18">
        <f t="shared" si="90"/>
        <v>26.19047619047619</v>
      </c>
    </row>
    <row r="1907" spans="1:11" x14ac:dyDescent="0.3">
      <c r="A1907" s="14">
        <v>2024</v>
      </c>
      <c r="B1907" s="14">
        <f t="shared" si="89"/>
        <v>22</v>
      </c>
      <c r="C1907" s="9">
        <v>45439</v>
      </c>
      <c r="D1907" s="9">
        <v>45443</v>
      </c>
      <c r="E1907" s="14">
        <f>VLOOKUP(F1907,CarrierID!A:B,2,0)</f>
        <v>10</v>
      </c>
      <c r="F1907" s="15" t="s">
        <v>8</v>
      </c>
      <c r="G1907" t="str">
        <f>VLOOKUP(F1907,Carrier_Category!A:B,2,0)</f>
        <v>Intercity</v>
      </c>
      <c r="H1907" s="5">
        <v>33</v>
      </c>
      <c r="I1907" s="7">
        <f t="shared" si="91"/>
        <v>24</v>
      </c>
      <c r="J1907" s="5">
        <v>918</v>
      </c>
      <c r="K1907" s="18">
        <f t="shared" si="90"/>
        <v>27.818181818181817</v>
      </c>
    </row>
    <row r="1908" spans="1:11" x14ac:dyDescent="0.3">
      <c r="A1908" s="14">
        <v>2024</v>
      </c>
      <c r="B1908" s="14">
        <f t="shared" si="89"/>
        <v>22</v>
      </c>
      <c r="C1908" s="9">
        <v>45439</v>
      </c>
      <c r="D1908" s="9">
        <v>45443</v>
      </c>
      <c r="E1908" s="14">
        <f>VLOOKUP(F1908,CarrierID!A:B,2,0)</f>
        <v>6</v>
      </c>
      <c r="F1908" s="15" t="s">
        <v>9</v>
      </c>
      <c r="G1908" t="str">
        <f>VLOOKUP(F1908,Carrier_Category!A:B,2,0)</f>
        <v>Commuter</v>
      </c>
      <c r="H1908" s="5">
        <v>84</v>
      </c>
      <c r="I1908" s="7">
        <f t="shared" si="91"/>
        <v>33</v>
      </c>
      <c r="J1908" s="5">
        <v>1464</v>
      </c>
      <c r="K1908" s="18">
        <f t="shared" si="90"/>
        <v>17.428571428571427</v>
      </c>
    </row>
    <row r="1909" spans="1:11" x14ac:dyDescent="0.3">
      <c r="A1909" s="14">
        <v>2024</v>
      </c>
      <c r="B1909" s="14">
        <f t="shared" si="89"/>
        <v>23</v>
      </c>
      <c r="C1909" s="9">
        <v>45446</v>
      </c>
      <c r="D1909" s="9">
        <v>45450</v>
      </c>
      <c r="E1909" s="14">
        <f>VLOOKUP(F1909,CarrierID!A:B,2,0)</f>
        <v>1</v>
      </c>
      <c r="F1909" s="15" t="s">
        <v>0</v>
      </c>
      <c r="G1909" t="str">
        <f>VLOOKUP(F1909,Carrier_Category!A:B,2,0)</f>
        <v>Commuter</v>
      </c>
      <c r="H1909" s="5">
        <v>43</v>
      </c>
      <c r="I1909" s="7">
        <f t="shared" si="91"/>
        <v>86</v>
      </c>
      <c r="J1909" s="5">
        <v>1247</v>
      </c>
      <c r="K1909" s="18">
        <f t="shared" si="90"/>
        <v>29</v>
      </c>
    </row>
    <row r="1910" spans="1:11" x14ac:dyDescent="0.3">
      <c r="A1910" s="14">
        <v>2024</v>
      </c>
      <c r="B1910" s="14">
        <f t="shared" si="89"/>
        <v>23</v>
      </c>
      <c r="C1910" s="9">
        <v>45446</v>
      </c>
      <c r="D1910" s="9">
        <v>45450</v>
      </c>
      <c r="E1910" s="14">
        <f>VLOOKUP(F1910,CarrierID!A:B,2,0)</f>
        <v>5</v>
      </c>
      <c r="F1910" s="15" t="s">
        <v>1</v>
      </c>
      <c r="G1910" t="str">
        <f>VLOOKUP(F1910,Carrier_Category!A:B,2,0)</f>
        <v>Intercity</v>
      </c>
      <c r="H1910" s="5">
        <v>60</v>
      </c>
      <c r="I1910" s="7">
        <f t="shared" si="91"/>
        <v>43</v>
      </c>
      <c r="J1910" s="5">
        <v>1689</v>
      </c>
      <c r="K1910" s="18">
        <f t="shared" si="90"/>
        <v>28.15</v>
      </c>
    </row>
    <row r="1911" spans="1:11" x14ac:dyDescent="0.3">
      <c r="A1911" s="14">
        <v>2024</v>
      </c>
      <c r="B1911" s="14">
        <f t="shared" si="89"/>
        <v>23</v>
      </c>
      <c r="C1911" s="9">
        <v>45446</v>
      </c>
      <c r="D1911" s="9">
        <v>45450</v>
      </c>
      <c r="E1911" s="14">
        <f>VLOOKUP(F1911,CarrierID!A:B,2,0)</f>
        <v>8</v>
      </c>
      <c r="F1911" s="15" t="s">
        <v>2</v>
      </c>
      <c r="G1911" t="str">
        <f>VLOOKUP(F1911,Carrier_Category!A:B,2,0)</f>
        <v>Commuter</v>
      </c>
      <c r="H1911" s="5">
        <v>18</v>
      </c>
      <c r="I1911" s="7">
        <f t="shared" si="91"/>
        <v>60</v>
      </c>
      <c r="J1911" s="5">
        <v>753</v>
      </c>
      <c r="K1911" s="18">
        <f t="shared" si="90"/>
        <v>41.833333333333336</v>
      </c>
    </row>
    <row r="1912" spans="1:11" x14ac:dyDescent="0.3">
      <c r="A1912" s="14">
        <v>2024</v>
      </c>
      <c r="B1912" s="14">
        <f t="shared" si="89"/>
        <v>23</v>
      </c>
      <c r="C1912" s="9">
        <v>45446</v>
      </c>
      <c r="D1912" s="9">
        <v>45450</v>
      </c>
      <c r="E1912" s="14">
        <f>VLOOKUP(F1912,CarrierID!A:B,2,0)</f>
        <v>9</v>
      </c>
      <c r="F1912" s="15" t="s">
        <v>3</v>
      </c>
      <c r="G1912" t="str">
        <f>VLOOKUP(F1912,Carrier_Category!A:B,2,0)</f>
        <v>NJT</v>
      </c>
      <c r="H1912" s="5">
        <v>2405</v>
      </c>
      <c r="I1912" s="7">
        <f t="shared" si="91"/>
        <v>16</v>
      </c>
      <c r="J1912" s="5">
        <v>87094</v>
      </c>
      <c r="K1912" s="18">
        <f t="shared" si="90"/>
        <v>36.213721413721416</v>
      </c>
    </row>
    <row r="1913" spans="1:11" x14ac:dyDescent="0.3">
      <c r="A1913" s="14">
        <v>2024</v>
      </c>
      <c r="B1913" s="14">
        <f t="shared" si="89"/>
        <v>23</v>
      </c>
      <c r="C1913" s="9">
        <v>45446</v>
      </c>
      <c r="D1913" s="9">
        <v>45450</v>
      </c>
      <c r="E1913" s="14">
        <f>VLOOKUP(F1913,CarrierID!A:B,2,0)</f>
        <v>7</v>
      </c>
      <c r="F1913" s="15" t="s">
        <v>4</v>
      </c>
      <c r="G1913" t="str">
        <f>VLOOKUP(F1913,Carrier_Category!A:B,2,0)</f>
        <v>Commuter</v>
      </c>
      <c r="H1913" s="5">
        <v>42</v>
      </c>
      <c r="I1913" s="7">
        <f t="shared" si="91"/>
        <v>2430</v>
      </c>
      <c r="J1913" s="5">
        <v>1513</v>
      </c>
      <c r="K1913" s="18">
        <f t="shared" si="90"/>
        <v>36.023809523809526</v>
      </c>
    </row>
    <row r="1914" spans="1:11" x14ac:dyDescent="0.3">
      <c r="A1914" s="14">
        <v>2024</v>
      </c>
      <c r="B1914" s="14">
        <f t="shared" si="89"/>
        <v>23</v>
      </c>
      <c r="C1914" s="9">
        <v>45446</v>
      </c>
      <c r="D1914" s="9">
        <v>45450</v>
      </c>
      <c r="E1914" s="14">
        <f>VLOOKUP(F1914,CarrierID!A:B,2,0)</f>
        <v>11</v>
      </c>
      <c r="F1914" s="15" t="s">
        <v>5</v>
      </c>
      <c r="G1914" t="str">
        <f>VLOOKUP(F1914,Carrier_Category!A:B,2,0)</f>
        <v>Intercity</v>
      </c>
      <c r="H1914" s="5">
        <v>23</v>
      </c>
      <c r="I1914" s="7">
        <f t="shared" si="91"/>
        <v>37</v>
      </c>
      <c r="J1914" s="5">
        <v>614</v>
      </c>
      <c r="K1914" s="18">
        <f t="shared" si="90"/>
        <v>26.695652173913043</v>
      </c>
    </row>
    <row r="1915" spans="1:11" x14ac:dyDescent="0.3">
      <c r="A1915" s="14">
        <v>2024</v>
      </c>
      <c r="B1915" s="14">
        <f t="shared" si="89"/>
        <v>23</v>
      </c>
      <c r="C1915" s="9">
        <v>45446</v>
      </c>
      <c r="D1915" s="9">
        <v>45450</v>
      </c>
      <c r="E1915" s="14">
        <f>VLOOKUP(F1915,CarrierID!A:B,2,0)</f>
        <v>3</v>
      </c>
      <c r="F1915" s="15" t="s">
        <v>6</v>
      </c>
      <c r="G1915" t="str">
        <f>VLOOKUP(F1915,Carrier_Category!A:B,2,0)</f>
        <v>Commuter</v>
      </c>
      <c r="H1915" s="5">
        <v>159</v>
      </c>
      <c r="I1915" s="7">
        <f t="shared" si="91"/>
        <v>23</v>
      </c>
      <c r="J1915" s="5">
        <v>4563</v>
      </c>
      <c r="K1915" s="18">
        <f t="shared" si="90"/>
        <v>28.69811320754717</v>
      </c>
    </row>
    <row r="1916" spans="1:11" x14ac:dyDescent="0.3">
      <c r="A1916" s="14">
        <v>2024</v>
      </c>
      <c r="B1916" s="14">
        <f t="shared" si="89"/>
        <v>23</v>
      </c>
      <c r="C1916" s="9">
        <v>45446</v>
      </c>
      <c r="D1916" s="9">
        <v>45450</v>
      </c>
      <c r="E1916" s="14">
        <f>VLOOKUP(F1916,CarrierID!A:B,2,0)</f>
        <v>12</v>
      </c>
      <c r="F1916" s="15" t="s">
        <v>25</v>
      </c>
      <c r="G1916" t="str">
        <f>VLOOKUP(F1916,Carrier_Category!A:B,2,0)</f>
        <v>Commuter</v>
      </c>
      <c r="H1916" s="5">
        <v>24</v>
      </c>
      <c r="I1916" s="7">
        <f t="shared" si="91"/>
        <v>159</v>
      </c>
      <c r="J1916" s="5">
        <v>694</v>
      </c>
      <c r="K1916" s="18">
        <f t="shared" si="90"/>
        <v>28.916666666666668</v>
      </c>
    </row>
    <row r="1917" spans="1:11" x14ac:dyDescent="0.3">
      <c r="A1917" s="14">
        <v>2024</v>
      </c>
      <c r="B1917" s="14">
        <f t="shared" si="89"/>
        <v>23</v>
      </c>
      <c r="C1917" s="9">
        <v>45446</v>
      </c>
      <c r="D1917" s="9">
        <v>45450</v>
      </c>
      <c r="E1917" s="14">
        <f>VLOOKUP(F1917,CarrierID!A:B,2,0)</f>
        <v>10</v>
      </c>
      <c r="F1917" s="15" t="s">
        <v>8</v>
      </c>
      <c r="G1917" t="str">
        <f>VLOOKUP(F1917,Carrier_Category!A:B,2,0)</f>
        <v>Intercity</v>
      </c>
      <c r="H1917" s="5">
        <v>33</v>
      </c>
      <c r="I1917" s="7">
        <f t="shared" si="91"/>
        <v>21</v>
      </c>
      <c r="J1917" s="5">
        <v>918</v>
      </c>
      <c r="K1917" s="18">
        <f t="shared" si="90"/>
        <v>27.818181818181817</v>
      </c>
    </row>
    <row r="1918" spans="1:11" x14ac:dyDescent="0.3">
      <c r="A1918" s="14">
        <v>2024</v>
      </c>
      <c r="B1918" s="14">
        <f t="shared" si="89"/>
        <v>23</v>
      </c>
      <c r="C1918" s="9">
        <v>45446</v>
      </c>
      <c r="D1918" s="9">
        <v>45450</v>
      </c>
      <c r="E1918" s="14">
        <f>VLOOKUP(F1918,CarrierID!A:B,2,0)</f>
        <v>6</v>
      </c>
      <c r="F1918" s="15" t="s">
        <v>9</v>
      </c>
      <c r="G1918" t="str">
        <f>VLOOKUP(F1918,Carrier_Category!A:B,2,0)</f>
        <v>Commuter</v>
      </c>
      <c r="H1918" s="5">
        <v>86</v>
      </c>
      <c r="I1918" s="7">
        <f t="shared" si="91"/>
        <v>33</v>
      </c>
      <c r="J1918" s="5">
        <v>1685</v>
      </c>
      <c r="K1918" s="18">
        <f t="shared" si="90"/>
        <v>19.593023255813954</v>
      </c>
    </row>
    <row r="1919" spans="1:11" x14ac:dyDescent="0.3">
      <c r="A1919" s="14">
        <v>2024</v>
      </c>
      <c r="B1919" s="14">
        <f t="shared" si="89"/>
        <v>24</v>
      </c>
      <c r="C1919" s="9">
        <v>45453</v>
      </c>
      <c r="D1919" s="9">
        <v>45457</v>
      </c>
      <c r="E1919" s="14">
        <f>VLOOKUP(F1919,CarrierID!A:B,2,0)</f>
        <v>1</v>
      </c>
      <c r="F1919" s="15" t="s">
        <v>0</v>
      </c>
      <c r="G1919" t="str">
        <f>VLOOKUP(F1919,Carrier_Category!A:B,2,0)</f>
        <v>Commuter</v>
      </c>
      <c r="H1919" s="5">
        <v>44</v>
      </c>
      <c r="I1919" s="7">
        <f t="shared" si="91"/>
        <v>84</v>
      </c>
      <c r="J1919" s="5">
        <v>1250</v>
      </c>
      <c r="K1919" s="18">
        <f t="shared" si="90"/>
        <v>28.40909090909091</v>
      </c>
    </row>
    <row r="1920" spans="1:11" x14ac:dyDescent="0.3">
      <c r="A1920" s="14">
        <v>2024</v>
      </c>
      <c r="B1920" s="14">
        <f t="shared" si="89"/>
        <v>24</v>
      </c>
      <c r="C1920" s="9">
        <v>45453</v>
      </c>
      <c r="D1920" s="9">
        <v>45457</v>
      </c>
      <c r="E1920" s="14">
        <f>VLOOKUP(F1920,CarrierID!A:B,2,0)</f>
        <v>5</v>
      </c>
      <c r="F1920" s="15" t="s">
        <v>1</v>
      </c>
      <c r="G1920" t="str">
        <f>VLOOKUP(F1920,Carrier_Category!A:B,2,0)</f>
        <v>Intercity</v>
      </c>
      <c r="H1920" s="5">
        <v>60</v>
      </c>
      <c r="I1920" s="7">
        <f t="shared" si="91"/>
        <v>43</v>
      </c>
      <c r="J1920" s="5">
        <v>1768</v>
      </c>
      <c r="K1920" s="18">
        <f t="shared" si="90"/>
        <v>29.466666666666665</v>
      </c>
    </row>
    <row r="1921" spans="1:11" x14ac:dyDescent="0.3">
      <c r="A1921" s="14">
        <v>2024</v>
      </c>
      <c r="B1921" s="14">
        <f t="shared" si="89"/>
        <v>24</v>
      </c>
      <c r="C1921" s="9">
        <v>45453</v>
      </c>
      <c r="D1921" s="9">
        <v>45457</v>
      </c>
      <c r="E1921" s="14">
        <f>VLOOKUP(F1921,CarrierID!A:B,2,0)</f>
        <v>8</v>
      </c>
      <c r="F1921" s="15" t="s">
        <v>2</v>
      </c>
      <c r="G1921" t="str">
        <f>VLOOKUP(F1921,Carrier_Category!A:B,2,0)</f>
        <v>Commuter</v>
      </c>
      <c r="H1921" s="5">
        <v>18</v>
      </c>
      <c r="I1921" s="7">
        <f t="shared" si="91"/>
        <v>60</v>
      </c>
      <c r="J1921" s="5">
        <v>749</v>
      </c>
      <c r="K1921" s="18">
        <f t="shared" si="90"/>
        <v>41.611111111111114</v>
      </c>
    </row>
    <row r="1922" spans="1:11" x14ac:dyDescent="0.3">
      <c r="A1922" s="14">
        <v>2024</v>
      </c>
      <c r="B1922" s="14">
        <f t="shared" si="89"/>
        <v>24</v>
      </c>
      <c r="C1922" s="9">
        <v>45453</v>
      </c>
      <c r="D1922" s="9">
        <v>45457</v>
      </c>
      <c r="E1922" s="14">
        <f>VLOOKUP(F1922,CarrierID!A:B,2,0)</f>
        <v>9</v>
      </c>
      <c r="F1922" s="15" t="s">
        <v>3</v>
      </c>
      <c r="G1922" t="str">
        <f>VLOOKUP(F1922,Carrier_Category!A:B,2,0)</f>
        <v>NJT</v>
      </c>
      <c r="H1922" s="5">
        <v>2412</v>
      </c>
      <c r="I1922" s="7">
        <f t="shared" si="91"/>
        <v>18</v>
      </c>
      <c r="J1922" s="5">
        <v>82382</v>
      </c>
      <c r="K1922" s="18">
        <f t="shared" si="90"/>
        <v>34.155058043117748</v>
      </c>
    </row>
    <row r="1923" spans="1:11" x14ac:dyDescent="0.3">
      <c r="A1923" s="14">
        <v>2024</v>
      </c>
      <c r="B1923" s="14">
        <f t="shared" si="89"/>
        <v>24</v>
      </c>
      <c r="C1923" s="9">
        <v>45453</v>
      </c>
      <c r="D1923" s="9">
        <v>45457</v>
      </c>
      <c r="E1923" s="14">
        <f>VLOOKUP(F1923,CarrierID!A:B,2,0)</f>
        <v>7</v>
      </c>
      <c r="F1923" s="15" t="s">
        <v>4</v>
      </c>
      <c r="G1923" t="str">
        <f>VLOOKUP(F1923,Carrier_Category!A:B,2,0)</f>
        <v>Commuter</v>
      </c>
      <c r="H1923" s="5">
        <v>42</v>
      </c>
      <c r="I1923" s="7">
        <f t="shared" si="91"/>
        <v>2405</v>
      </c>
      <c r="J1923" s="5">
        <v>1497</v>
      </c>
      <c r="K1923" s="18">
        <f t="shared" si="90"/>
        <v>35.642857142857146</v>
      </c>
    </row>
    <row r="1924" spans="1:11" x14ac:dyDescent="0.3">
      <c r="A1924" s="14">
        <v>2024</v>
      </c>
      <c r="B1924" s="14">
        <f t="shared" si="89"/>
        <v>24</v>
      </c>
      <c r="C1924" s="9">
        <v>45453</v>
      </c>
      <c r="D1924" s="9">
        <v>45457</v>
      </c>
      <c r="E1924" s="14">
        <f>VLOOKUP(F1924,CarrierID!A:B,2,0)</f>
        <v>11</v>
      </c>
      <c r="F1924" s="15" t="s">
        <v>5</v>
      </c>
      <c r="G1924" t="str">
        <f>VLOOKUP(F1924,Carrier_Category!A:B,2,0)</f>
        <v>Intercity</v>
      </c>
      <c r="H1924" s="5">
        <v>22</v>
      </c>
      <c r="I1924" s="7">
        <f t="shared" si="91"/>
        <v>42</v>
      </c>
      <c r="J1924" s="5">
        <v>576</v>
      </c>
      <c r="K1924" s="18">
        <f t="shared" si="90"/>
        <v>26.181818181818183</v>
      </c>
    </row>
    <row r="1925" spans="1:11" x14ac:dyDescent="0.3">
      <c r="A1925" s="14">
        <v>2024</v>
      </c>
      <c r="B1925" s="14">
        <f t="shared" ref="B1925:B1988" si="92">_xlfn.ISOWEEKNUM(C1925)</f>
        <v>24</v>
      </c>
      <c r="C1925" s="9">
        <v>45453</v>
      </c>
      <c r="D1925" s="9">
        <v>45457</v>
      </c>
      <c r="E1925" s="14">
        <f>VLOOKUP(F1925,CarrierID!A:B,2,0)</f>
        <v>3</v>
      </c>
      <c r="F1925" s="15" t="s">
        <v>6</v>
      </c>
      <c r="G1925" t="str">
        <f>VLOOKUP(F1925,Carrier_Category!A:B,2,0)</f>
        <v>Commuter</v>
      </c>
      <c r="H1925" s="5">
        <v>185</v>
      </c>
      <c r="I1925" s="7">
        <f t="shared" si="91"/>
        <v>23</v>
      </c>
      <c r="J1925" s="5">
        <v>5659</v>
      </c>
      <c r="K1925" s="18">
        <f t="shared" ref="K1925:K1988" si="93">J1925/H1925</f>
        <v>30.589189189189188</v>
      </c>
    </row>
    <row r="1926" spans="1:11" x14ac:dyDescent="0.3">
      <c r="A1926" s="14">
        <v>2024</v>
      </c>
      <c r="B1926" s="14">
        <f t="shared" si="92"/>
        <v>24</v>
      </c>
      <c r="C1926" s="9">
        <v>45453</v>
      </c>
      <c r="D1926" s="9">
        <v>45457</v>
      </c>
      <c r="E1926" s="14">
        <f>VLOOKUP(F1926,CarrierID!A:B,2,0)</f>
        <v>12</v>
      </c>
      <c r="F1926" s="15" t="s">
        <v>25</v>
      </c>
      <c r="G1926" t="str">
        <f>VLOOKUP(F1926,Carrier_Category!A:B,2,0)</f>
        <v>Commuter</v>
      </c>
      <c r="H1926" s="5">
        <v>23</v>
      </c>
      <c r="I1926" s="7">
        <f t="shared" si="91"/>
        <v>159</v>
      </c>
      <c r="J1926" s="5">
        <v>647</v>
      </c>
      <c r="K1926" s="18">
        <f t="shared" si="93"/>
        <v>28.130434782608695</v>
      </c>
    </row>
    <row r="1927" spans="1:11" x14ac:dyDescent="0.3">
      <c r="A1927" s="14">
        <v>2024</v>
      </c>
      <c r="B1927" s="14">
        <f t="shared" si="92"/>
        <v>24</v>
      </c>
      <c r="C1927" s="9">
        <v>45453</v>
      </c>
      <c r="D1927" s="9">
        <v>45457</v>
      </c>
      <c r="E1927" s="14">
        <f>VLOOKUP(F1927,CarrierID!A:B,2,0)</f>
        <v>10</v>
      </c>
      <c r="F1927" s="15" t="s">
        <v>8</v>
      </c>
      <c r="G1927" t="str">
        <f>VLOOKUP(F1927,Carrier_Category!A:B,2,0)</f>
        <v>Intercity</v>
      </c>
      <c r="H1927" s="5">
        <v>33</v>
      </c>
      <c r="I1927" s="7">
        <f t="shared" si="91"/>
        <v>24</v>
      </c>
      <c r="J1927" s="5">
        <v>918</v>
      </c>
      <c r="K1927" s="18">
        <f t="shared" si="93"/>
        <v>27.818181818181817</v>
      </c>
    </row>
    <row r="1928" spans="1:11" x14ac:dyDescent="0.3">
      <c r="A1928" s="14">
        <v>2024</v>
      </c>
      <c r="B1928" s="14">
        <f t="shared" si="92"/>
        <v>24</v>
      </c>
      <c r="C1928" s="9">
        <v>45453</v>
      </c>
      <c r="D1928" s="9">
        <v>45457</v>
      </c>
      <c r="E1928" s="14">
        <f>VLOOKUP(F1928,CarrierID!A:B,2,0)</f>
        <v>6</v>
      </c>
      <c r="F1928" s="15" t="s">
        <v>9</v>
      </c>
      <c r="G1928" t="str">
        <f>VLOOKUP(F1928,Carrier_Category!A:B,2,0)</f>
        <v>Commuter</v>
      </c>
      <c r="H1928" s="5">
        <v>88</v>
      </c>
      <c r="I1928" s="7">
        <f t="shared" si="91"/>
        <v>33</v>
      </c>
      <c r="J1928" s="5">
        <v>1712</v>
      </c>
      <c r="K1928" s="18">
        <f t="shared" si="93"/>
        <v>19.454545454545453</v>
      </c>
    </row>
    <row r="1929" spans="1:11" x14ac:dyDescent="0.3">
      <c r="A1929" s="14">
        <v>2024</v>
      </c>
      <c r="B1929" s="14">
        <f t="shared" si="92"/>
        <v>26</v>
      </c>
      <c r="C1929" s="9">
        <v>45467</v>
      </c>
      <c r="D1929" s="9">
        <v>45471</v>
      </c>
      <c r="E1929" s="14">
        <f>VLOOKUP(F1929,CarrierID!A:B,2,0)</f>
        <v>1</v>
      </c>
      <c r="F1929" s="15" t="s">
        <v>0</v>
      </c>
      <c r="G1929" t="str">
        <f>VLOOKUP(F1929,Carrier_Category!A:B,2,0)</f>
        <v>Commuter</v>
      </c>
      <c r="H1929" s="5">
        <v>44</v>
      </c>
      <c r="I1929" s="7">
        <f t="shared" si="91"/>
        <v>86</v>
      </c>
      <c r="J1929" s="5">
        <v>1250</v>
      </c>
      <c r="K1929" s="18">
        <f t="shared" si="93"/>
        <v>28.40909090909091</v>
      </c>
    </row>
    <row r="1930" spans="1:11" x14ac:dyDescent="0.3">
      <c r="A1930" s="14">
        <v>2024</v>
      </c>
      <c r="B1930" s="14">
        <f t="shared" si="92"/>
        <v>26</v>
      </c>
      <c r="C1930" s="9">
        <v>45467</v>
      </c>
      <c r="D1930" s="9">
        <v>45471</v>
      </c>
      <c r="E1930" s="14">
        <f>VLOOKUP(F1930,CarrierID!A:B,2,0)</f>
        <v>5</v>
      </c>
      <c r="F1930" s="15" t="s">
        <v>1</v>
      </c>
      <c r="G1930" t="str">
        <f>VLOOKUP(F1930,Carrier_Category!A:B,2,0)</f>
        <v>Intercity</v>
      </c>
      <c r="H1930" s="5">
        <v>57</v>
      </c>
      <c r="I1930" s="7">
        <f t="shared" si="91"/>
        <v>44</v>
      </c>
      <c r="J1930" s="5">
        <v>1888</v>
      </c>
      <c r="K1930" s="18">
        <f t="shared" si="93"/>
        <v>33.122807017543863</v>
      </c>
    </row>
    <row r="1931" spans="1:11" x14ac:dyDescent="0.3">
      <c r="A1931" s="14">
        <v>2024</v>
      </c>
      <c r="B1931" s="14">
        <f t="shared" si="92"/>
        <v>26</v>
      </c>
      <c r="C1931" s="9">
        <v>45467</v>
      </c>
      <c r="D1931" s="9">
        <v>45471</v>
      </c>
      <c r="E1931" s="14">
        <f>VLOOKUP(F1931,CarrierID!A:B,2,0)</f>
        <v>8</v>
      </c>
      <c r="F1931" s="15" t="s">
        <v>2</v>
      </c>
      <c r="G1931" t="str">
        <f>VLOOKUP(F1931,Carrier_Category!A:B,2,0)</f>
        <v>Commuter</v>
      </c>
      <c r="H1931" s="5">
        <v>18</v>
      </c>
      <c r="I1931" s="7">
        <f t="shared" si="91"/>
        <v>60</v>
      </c>
      <c r="J1931" s="5">
        <v>773</v>
      </c>
      <c r="K1931" s="18">
        <f t="shared" si="93"/>
        <v>42.944444444444443</v>
      </c>
    </row>
    <row r="1932" spans="1:11" x14ac:dyDescent="0.3">
      <c r="A1932" s="14">
        <v>2024</v>
      </c>
      <c r="B1932" s="14">
        <f t="shared" si="92"/>
        <v>26</v>
      </c>
      <c r="C1932" s="9">
        <v>45467</v>
      </c>
      <c r="D1932" s="9">
        <v>45471</v>
      </c>
      <c r="E1932" s="14">
        <f>VLOOKUP(F1932,CarrierID!A:B,2,0)</f>
        <v>9</v>
      </c>
      <c r="F1932" s="15" t="s">
        <v>3</v>
      </c>
      <c r="G1932" t="str">
        <f>VLOOKUP(F1932,Carrier_Category!A:B,2,0)</f>
        <v>NJT</v>
      </c>
      <c r="H1932" s="5">
        <v>2399</v>
      </c>
      <c r="I1932" s="7">
        <f t="shared" si="91"/>
        <v>18</v>
      </c>
      <c r="J1932" s="5">
        <v>85367</v>
      </c>
      <c r="K1932" s="18">
        <f t="shared" si="93"/>
        <v>35.58441017090454</v>
      </c>
    </row>
    <row r="1933" spans="1:11" x14ac:dyDescent="0.3">
      <c r="A1933" s="14">
        <v>2024</v>
      </c>
      <c r="B1933" s="14">
        <f t="shared" si="92"/>
        <v>26</v>
      </c>
      <c r="C1933" s="9">
        <v>45467</v>
      </c>
      <c r="D1933" s="9">
        <v>45471</v>
      </c>
      <c r="E1933" s="14">
        <f>VLOOKUP(F1933,CarrierID!A:B,2,0)</f>
        <v>7</v>
      </c>
      <c r="F1933" s="15" t="s">
        <v>4</v>
      </c>
      <c r="G1933" t="str">
        <f>VLOOKUP(F1933,Carrier_Category!A:B,2,0)</f>
        <v>Commuter</v>
      </c>
      <c r="H1933" s="5">
        <v>44</v>
      </c>
      <c r="I1933" s="7">
        <f t="shared" ref="I1933:I1996" si="94">H1922</f>
        <v>2412</v>
      </c>
      <c r="J1933" s="5">
        <v>1487</v>
      </c>
      <c r="K1933" s="18">
        <f t="shared" si="93"/>
        <v>33.795454545454547</v>
      </c>
    </row>
    <row r="1934" spans="1:11" x14ac:dyDescent="0.3">
      <c r="A1934" s="14">
        <v>2024</v>
      </c>
      <c r="B1934" s="14">
        <f t="shared" si="92"/>
        <v>26</v>
      </c>
      <c r="C1934" s="9">
        <v>45467</v>
      </c>
      <c r="D1934" s="9">
        <v>45471</v>
      </c>
      <c r="E1934" s="14">
        <f>VLOOKUP(F1934,CarrierID!A:B,2,0)</f>
        <v>11</v>
      </c>
      <c r="F1934" s="15" t="s">
        <v>5</v>
      </c>
      <c r="G1934" t="str">
        <f>VLOOKUP(F1934,Carrier_Category!A:B,2,0)</f>
        <v>Intercity</v>
      </c>
      <c r="H1934" s="5">
        <v>27</v>
      </c>
      <c r="I1934" s="7">
        <f t="shared" si="94"/>
        <v>42</v>
      </c>
      <c r="J1934" s="5">
        <v>772</v>
      </c>
      <c r="K1934" s="18">
        <f t="shared" si="93"/>
        <v>28.592592592592592</v>
      </c>
    </row>
    <row r="1935" spans="1:11" x14ac:dyDescent="0.3">
      <c r="A1935" s="14">
        <v>2024</v>
      </c>
      <c r="B1935" s="14">
        <f t="shared" si="92"/>
        <v>26</v>
      </c>
      <c r="C1935" s="9">
        <v>45467</v>
      </c>
      <c r="D1935" s="9">
        <v>45471</v>
      </c>
      <c r="E1935" s="14">
        <f>VLOOKUP(F1935,CarrierID!A:B,2,0)</f>
        <v>3</v>
      </c>
      <c r="F1935" s="15" t="s">
        <v>6</v>
      </c>
      <c r="G1935" t="str">
        <f>VLOOKUP(F1935,Carrier_Category!A:B,2,0)</f>
        <v>Commuter</v>
      </c>
      <c r="H1935" s="5">
        <v>185</v>
      </c>
      <c r="I1935" s="7">
        <f t="shared" si="94"/>
        <v>22</v>
      </c>
      <c r="J1935" s="5">
        <v>5659</v>
      </c>
      <c r="K1935" s="18">
        <f t="shared" si="93"/>
        <v>30.589189189189188</v>
      </c>
    </row>
    <row r="1936" spans="1:11" x14ac:dyDescent="0.3">
      <c r="A1936" s="14">
        <v>2024</v>
      </c>
      <c r="B1936" s="14">
        <f t="shared" si="92"/>
        <v>26</v>
      </c>
      <c r="C1936" s="9">
        <v>45467</v>
      </c>
      <c r="D1936" s="9">
        <v>45471</v>
      </c>
      <c r="E1936" s="14">
        <f>VLOOKUP(F1936,CarrierID!A:B,2,0)</f>
        <v>12</v>
      </c>
      <c r="F1936" s="15" t="s">
        <v>25</v>
      </c>
      <c r="G1936" t="str">
        <f>VLOOKUP(F1936,Carrier_Category!A:B,2,0)</f>
        <v>Commuter</v>
      </c>
      <c r="H1936" s="5">
        <v>24</v>
      </c>
      <c r="I1936" s="7">
        <f t="shared" si="94"/>
        <v>185</v>
      </c>
      <c r="J1936" s="5">
        <v>671</v>
      </c>
      <c r="K1936" s="18">
        <f t="shared" si="93"/>
        <v>27.958333333333332</v>
      </c>
    </row>
    <row r="1937" spans="1:11" x14ac:dyDescent="0.3">
      <c r="A1937" s="14">
        <v>2024</v>
      </c>
      <c r="B1937" s="14">
        <f t="shared" si="92"/>
        <v>26</v>
      </c>
      <c r="C1937" s="9">
        <v>45467</v>
      </c>
      <c r="D1937" s="9">
        <v>45471</v>
      </c>
      <c r="E1937" s="14">
        <f>VLOOKUP(F1937,CarrierID!A:B,2,0)</f>
        <v>10</v>
      </c>
      <c r="F1937" s="15" t="s">
        <v>8</v>
      </c>
      <c r="G1937" t="str">
        <f>VLOOKUP(F1937,Carrier_Category!A:B,2,0)</f>
        <v>Intercity</v>
      </c>
      <c r="H1937" s="5">
        <v>33</v>
      </c>
      <c r="I1937" s="7">
        <f t="shared" si="94"/>
        <v>23</v>
      </c>
      <c r="J1937" s="5">
        <v>918</v>
      </c>
      <c r="K1937" s="18">
        <f t="shared" si="93"/>
        <v>27.818181818181817</v>
      </c>
    </row>
    <row r="1938" spans="1:11" x14ac:dyDescent="0.3">
      <c r="A1938" s="14">
        <v>2024</v>
      </c>
      <c r="B1938" s="14">
        <f t="shared" si="92"/>
        <v>26</v>
      </c>
      <c r="C1938" s="9">
        <v>45467</v>
      </c>
      <c r="D1938" s="9">
        <v>45471</v>
      </c>
      <c r="E1938" s="14">
        <f>VLOOKUP(F1938,CarrierID!A:B,2,0)</f>
        <v>6</v>
      </c>
      <c r="F1938" s="15" t="s">
        <v>9</v>
      </c>
      <c r="G1938" t="str">
        <f>VLOOKUP(F1938,Carrier_Category!A:B,2,0)</f>
        <v>Commuter</v>
      </c>
      <c r="H1938" s="5">
        <v>87</v>
      </c>
      <c r="I1938" s="7">
        <f t="shared" si="94"/>
        <v>33</v>
      </c>
      <c r="J1938" s="5">
        <v>1708</v>
      </c>
      <c r="K1938" s="18">
        <f t="shared" si="93"/>
        <v>19.632183908045977</v>
      </c>
    </row>
    <row r="1939" spans="1:11" x14ac:dyDescent="0.3">
      <c r="A1939" s="14">
        <v>2024</v>
      </c>
      <c r="B1939" s="14">
        <f t="shared" si="92"/>
        <v>27</v>
      </c>
      <c r="C1939" s="9">
        <v>45474</v>
      </c>
      <c r="D1939" s="9">
        <v>45478</v>
      </c>
      <c r="E1939" s="14">
        <f>VLOOKUP(F1939,CarrierID!A:B,2,0)</f>
        <v>1</v>
      </c>
      <c r="F1939" s="15" t="s">
        <v>0</v>
      </c>
      <c r="G1939" t="str">
        <f>VLOOKUP(F1939,Carrier_Category!A:B,2,0)</f>
        <v>Commuter</v>
      </c>
      <c r="H1939" s="5">
        <v>44</v>
      </c>
      <c r="I1939" s="7">
        <f t="shared" si="94"/>
        <v>88</v>
      </c>
      <c r="J1939" s="5">
        <v>1250</v>
      </c>
      <c r="K1939" s="18">
        <f t="shared" si="93"/>
        <v>28.40909090909091</v>
      </c>
    </row>
    <row r="1940" spans="1:11" x14ac:dyDescent="0.3">
      <c r="A1940" s="14">
        <v>2024</v>
      </c>
      <c r="B1940" s="14">
        <f t="shared" si="92"/>
        <v>27</v>
      </c>
      <c r="C1940" s="9">
        <v>45474</v>
      </c>
      <c r="D1940" s="9">
        <v>45478</v>
      </c>
      <c r="E1940" s="14">
        <f>VLOOKUP(F1940,CarrierID!A:B,2,0)</f>
        <v>5</v>
      </c>
      <c r="F1940" s="15" t="s">
        <v>1</v>
      </c>
      <c r="G1940" t="str">
        <f>VLOOKUP(F1940,Carrier_Category!A:B,2,0)</f>
        <v>Intercity</v>
      </c>
      <c r="H1940" s="5">
        <v>58</v>
      </c>
      <c r="I1940" s="7">
        <f t="shared" si="94"/>
        <v>44</v>
      </c>
      <c r="J1940" s="5">
        <v>2135</v>
      </c>
      <c r="K1940" s="18">
        <f t="shared" si="93"/>
        <v>36.810344827586206</v>
      </c>
    </row>
    <row r="1941" spans="1:11" x14ac:dyDescent="0.3">
      <c r="A1941" s="14">
        <v>2024</v>
      </c>
      <c r="B1941" s="14">
        <f t="shared" si="92"/>
        <v>27</v>
      </c>
      <c r="C1941" s="9">
        <v>45474</v>
      </c>
      <c r="D1941" s="9">
        <v>45478</v>
      </c>
      <c r="E1941" s="14">
        <f>VLOOKUP(F1941,CarrierID!A:B,2,0)</f>
        <v>8</v>
      </c>
      <c r="F1941" s="15" t="s">
        <v>2</v>
      </c>
      <c r="G1941" t="str">
        <f>VLOOKUP(F1941,Carrier_Category!A:B,2,0)</f>
        <v>Commuter</v>
      </c>
      <c r="H1941" s="5">
        <v>16</v>
      </c>
      <c r="I1941" s="7">
        <f t="shared" si="94"/>
        <v>57</v>
      </c>
      <c r="J1941" s="5">
        <v>702</v>
      </c>
      <c r="K1941" s="18">
        <f t="shared" si="93"/>
        <v>43.875</v>
      </c>
    </row>
    <row r="1942" spans="1:11" x14ac:dyDescent="0.3">
      <c r="A1942" s="14">
        <v>2024</v>
      </c>
      <c r="B1942" s="14">
        <f t="shared" si="92"/>
        <v>27</v>
      </c>
      <c r="C1942" s="9">
        <v>45474</v>
      </c>
      <c r="D1942" s="9">
        <v>45478</v>
      </c>
      <c r="E1942" s="14">
        <f>VLOOKUP(F1942,CarrierID!A:B,2,0)</f>
        <v>9</v>
      </c>
      <c r="F1942" s="15" t="s">
        <v>3</v>
      </c>
      <c r="G1942" t="str">
        <f>VLOOKUP(F1942,Carrier_Category!A:B,2,0)</f>
        <v>NJT</v>
      </c>
      <c r="H1942" s="5">
        <v>2435</v>
      </c>
      <c r="I1942" s="7">
        <f t="shared" si="94"/>
        <v>18</v>
      </c>
      <c r="J1942" s="5">
        <v>74260</v>
      </c>
      <c r="K1942" s="18">
        <f t="shared" si="93"/>
        <v>30.496919917864478</v>
      </c>
    </row>
    <row r="1943" spans="1:11" x14ac:dyDescent="0.3">
      <c r="A1943" s="14">
        <v>2024</v>
      </c>
      <c r="B1943" s="14">
        <f t="shared" si="92"/>
        <v>27</v>
      </c>
      <c r="C1943" s="9">
        <v>45474</v>
      </c>
      <c r="D1943" s="9">
        <v>45478</v>
      </c>
      <c r="E1943" s="14">
        <f>VLOOKUP(F1943,CarrierID!A:B,2,0)</f>
        <v>7</v>
      </c>
      <c r="F1943" s="15" t="s">
        <v>4</v>
      </c>
      <c r="G1943" t="str">
        <f>VLOOKUP(F1943,Carrier_Category!A:B,2,0)</f>
        <v>Commuter</v>
      </c>
      <c r="H1943" s="5">
        <v>35</v>
      </c>
      <c r="I1943" s="7">
        <f t="shared" si="94"/>
        <v>2399</v>
      </c>
      <c r="J1943" s="5">
        <v>1005</v>
      </c>
      <c r="K1943" s="18">
        <f t="shared" si="93"/>
        <v>28.714285714285715</v>
      </c>
    </row>
    <row r="1944" spans="1:11" x14ac:dyDescent="0.3">
      <c r="A1944" s="14">
        <v>2024</v>
      </c>
      <c r="B1944" s="14">
        <f t="shared" si="92"/>
        <v>27</v>
      </c>
      <c r="C1944" s="9">
        <v>45474</v>
      </c>
      <c r="D1944" s="9">
        <v>45478</v>
      </c>
      <c r="E1944" s="14">
        <f>VLOOKUP(F1944,CarrierID!A:B,2,0)</f>
        <v>11</v>
      </c>
      <c r="F1944" s="15" t="s">
        <v>5</v>
      </c>
      <c r="G1944" t="str">
        <f>VLOOKUP(F1944,Carrier_Category!A:B,2,0)</f>
        <v>Intercity</v>
      </c>
      <c r="H1944" s="5">
        <v>28</v>
      </c>
      <c r="I1944" s="7">
        <f t="shared" si="94"/>
        <v>44</v>
      </c>
      <c r="J1944" s="5">
        <v>876</v>
      </c>
      <c r="K1944" s="18">
        <f t="shared" si="93"/>
        <v>31.285714285714285</v>
      </c>
    </row>
    <row r="1945" spans="1:11" x14ac:dyDescent="0.3">
      <c r="A1945" s="14">
        <v>2024</v>
      </c>
      <c r="B1945" s="14">
        <f t="shared" si="92"/>
        <v>27</v>
      </c>
      <c r="C1945" s="9">
        <v>45474</v>
      </c>
      <c r="D1945" s="9">
        <v>45478</v>
      </c>
      <c r="E1945" s="14">
        <f>VLOOKUP(F1945,CarrierID!A:B,2,0)</f>
        <v>3</v>
      </c>
      <c r="F1945" s="15" t="s">
        <v>6</v>
      </c>
      <c r="G1945" t="str">
        <f>VLOOKUP(F1945,Carrier_Category!A:B,2,0)</f>
        <v>Commuter</v>
      </c>
      <c r="H1945" s="5">
        <v>162</v>
      </c>
      <c r="I1945" s="7">
        <f t="shared" si="94"/>
        <v>27</v>
      </c>
      <c r="J1945" s="5">
        <v>4006</v>
      </c>
      <c r="K1945" s="18">
        <f t="shared" si="93"/>
        <v>24.728395061728396</v>
      </c>
    </row>
    <row r="1946" spans="1:11" x14ac:dyDescent="0.3">
      <c r="A1946" s="14">
        <v>2024</v>
      </c>
      <c r="B1946" s="14">
        <f t="shared" si="92"/>
        <v>27</v>
      </c>
      <c r="C1946" s="9">
        <v>45474</v>
      </c>
      <c r="D1946" s="9">
        <v>45478</v>
      </c>
      <c r="E1946" s="14">
        <f>VLOOKUP(F1946,CarrierID!A:B,2,0)</f>
        <v>12</v>
      </c>
      <c r="F1946" s="15" t="s">
        <v>25</v>
      </c>
      <c r="G1946" t="str">
        <f>VLOOKUP(F1946,Carrier_Category!A:B,2,0)</f>
        <v>Commuter</v>
      </c>
      <c r="H1946" s="5">
        <v>21</v>
      </c>
      <c r="I1946" s="7">
        <f t="shared" si="94"/>
        <v>185</v>
      </c>
      <c r="J1946" s="5">
        <v>569</v>
      </c>
      <c r="K1946" s="18">
        <f t="shared" si="93"/>
        <v>27.095238095238095</v>
      </c>
    </row>
    <row r="1947" spans="1:11" x14ac:dyDescent="0.3">
      <c r="A1947" s="14">
        <v>2024</v>
      </c>
      <c r="B1947" s="14">
        <f t="shared" si="92"/>
        <v>27</v>
      </c>
      <c r="C1947" s="9">
        <v>45474</v>
      </c>
      <c r="D1947" s="9">
        <v>45478</v>
      </c>
      <c r="E1947" s="14">
        <f>VLOOKUP(F1947,CarrierID!A:B,2,0)</f>
        <v>10</v>
      </c>
      <c r="F1947" s="15" t="s">
        <v>8</v>
      </c>
      <c r="G1947" t="str">
        <f>VLOOKUP(F1947,Carrier_Category!A:B,2,0)</f>
        <v>Intercity</v>
      </c>
      <c r="H1947" s="5">
        <v>33</v>
      </c>
      <c r="I1947" s="7">
        <f t="shared" si="94"/>
        <v>24</v>
      </c>
      <c r="J1947" s="5">
        <v>918</v>
      </c>
      <c r="K1947" s="18">
        <f t="shared" si="93"/>
        <v>27.818181818181817</v>
      </c>
    </row>
    <row r="1948" spans="1:11" x14ac:dyDescent="0.3">
      <c r="A1948" s="14">
        <v>2024</v>
      </c>
      <c r="B1948" s="14">
        <f t="shared" si="92"/>
        <v>27</v>
      </c>
      <c r="C1948" s="9">
        <v>45474</v>
      </c>
      <c r="D1948" s="9">
        <v>45478</v>
      </c>
      <c r="E1948" s="14">
        <f>VLOOKUP(F1948,CarrierID!A:B,2,0)</f>
        <v>6</v>
      </c>
      <c r="F1948" s="15" t="s">
        <v>9</v>
      </c>
      <c r="G1948" t="str">
        <f>VLOOKUP(F1948,Carrier_Category!A:B,2,0)</f>
        <v>Commuter</v>
      </c>
      <c r="H1948" s="5">
        <v>73</v>
      </c>
      <c r="I1948" s="7">
        <f t="shared" si="94"/>
        <v>33</v>
      </c>
      <c r="J1948" s="5">
        <v>1346</v>
      </c>
      <c r="K1948" s="18">
        <f t="shared" si="93"/>
        <v>18.438356164383563</v>
      </c>
    </row>
    <row r="1949" spans="1:11" x14ac:dyDescent="0.3">
      <c r="A1949" s="14">
        <v>2024</v>
      </c>
      <c r="B1949" s="14">
        <f t="shared" si="92"/>
        <v>28</v>
      </c>
      <c r="C1949" s="9">
        <v>45481</v>
      </c>
      <c r="D1949" s="9">
        <v>45485</v>
      </c>
      <c r="E1949" s="14">
        <f>VLOOKUP(F1949,CarrierID!A:B,2,0)</f>
        <v>1</v>
      </c>
      <c r="F1949" s="15" t="s">
        <v>0</v>
      </c>
      <c r="G1949" t="str">
        <f>VLOOKUP(F1949,Carrier_Category!A:B,2,0)</f>
        <v>Commuter</v>
      </c>
      <c r="H1949" s="5">
        <v>44</v>
      </c>
      <c r="I1949" s="7">
        <f t="shared" si="94"/>
        <v>87</v>
      </c>
      <c r="J1949" s="5">
        <v>1250</v>
      </c>
      <c r="K1949" s="18">
        <f t="shared" si="93"/>
        <v>28.40909090909091</v>
      </c>
    </row>
    <row r="1950" spans="1:11" x14ac:dyDescent="0.3">
      <c r="A1950" s="14">
        <v>2024</v>
      </c>
      <c r="B1950" s="14">
        <f t="shared" si="92"/>
        <v>28</v>
      </c>
      <c r="C1950" s="9">
        <v>45481</v>
      </c>
      <c r="D1950" s="9">
        <v>45485</v>
      </c>
      <c r="E1950" s="14">
        <f>VLOOKUP(F1950,CarrierID!A:B,2,0)</f>
        <v>5</v>
      </c>
      <c r="F1950" s="15" t="s">
        <v>1</v>
      </c>
      <c r="G1950" t="str">
        <f>VLOOKUP(F1950,Carrier_Category!A:B,2,0)</f>
        <v>Intercity</v>
      </c>
      <c r="H1950" s="5">
        <v>57</v>
      </c>
      <c r="I1950" s="7">
        <f t="shared" si="94"/>
        <v>44</v>
      </c>
      <c r="J1950" s="5">
        <v>1842</v>
      </c>
      <c r="K1950" s="18">
        <f t="shared" si="93"/>
        <v>32.315789473684212</v>
      </c>
    </row>
    <row r="1951" spans="1:11" x14ac:dyDescent="0.3">
      <c r="A1951" s="14">
        <v>2024</v>
      </c>
      <c r="B1951" s="14">
        <f t="shared" si="92"/>
        <v>28</v>
      </c>
      <c r="C1951" s="9">
        <v>45481</v>
      </c>
      <c r="D1951" s="9">
        <v>45485</v>
      </c>
      <c r="E1951" s="14">
        <f>VLOOKUP(F1951,CarrierID!A:B,2,0)</f>
        <v>8</v>
      </c>
      <c r="F1951" s="15" t="s">
        <v>2</v>
      </c>
      <c r="G1951" t="str">
        <f>VLOOKUP(F1951,Carrier_Category!A:B,2,0)</f>
        <v>Commuter</v>
      </c>
      <c r="H1951" s="5">
        <v>17</v>
      </c>
      <c r="I1951" s="7">
        <f t="shared" si="94"/>
        <v>58</v>
      </c>
      <c r="J1951" s="5">
        <v>693</v>
      </c>
      <c r="K1951" s="18">
        <f t="shared" si="93"/>
        <v>40.764705882352942</v>
      </c>
    </row>
    <row r="1952" spans="1:11" x14ac:dyDescent="0.3">
      <c r="A1952" s="14">
        <v>2024</v>
      </c>
      <c r="B1952" s="14">
        <f t="shared" si="92"/>
        <v>28</v>
      </c>
      <c r="C1952" s="9">
        <v>45481</v>
      </c>
      <c r="D1952" s="9">
        <v>45485</v>
      </c>
      <c r="E1952" s="14">
        <f>VLOOKUP(F1952,CarrierID!A:B,2,0)</f>
        <v>9</v>
      </c>
      <c r="F1952" s="15" t="s">
        <v>3</v>
      </c>
      <c r="G1952" t="str">
        <f>VLOOKUP(F1952,Carrier_Category!A:B,2,0)</f>
        <v>NJT</v>
      </c>
      <c r="H1952" s="5">
        <v>2422</v>
      </c>
      <c r="I1952" s="7">
        <f t="shared" si="94"/>
        <v>16</v>
      </c>
      <c r="J1952" s="5">
        <v>83174</v>
      </c>
      <c r="K1952" s="18">
        <f t="shared" si="93"/>
        <v>34.341040462427749</v>
      </c>
    </row>
    <row r="1953" spans="1:11" x14ac:dyDescent="0.3">
      <c r="A1953" s="14">
        <v>2024</v>
      </c>
      <c r="B1953" s="14">
        <f t="shared" si="92"/>
        <v>28</v>
      </c>
      <c r="C1953" s="9">
        <v>45481</v>
      </c>
      <c r="D1953" s="9">
        <v>45485</v>
      </c>
      <c r="E1953" s="14">
        <f>VLOOKUP(F1953,CarrierID!A:B,2,0)</f>
        <v>7</v>
      </c>
      <c r="F1953" s="15" t="s">
        <v>4</v>
      </c>
      <c r="G1953" t="str">
        <f>VLOOKUP(F1953,Carrier_Category!A:B,2,0)</f>
        <v>Commuter</v>
      </c>
      <c r="H1953" s="5">
        <v>41</v>
      </c>
      <c r="I1953" s="7">
        <f t="shared" si="94"/>
        <v>2435</v>
      </c>
      <c r="J1953" s="5">
        <v>1415</v>
      </c>
      <c r="K1953" s="18">
        <f t="shared" si="93"/>
        <v>34.512195121951223</v>
      </c>
    </row>
    <row r="1954" spans="1:11" x14ac:dyDescent="0.3">
      <c r="A1954" s="14">
        <v>2024</v>
      </c>
      <c r="B1954" s="14">
        <f t="shared" si="92"/>
        <v>28</v>
      </c>
      <c r="C1954" s="9">
        <v>45481</v>
      </c>
      <c r="D1954" s="9">
        <v>45485</v>
      </c>
      <c r="E1954" s="14">
        <f>VLOOKUP(F1954,CarrierID!A:B,2,0)</f>
        <v>11</v>
      </c>
      <c r="F1954" s="15" t="s">
        <v>5</v>
      </c>
      <c r="G1954" t="str">
        <f>VLOOKUP(F1954,Carrier_Category!A:B,2,0)</f>
        <v>Intercity</v>
      </c>
      <c r="H1954" s="5">
        <v>27</v>
      </c>
      <c r="I1954" s="7">
        <f t="shared" si="94"/>
        <v>35</v>
      </c>
      <c r="J1954" s="5">
        <v>601</v>
      </c>
      <c r="K1954" s="18">
        <f t="shared" si="93"/>
        <v>22.25925925925926</v>
      </c>
    </row>
    <row r="1955" spans="1:11" x14ac:dyDescent="0.3">
      <c r="A1955" s="14">
        <v>2024</v>
      </c>
      <c r="B1955" s="14">
        <f t="shared" si="92"/>
        <v>28</v>
      </c>
      <c r="C1955" s="9">
        <v>45481</v>
      </c>
      <c r="D1955" s="9">
        <v>45485</v>
      </c>
      <c r="E1955" s="14">
        <f>VLOOKUP(F1955,CarrierID!A:B,2,0)</f>
        <v>3</v>
      </c>
      <c r="F1955" s="15" t="s">
        <v>6</v>
      </c>
      <c r="G1955" t="str">
        <f>VLOOKUP(F1955,Carrier_Category!A:B,2,0)</f>
        <v>Commuter</v>
      </c>
      <c r="H1955" s="5">
        <v>168</v>
      </c>
      <c r="I1955" s="7">
        <f t="shared" si="94"/>
        <v>28</v>
      </c>
      <c r="J1955" s="5">
        <v>5310</v>
      </c>
      <c r="K1955" s="18">
        <f t="shared" si="93"/>
        <v>31.607142857142858</v>
      </c>
    </row>
    <row r="1956" spans="1:11" x14ac:dyDescent="0.3">
      <c r="A1956" s="14">
        <v>2024</v>
      </c>
      <c r="B1956" s="14">
        <f t="shared" si="92"/>
        <v>28</v>
      </c>
      <c r="C1956" s="9">
        <v>45481</v>
      </c>
      <c r="D1956" s="9">
        <v>45485</v>
      </c>
      <c r="E1956" s="14">
        <f>VLOOKUP(F1956,CarrierID!A:B,2,0)</f>
        <v>12</v>
      </c>
      <c r="F1956" s="15" t="s">
        <v>25</v>
      </c>
      <c r="G1956" t="str">
        <f>VLOOKUP(F1956,Carrier_Category!A:B,2,0)</f>
        <v>Commuter</v>
      </c>
      <c r="H1956" s="5">
        <v>21</v>
      </c>
      <c r="I1956" s="7">
        <f t="shared" si="94"/>
        <v>162</v>
      </c>
      <c r="J1956" s="5">
        <v>610</v>
      </c>
      <c r="K1956" s="18">
        <f t="shared" si="93"/>
        <v>29.047619047619047</v>
      </c>
    </row>
    <row r="1957" spans="1:11" x14ac:dyDescent="0.3">
      <c r="A1957" s="14">
        <v>2024</v>
      </c>
      <c r="B1957" s="14">
        <f t="shared" si="92"/>
        <v>28</v>
      </c>
      <c r="C1957" s="9">
        <v>45481</v>
      </c>
      <c r="D1957" s="9">
        <v>45485</v>
      </c>
      <c r="E1957" s="14">
        <f>VLOOKUP(F1957,CarrierID!A:B,2,0)</f>
        <v>10</v>
      </c>
      <c r="F1957" s="15" t="s">
        <v>8</v>
      </c>
      <c r="G1957" t="str">
        <f>VLOOKUP(F1957,Carrier_Category!A:B,2,0)</f>
        <v>Intercity</v>
      </c>
      <c r="H1957" s="5">
        <v>33</v>
      </c>
      <c r="I1957" s="7">
        <f t="shared" si="94"/>
        <v>21</v>
      </c>
      <c r="J1957" s="5">
        <v>918</v>
      </c>
      <c r="K1957" s="18">
        <f t="shared" si="93"/>
        <v>27.818181818181817</v>
      </c>
    </row>
    <row r="1958" spans="1:11" x14ac:dyDescent="0.3">
      <c r="A1958" s="14">
        <v>2024</v>
      </c>
      <c r="B1958" s="14">
        <f t="shared" si="92"/>
        <v>28</v>
      </c>
      <c r="C1958" s="9">
        <v>45481</v>
      </c>
      <c r="D1958" s="9">
        <v>45485</v>
      </c>
      <c r="E1958" s="14">
        <f>VLOOKUP(F1958,CarrierID!A:B,2,0)</f>
        <v>6</v>
      </c>
      <c r="F1958" s="15" t="s">
        <v>9</v>
      </c>
      <c r="G1958" t="str">
        <f>VLOOKUP(F1958,Carrier_Category!A:B,2,0)</f>
        <v>Commuter</v>
      </c>
      <c r="H1958" s="5">
        <v>78</v>
      </c>
      <c r="I1958" s="7">
        <f t="shared" si="94"/>
        <v>33</v>
      </c>
      <c r="J1958" s="5">
        <v>1528</v>
      </c>
      <c r="K1958" s="18">
        <f t="shared" si="93"/>
        <v>19.589743589743591</v>
      </c>
    </row>
    <row r="1959" spans="1:11" x14ac:dyDescent="0.3">
      <c r="A1959" s="14">
        <v>2024</v>
      </c>
      <c r="B1959" s="14">
        <f t="shared" si="92"/>
        <v>29</v>
      </c>
      <c r="C1959" s="9">
        <v>45488</v>
      </c>
      <c r="D1959" s="9">
        <v>45492</v>
      </c>
      <c r="E1959" s="14">
        <f>VLOOKUP(F1959,CarrierID!A:B,2,0)</f>
        <v>1</v>
      </c>
      <c r="F1959" s="15" t="s">
        <v>0</v>
      </c>
      <c r="G1959" t="str">
        <f>VLOOKUP(F1959,Carrier_Category!A:B,2,0)</f>
        <v>Commuter</v>
      </c>
      <c r="H1959" s="5">
        <v>44</v>
      </c>
      <c r="I1959" s="7">
        <f t="shared" si="94"/>
        <v>73</v>
      </c>
      <c r="J1959" s="5">
        <v>1444</v>
      </c>
      <c r="K1959" s="18">
        <f t="shared" si="93"/>
        <v>32.81818181818182</v>
      </c>
    </row>
    <row r="1960" spans="1:11" x14ac:dyDescent="0.3">
      <c r="A1960" s="14">
        <v>2024</v>
      </c>
      <c r="B1960" s="14">
        <f t="shared" si="92"/>
        <v>29</v>
      </c>
      <c r="C1960" s="9">
        <v>45488</v>
      </c>
      <c r="D1960" s="9">
        <v>45492</v>
      </c>
      <c r="E1960" s="14">
        <f>VLOOKUP(F1960,CarrierID!A:B,2,0)</f>
        <v>5</v>
      </c>
      <c r="F1960" s="15" t="s">
        <v>1</v>
      </c>
      <c r="G1960" t="str">
        <f>VLOOKUP(F1960,Carrier_Category!A:B,2,0)</f>
        <v>Intercity</v>
      </c>
      <c r="H1960" s="5">
        <v>57</v>
      </c>
      <c r="I1960" s="7">
        <f t="shared" si="94"/>
        <v>44</v>
      </c>
      <c r="J1960" s="5">
        <v>1895</v>
      </c>
      <c r="K1960" s="18">
        <f t="shared" si="93"/>
        <v>33.245614035087719</v>
      </c>
    </row>
    <row r="1961" spans="1:11" x14ac:dyDescent="0.3">
      <c r="A1961" s="14">
        <v>2024</v>
      </c>
      <c r="B1961" s="14">
        <f t="shared" si="92"/>
        <v>29</v>
      </c>
      <c r="C1961" s="9">
        <v>45488</v>
      </c>
      <c r="D1961" s="9">
        <v>45492</v>
      </c>
      <c r="E1961" s="14">
        <f>VLOOKUP(F1961,CarrierID!A:B,2,0)</f>
        <v>8</v>
      </c>
      <c r="F1961" s="15" t="s">
        <v>2</v>
      </c>
      <c r="G1961" t="str">
        <f>VLOOKUP(F1961,Carrier_Category!A:B,2,0)</f>
        <v>Commuter</v>
      </c>
      <c r="H1961" s="5">
        <v>17</v>
      </c>
      <c r="I1961" s="7">
        <f t="shared" si="94"/>
        <v>57</v>
      </c>
      <c r="J1961" s="5">
        <v>763</v>
      </c>
      <c r="K1961" s="18">
        <f t="shared" si="93"/>
        <v>44.882352941176471</v>
      </c>
    </row>
    <row r="1962" spans="1:11" x14ac:dyDescent="0.3">
      <c r="A1962" s="14">
        <v>2024</v>
      </c>
      <c r="B1962" s="14">
        <f t="shared" si="92"/>
        <v>29</v>
      </c>
      <c r="C1962" s="9">
        <v>45488</v>
      </c>
      <c r="D1962" s="9">
        <v>45492</v>
      </c>
      <c r="E1962" s="14">
        <f>VLOOKUP(F1962,CarrierID!A:B,2,0)</f>
        <v>9</v>
      </c>
      <c r="F1962" s="15" t="s">
        <v>3</v>
      </c>
      <c r="G1962" t="str">
        <f>VLOOKUP(F1962,Carrier_Category!A:B,2,0)</f>
        <v>NJT</v>
      </c>
      <c r="H1962" s="5">
        <v>2413</v>
      </c>
      <c r="I1962" s="7">
        <f t="shared" si="94"/>
        <v>17</v>
      </c>
      <c r="J1962" s="5">
        <v>82025</v>
      </c>
      <c r="K1962" s="18">
        <f t="shared" si="93"/>
        <v>33.992954828014916</v>
      </c>
    </row>
    <row r="1963" spans="1:11" x14ac:dyDescent="0.3">
      <c r="A1963" s="14">
        <v>2024</v>
      </c>
      <c r="B1963" s="14">
        <f t="shared" si="92"/>
        <v>29</v>
      </c>
      <c r="C1963" s="9">
        <v>45488</v>
      </c>
      <c r="D1963" s="9">
        <v>45492</v>
      </c>
      <c r="E1963" s="14">
        <f>VLOOKUP(F1963,CarrierID!A:B,2,0)</f>
        <v>7</v>
      </c>
      <c r="F1963" s="15" t="s">
        <v>4</v>
      </c>
      <c r="G1963" t="str">
        <f>VLOOKUP(F1963,Carrier_Category!A:B,2,0)</f>
        <v>Commuter</v>
      </c>
      <c r="H1963" s="5">
        <v>41</v>
      </c>
      <c r="I1963" s="7">
        <f t="shared" si="94"/>
        <v>2422</v>
      </c>
      <c r="J1963" s="5">
        <v>1434</v>
      </c>
      <c r="K1963" s="18">
        <f t="shared" si="93"/>
        <v>34.975609756097562</v>
      </c>
    </row>
    <row r="1964" spans="1:11" x14ac:dyDescent="0.3">
      <c r="A1964" s="14">
        <v>2024</v>
      </c>
      <c r="B1964" s="14">
        <f t="shared" si="92"/>
        <v>29</v>
      </c>
      <c r="C1964" s="9">
        <v>45488</v>
      </c>
      <c r="D1964" s="9">
        <v>45492</v>
      </c>
      <c r="E1964" s="14">
        <f>VLOOKUP(F1964,CarrierID!A:B,2,0)</f>
        <v>11</v>
      </c>
      <c r="F1964" s="15" t="s">
        <v>5</v>
      </c>
      <c r="G1964" t="str">
        <f>VLOOKUP(F1964,Carrier_Category!A:B,2,0)</f>
        <v>Intercity</v>
      </c>
      <c r="H1964" s="5">
        <v>24</v>
      </c>
      <c r="I1964" s="7">
        <f t="shared" si="94"/>
        <v>41</v>
      </c>
      <c r="J1964" s="5">
        <v>652</v>
      </c>
      <c r="K1964" s="18">
        <f t="shared" si="93"/>
        <v>27.166666666666668</v>
      </c>
    </row>
    <row r="1965" spans="1:11" x14ac:dyDescent="0.3">
      <c r="A1965" s="14">
        <v>2024</v>
      </c>
      <c r="B1965" s="14">
        <f t="shared" si="92"/>
        <v>29</v>
      </c>
      <c r="C1965" s="9">
        <v>45488</v>
      </c>
      <c r="D1965" s="9">
        <v>45492</v>
      </c>
      <c r="E1965" s="14">
        <f>VLOOKUP(F1965,CarrierID!A:B,2,0)</f>
        <v>3</v>
      </c>
      <c r="F1965" s="15" t="s">
        <v>6</v>
      </c>
      <c r="G1965" t="str">
        <f>VLOOKUP(F1965,Carrier_Category!A:B,2,0)</f>
        <v>Commuter</v>
      </c>
      <c r="H1965" s="5">
        <v>189</v>
      </c>
      <c r="I1965" s="7">
        <f t="shared" si="94"/>
        <v>27</v>
      </c>
      <c r="J1965" s="5">
        <v>5532</v>
      </c>
      <c r="K1965" s="18">
        <f t="shared" si="93"/>
        <v>29.269841269841269</v>
      </c>
    </row>
    <row r="1966" spans="1:11" x14ac:dyDescent="0.3">
      <c r="A1966" s="14">
        <v>2024</v>
      </c>
      <c r="B1966" s="14">
        <f t="shared" si="92"/>
        <v>29</v>
      </c>
      <c r="C1966" s="9">
        <v>45488</v>
      </c>
      <c r="D1966" s="9">
        <v>45492</v>
      </c>
      <c r="E1966" s="14">
        <f>VLOOKUP(F1966,CarrierID!A:B,2,0)</f>
        <v>12</v>
      </c>
      <c r="F1966" s="15" t="s">
        <v>25</v>
      </c>
      <c r="G1966" t="str">
        <f>VLOOKUP(F1966,Carrier_Category!A:B,2,0)</f>
        <v>Commuter</v>
      </c>
      <c r="H1966" s="5">
        <v>24</v>
      </c>
      <c r="I1966" s="7">
        <f t="shared" si="94"/>
        <v>168</v>
      </c>
      <c r="J1966" s="5">
        <v>640</v>
      </c>
      <c r="K1966" s="18">
        <f t="shared" si="93"/>
        <v>26.666666666666668</v>
      </c>
    </row>
    <row r="1967" spans="1:11" x14ac:dyDescent="0.3">
      <c r="A1967" s="14">
        <v>2024</v>
      </c>
      <c r="B1967" s="14">
        <f t="shared" si="92"/>
        <v>29</v>
      </c>
      <c r="C1967" s="9">
        <v>45488</v>
      </c>
      <c r="D1967" s="9">
        <v>45492</v>
      </c>
      <c r="E1967" s="14">
        <f>VLOOKUP(F1967,CarrierID!A:B,2,0)</f>
        <v>10</v>
      </c>
      <c r="F1967" s="15" t="s">
        <v>8</v>
      </c>
      <c r="G1967" t="str">
        <f>VLOOKUP(F1967,Carrier_Category!A:B,2,0)</f>
        <v>Intercity</v>
      </c>
      <c r="H1967" s="5">
        <v>33</v>
      </c>
      <c r="I1967" s="7">
        <f t="shared" si="94"/>
        <v>21</v>
      </c>
      <c r="J1967" s="5">
        <v>918</v>
      </c>
      <c r="K1967" s="18">
        <f t="shared" si="93"/>
        <v>27.818181818181817</v>
      </c>
    </row>
    <row r="1968" spans="1:11" x14ac:dyDescent="0.3">
      <c r="A1968" s="14">
        <v>2024</v>
      </c>
      <c r="B1968" s="14">
        <f t="shared" si="92"/>
        <v>29</v>
      </c>
      <c r="C1968" s="9">
        <v>45488</v>
      </c>
      <c r="D1968" s="9">
        <v>45492</v>
      </c>
      <c r="E1968" s="14">
        <f>VLOOKUP(F1968,CarrierID!A:B,2,0)</f>
        <v>6</v>
      </c>
      <c r="F1968" s="15" t="s">
        <v>9</v>
      </c>
      <c r="G1968" t="str">
        <f>VLOOKUP(F1968,Carrier_Category!A:B,2,0)</f>
        <v>Commuter</v>
      </c>
      <c r="H1968" s="5">
        <v>78</v>
      </c>
      <c r="I1968" s="7">
        <f t="shared" si="94"/>
        <v>33</v>
      </c>
      <c r="J1968" s="5">
        <v>1528</v>
      </c>
      <c r="K1968" s="18">
        <f t="shared" si="93"/>
        <v>19.589743589743591</v>
      </c>
    </row>
    <row r="1969" spans="1:11" x14ac:dyDescent="0.3">
      <c r="A1969" s="14">
        <v>2024</v>
      </c>
      <c r="B1969" s="14">
        <f t="shared" si="92"/>
        <v>30</v>
      </c>
      <c r="C1969" s="9">
        <v>45495</v>
      </c>
      <c r="D1969" s="9">
        <v>45499</v>
      </c>
      <c r="E1969" s="14">
        <f>VLOOKUP(F1969,CarrierID!A:B,2,0)</f>
        <v>1</v>
      </c>
      <c r="F1969" s="15" t="s">
        <v>0</v>
      </c>
      <c r="G1969" t="str">
        <f>VLOOKUP(F1969,Carrier_Category!A:B,2,0)</f>
        <v>Commuter</v>
      </c>
      <c r="H1969" s="5">
        <v>44</v>
      </c>
      <c r="I1969" s="7">
        <f t="shared" si="94"/>
        <v>78</v>
      </c>
      <c r="J1969" s="5">
        <v>1444</v>
      </c>
      <c r="K1969" s="18">
        <f t="shared" si="93"/>
        <v>32.81818181818182</v>
      </c>
    </row>
    <row r="1970" spans="1:11" x14ac:dyDescent="0.3">
      <c r="A1970" s="14">
        <v>2024</v>
      </c>
      <c r="B1970" s="14">
        <f t="shared" si="92"/>
        <v>30</v>
      </c>
      <c r="C1970" s="9">
        <v>45495</v>
      </c>
      <c r="D1970" s="9">
        <v>45499</v>
      </c>
      <c r="E1970" s="14">
        <f>VLOOKUP(F1970,CarrierID!A:B,2,0)</f>
        <v>5</v>
      </c>
      <c r="F1970" s="15" t="s">
        <v>1</v>
      </c>
      <c r="G1970" t="str">
        <f>VLOOKUP(F1970,Carrier_Category!A:B,2,0)</f>
        <v>Intercity</v>
      </c>
      <c r="H1970" s="5">
        <v>57</v>
      </c>
      <c r="I1970" s="7">
        <f t="shared" si="94"/>
        <v>44</v>
      </c>
      <c r="J1970" s="5">
        <v>1913</v>
      </c>
      <c r="K1970" s="18">
        <f t="shared" si="93"/>
        <v>33.561403508771932</v>
      </c>
    </row>
    <row r="1971" spans="1:11" x14ac:dyDescent="0.3">
      <c r="A1971" s="14">
        <v>2024</v>
      </c>
      <c r="B1971" s="14">
        <f t="shared" si="92"/>
        <v>30</v>
      </c>
      <c r="C1971" s="9">
        <v>45495</v>
      </c>
      <c r="D1971" s="9">
        <v>45499</v>
      </c>
      <c r="E1971" s="14">
        <f>VLOOKUP(F1971,CarrierID!A:B,2,0)</f>
        <v>8</v>
      </c>
      <c r="F1971" s="15" t="s">
        <v>2</v>
      </c>
      <c r="G1971" t="str">
        <f>VLOOKUP(F1971,Carrier_Category!A:B,2,0)</f>
        <v>Commuter</v>
      </c>
      <c r="H1971" s="5">
        <v>17</v>
      </c>
      <c r="I1971" s="7">
        <f t="shared" si="94"/>
        <v>57</v>
      </c>
      <c r="J1971" s="5">
        <v>767</v>
      </c>
      <c r="K1971" s="18">
        <f t="shared" si="93"/>
        <v>45.117647058823529</v>
      </c>
    </row>
    <row r="1972" spans="1:11" x14ac:dyDescent="0.3">
      <c r="A1972" s="14">
        <v>2024</v>
      </c>
      <c r="B1972" s="14">
        <f t="shared" si="92"/>
        <v>30</v>
      </c>
      <c r="C1972" s="9">
        <v>45495</v>
      </c>
      <c r="D1972" s="9">
        <v>45499</v>
      </c>
      <c r="E1972" s="14">
        <f>VLOOKUP(F1972,CarrierID!A:B,2,0)</f>
        <v>9</v>
      </c>
      <c r="F1972" s="15" t="s">
        <v>3</v>
      </c>
      <c r="G1972" t="str">
        <f>VLOOKUP(F1972,Carrier_Category!A:B,2,0)</f>
        <v>NJT</v>
      </c>
      <c r="H1972" s="5">
        <v>2412</v>
      </c>
      <c r="I1972" s="7">
        <f t="shared" si="94"/>
        <v>17</v>
      </c>
      <c r="J1972" s="5">
        <v>82384</v>
      </c>
      <c r="K1972" s="18">
        <f t="shared" si="93"/>
        <v>34.155887230514097</v>
      </c>
    </row>
    <row r="1973" spans="1:11" x14ac:dyDescent="0.3">
      <c r="A1973" s="14">
        <v>2024</v>
      </c>
      <c r="B1973" s="14">
        <f t="shared" si="92"/>
        <v>30</v>
      </c>
      <c r="C1973" s="9">
        <v>45495</v>
      </c>
      <c r="D1973" s="9">
        <v>45499</v>
      </c>
      <c r="E1973" s="14">
        <f>VLOOKUP(F1973,CarrierID!A:B,2,0)</f>
        <v>7</v>
      </c>
      <c r="F1973" s="15" t="s">
        <v>4</v>
      </c>
      <c r="G1973" t="str">
        <f>VLOOKUP(F1973,Carrier_Category!A:B,2,0)</f>
        <v>Commuter</v>
      </c>
      <c r="H1973" s="5">
        <v>41</v>
      </c>
      <c r="I1973" s="7">
        <f t="shared" si="94"/>
        <v>2413</v>
      </c>
      <c r="J1973" s="5">
        <v>1480</v>
      </c>
      <c r="K1973" s="18">
        <f t="shared" si="93"/>
        <v>36.097560975609753</v>
      </c>
    </row>
    <row r="1974" spans="1:11" x14ac:dyDescent="0.3">
      <c r="A1974" s="14">
        <v>2024</v>
      </c>
      <c r="B1974" s="14">
        <f t="shared" si="92"/>
        <v>30</v>
      </c>
      <c r="C1974" s="9">
        <v>45495</v>
      </c>
      <c r="D1974" s="9">
        <v>45499</v>
      </c>
      <c r="E1974" s="14">
        <f>VLOOKUP(F1974,CarrierID!A:B,2,0)</f>
        <v>11</v>
      </c>
      <c r="F1974" s="15" t="s">
        <v>5</v>
      </c>
      <c r="G1974" t="str">
        <f>VLOOKUP(F1974,Carrier_Category!A:B,2,0)</f>
        <v>Intercity</v>
      </c>
      <c r="H1974" s="5">
        <v>26</v>
      </c>
      <c r="I1974" s="7">
        <f t="shared" si="94"/>
        <v>41</v>
      </c>
      <c r="J1974" s="5">
        <v>699</v>
      </c>
      <c r="K1974" s="18">
        <f t="shared" si="93"/>
        <v>26.884615384615383</v>
      </c>
    </row>
    <row r="1975" spans="1:11" x14ac:dyDescent="0.3">
      <c r="A1975" s="14">
        <v>2024</v>
      </c>
      <c r="B1975" s="14">
        <f t="shared" si="92"/>
        <v>30</v>
      </c>
      <c r="C1975" s="9">
        <v>45495</v>
      </c>
      <c r="D1975" s="9">
        <v>45499</v>
      </c>
      <c r="E1975" s="14">
        <f>VLOOKUP(F1975,CarrierID!A:B,2,0)</f>
        <v>3</v>
      </c>
      <c r="F1975" s="15" t="s">
        <v>6</v>
      </c>
      <c r="G1975" t="str">
        <f>VLOOKUP(F1975,Carrier_Category!A:B,2,0)</f>
        <v>Commuter</v>
      </c>
      <c r="H1975" s="5">
        <v>195</v>
      </c>
      <c r="I1975" s="7">
        <f t="shared" si="94"/>
        <v>24</v>
      </c>
      <c r="J1975" s="5">
        <v>5489</v>
      </c>
      <c r="K1975" s="18">
        <f t="shared" si="93"/>
        <v>28.148717948717948</v>
      </c>
    </row>
    <row r="1976" spans="1:11" x14ac:dyDescent="0.3">
      <c r="A1976" s="14">
        <v>2024</v>
      </c>
      <c r="B1976" s="14">
        <f t="shared" si="92"/>
        <v>30</v>
      </c>
      <c r="C1976" s="9">
        <v>45495</v>
      </c>
      <c r="D1976" s="9">
        <v>45499</v>
      </c>
      <c r="E1976" s="14">
        <f>VLOOKUP(F1976,CarrierID!A:B,2,0)</f>
        <v>12</v>
      </c>
      <c r="F1976" s="15" t="s">
        <v>25</v>
      </c>
      <c r="G1976" t="str">
        <f>VLOOKUP(F1976,Carrier_Category!A:B,2,0)</f>
        <v>Commuter</v>
      </c>
      <c r="H1976" s="5">
        <v>24</v>
      </c>
      <c r="I1976" s="7">
        <f t="shared" si="94"/>
        <v>189</v>
      </c>
      <c r="J1976" s="5">
        <v>639</v>
      </c>
      <c r="K1976" s="18">
        <f t="shared" si="93"/>
        <v>26.625</v>
      </c>
    </row>
    <row r="1977" spans="1:11" x14ac:dyDescent="0.3">
      <c r="A1977" s="14">
        <v>2024</v>
      </c>
      <c r="B1977" s="14">
        <f t="shared" si="92"/>
        <v>30</v>
      </c>
      <c r="C1977" s="9">
        <v>45495</v>
      </c>
      <c r="D1977" s="9">
        <v>45499</v>
      </c>
      <c r="E1977" s="14">
        <f>VLOOKUP(F1977,CarrierID!A:B,2,0)</f>
        <v>10</v>
      </c>
      <c r="F1977" s="15" t="s">
        <v>8</v>
      </c>
      <c r="G1977" t="str">
        <f>VLOOKUP(F1977,Carrier_Category!A:B,2,0)</f>
        <v>Intercity</v>
      </c>
      <c r="H1977" s="5">
        <v>33</v>
      </c>
      <c r="I1977" s="7">
        <f t="shared" si="94"/>
        <v>24</v>
      </c>
      <c r="J1977" s="5">
        <v>918</v>
      </c>
      <c r="K1977" s="18">
        <f t="shared" si="93"/>
        <v>27.818181818181817</v>
      </c>
    </row>
    <row r="1978" spans="1:11" x14ac:dyDescent="0.3">
      <c r="A1978" s="14">
        <v>2024</v>
      </c>
      <c r="B1978" s="14">
        <f t="shared" si="92"/>
        <v>30</v>
      </c>
      <c r="C1978" s="9">
        <v>45495</v>
      </c>
      <c r="D1978" s="9">
        <v>45499</v>
      </c>
      <c r="E1978" s="14">
        <f>VLOOKUP(F1978,CarrierID!A:B,2,0)</f>
        <v>6</v>
      </c>
      <c r="F1978" s="15" t="s">
        <v>9</v>
      </c>
      <c r="G1978" t="str">
        <f>VLOOKUP(F1978,Carrier_Category!A:B,2,0)</f>
        <v>Commuter</v>
      </c>
      <c r="H1978" s="5">
        <v>78</v>
      </c>
      <c r="I1978" s="7">
        <f t="shared" si="94"/>
        <v>33</v>
      </c>
      <c r="J1978" s="5">
        <v>1528</v>
      </c>
      <c r="K1978" s="18">
        <f t="shared" si="93"/>
        <v>19.589743589743591</v>
      </c>
    </row>
    <row r="1979" spans="1:11" x14ac:dyDescent="0.3">
      <c r="A1979" s="14">
        <v>2024</v>
      </c>
      <c r="B1979" s="14">
        <f t="shared" si="92"/>
        <v>31</v>
      </c>
      <c r="C1979" s="9">
        <v>45502</v>
      </c>
      <c r="D1979" s="9">
        <v>45506</v>
      </c>
      <c r="E1979" s="14">
        <f>VLOOKUP(F1979,CarrierID!A:B,2,0)</f>
        <v>1</v>
      </c>
      <c r="F1979" s="15" t="s">
        <v>0</v>
      </c>
      <c r="G1979" t="str">
        <f>VLOOKUP(F1979,Carrier_Category!A:B,2,0)</f>
        <v>Commuter</v>
      </c>
      <c r="H1979" s="5">
        <v>43</v>
      </c>
      <c r="I1979" s="7">
        <f t="shared" si="94"/>
        <v>78</v>
      </c>
      <c r="J1979" s="5">
        <v>1414</v>
      </c>
      <c r="K1979" s="18">
        <f t="shared" si="93"/>
        <v>32.883720930232556</v>
      </c>
    </row>
    <row r="1980" spans="1:11" x14ac:dyDescent="0.3">
      <c r="A1980" s="14">
        <v>2024</v>
      </c>
      <c r="B1980" s="14">
        <f t="shared" si="92"/>
        <v>31</v>
      </c>
      <c r="C1980" s="9">
        <v>45502</v>
      </c>
      <c r="D1980" s="9">
        <v>45506</v>
      </c>
      <c r="E1980" s="14">
        <f>VLOOKUP(F1980,CarrierID!A:B,2,0)</f>
        <v>5</v>
      </c>
      <c r="F1980" s="15" t="s">
        <v>1</v>
      </c>
      <c r="G1980" t="str">
        <f>VLOOKUP(F1980,Carrier_Category!A:B,2,0)</f>
        <v>Intercity</v>
      </c>
      <c r="H1980" s="5">
        <v>59</v>
      </c>
      <c r="I1980" s="7">
        <f t="shared" si="94"/>
        <v>44</v>
      </c>
      <c r="J1980" s="5">
        <v>1925</v>
      </c>
      <c r="K1980" s="18">
        <f t="shared" si="93"/>
        <v>32.627118644067799</v>
      </c>
    </row>
    <row r="1981" spans="1:11" x14ac:dyDescent="0.3">
      <c r="A1981" s="14">
        <v>2024</v>
      </c>
      <c r="B1981" s="14">
        <f t="shared" si="92"/>
        <v>31</v>
      </c>
      <c r="C1981" s="9">
        <v>45502</v>
      </c>
      <c r="D1981" s="9">
        <v>45506</v>
      </c>
      <c r="E1981" s="14">
        <f>VLOOKUP(F1981,CarrierID!A:B,2,0)</f>
        <v>8</v>
      </c>
      <c r="F1981" s="15" t="s">
        <v>2</v>
      </c>
      <c r="G1981" t="str">
        <f>VLOOKUP(F1981,Carrier_Category!A:B,2,0)</f>
        <v>Commuter</v>
      </c>
      <c r="H1981" s="5">
        <v>18</v>
      </c>
      <c r="I1981" s="7">
        <f t="shared" si="94"/>
        <v>57</v>
      </c>
      <c r="J1981" s="5">
        <v>739</v>
      </c>
      <c r="K1981" s="18">
        <f t="shared" si="93"/>
        <v>41.055555555555557</v>
      </c>
    </row>
    <row r="1982" spans="1:11" x14ac:dyDescent="0.3">
      <c r="A1982" s="14">
        <v>2024</v>
      </c>
      <c r="B1982" s="14">
        <f t="shared" si="92"/>
        <v>31</v>
      </c>
      <c r="C1982" s="9">
        <v>45502</v>
      </c>
      <c r="D1982" s="9">
        <v>45506</v>
      </c>
      <c r="E1982" s="14">
        <f>VLOOKUP(F1982,CarrierID!A:B,2,0)</f>
        <v>9</v>
      </c>
      <c r="F1982" s="15" t="s">
        <v>3</v>
      </c>
      <c r="G1982" t="str">
        <f>VLOOKUP(F1982,Carrier_Category!A:B,2,0)</f>
        <v>NJT</v>
      </c>
      <c r="H1982" s="5">
        <v>2395</v>
      </c>
      <c r="I1982" s="7">
        <f t="shared" si="94"/>
        <v>17</v>
      </c>
      <c r="J1982" s="5">
        <v>81260</v>
      </c>
      <c r="K1982" s="18">
        <f t="shared" si="93"/>
        <v>33.929018789144052</v>
      </c>
    </row>
    <row r="1983" spans="1:11" x14ac:dyDescent="0.3">
      <c r="A1983" s="14">
        <v>2024</v>
      </c>
      <c r="B1983" s="14">
        <f t="shared" si="92"/>
        <v>31</v>
      </c>
      <c r="C1983" s="9">
        <v>45502</v>
      </c>
      <c r="D1983" s="9">
        <v>45506</v>
      </c>
      <c r="E1983" s="14">
        <f>VLOOKUP(F1983,CarrierID!A:B,2,0)</f>
        <v>7</v>
      </c>
      <c r="F1983" s="15" t="s">
        <v>4</v>
      </c>
      <c r="G1983" t="str">
        <f>VLOOKUP(F1983,Carrier_Category!A:B,2,0)</f>
        <v>Commuter</v>
      </c>
      <c r="H1983" s="5">
        <v>43</v>
      </c>
      <c r="I1983" s="7">
        <f t="shared" si="94"/>
        <v>2412</v>
      </c>
      <c r="J1983" s="5">
        <v>1457</v>
      </c>
      <c r="K1983" s="18">
        <f t="shared" si="93"/>
        <v>33.883720930232556</v>
      </c>
    </row>
    <row r="1984" spans="1:11" x14ac:dyDescent="0.3">
      <c r="A1984" s="14">
        <v>2024</v>
      </c>
      <c r="B1984" s="14">
        <f t="shared" si="92"/>
        <v>31</v>
      </c>
      <c r="C1984" s="9">
        <v>45502</v>
      </c>
      <c r="D1984" s="9">
        <v>45506</v>
      </c>
      <c r="E1984" s="14">
        <f>VLOOKUP(F1984,CarrierID!A:B,2,0)</f>
        <v>11</v>
      </c>
      <c r="F1984" s="15" t="s">
        <v>5</v>
      </c>
      <c r="G1984" t="str">
        <f>VLOOKUP(F1984,Carrier_Category!A:B,2,0)</f>
        <v>Intercity</v>
      </c>
      <c r="H1984" s="5">
        <v>26</v>
      </c>
      <c r="I1984" s="7">
        <f t="shared" si="94"/>
        <v>41</v>
      </c>
      <c r="J1984" s="5">
        <v>710</v>
      </c>
      <c r="K1984" s="18">
        <f t="shared" si="93"/>
        <v>27.307692307692307</v>
      </c>
    </row>
    <row r="1985" spans="1:11" x14ac:dyDescent="0.3">
      <c r="A1985" s="14">
        <v>2024</v>
      </c>
      <c r="B1985" s="14">
        <f t="shared" si="92"/>
        <v>31</v>
      </c>
      <c r="C1985" s="9">
        <v>45502</v>
      </c>
      <c r="D1985" s="9">
        <v>45506</v>
      </c>
      <c r="E1985" s="14">
        <f>VLOOKUP(F1985,CarrierID!A:B,2,0)</f>
        <v>3</v>
      </c>
      <c r="F1985" s="15" t="s">
        <v>6</v>
      </c>
      <c r="G1985" t="str">
        <f>VLOOKUP(F1985,Carrier_Category!A:B,2,0)</f>
        <v>Commuter</v>
      </c>
      <c r="H1985" s="5">
        <v>188</v>
      </c>
      <c r="I1985" s="7">
        <f t="shared" si="94"/>
        <v>26</v>
      </c>
      <c r="J1985" s="5">
        <v>5505</v>
      </c>
      <c r="K1985" s="18">
        <f t="shared" si="93"/>
        <v>29.281914893617021</v>
      </c>
    </row>
    <row r="1986" spans="1:11" x14ac:dyDescent="0.3">
      <c r="A1986" s="14">
        <v>2024</v>
      </c>
      <c r="B1986" s="14">
        <f t="shared" si="92"/>
        <v>31</v>
      </c>
      <c r="C1986" s="9">
        <v>45502</v>
      </c>
      <c r="D1986" s="9">
        <v>45506</v>
      </c>
      <c r="E1986" s="14">
        <f>VLOOKUP(F1986,CarrierID!A:B,2,0)</f>
        <v>12</v>
      </c>
      <c r="F1986" s="15" t="s">
        <v>25</v>
      </c>
      <c r="G1986" t="str">
        <f>VLOOKUP(F1986,Carrier_Category!A:B,2,0)</f>
        <v>Commuter</v>
      </c>
      <c r="H1986" s="5">
        <v>24</v>
      </c>
      <c r="I1986" s="7">
        <f t="shared" si="94"/>
        <v>195</v>
      </c>
      <c r="J1986" s="5">
        <v>670</v>
      </c>
      <c r="K1986" s="18">
        <f t="shared" si="93"/>
        <v>27.916666666666668</v>
      </c>
    </row>
    <row r="1987" spans="1:11" x14ac:dyDescent="0.3">
      <c r="A1987" s="14">
        <v>2024</v>
      </c>
      <c r="B1987" s="14">
        <f t="shared" si="92"/>
        <v>31</v>
      </c>
      <c r="C1987" s="9">
        <v>45502</v>
      </c>
      <c r="D1987" s="9">
        <v>45506</v>
      </c>
      <c r="E1987" s="14">
        <f>VLOOKUP(F1987,CarrierID!A:B,2,0)</f>
        <v>10</v>
      </c>
      <c r="F1987" s="15" t="s">
        <v>8</v>
      </c>
      <c r="G1987" t="str">
        <f>VLOOKUP(F1987,Carrier_Category!A:B,2,0)</f>
        <v>Intercity</v>
      </c>
      <c r="H1987" s="5">
        <v>32</v>
      </c>
      <c r="I1987" s="7">
        <f t="shared" si="94"/>
        <v>24</v>
      </c>
      <c r="J1987" s="5">
        <v>838</v>
      </c>
      <c r="K1987" s="18">
        <f t="shared" si="93"/>
        <v>26.1875</v>
      </c>
    </row>
    <row r="1988" spans="1:11" x14ac:dyDescent="0.3">
      <c r="A1988" s="14">
        <v>2024</v>
      </c>
      <c r="B1988" s="14">
        <f t="shared" si="92"/>
        <v>31</v>
      </c>
      <c r="C1988" s="9">
        <v>45502</v>
      </c>
      <c r="D1988" s="9">
        <v>45506</v>
      </c>
      <c r="E1988" s="14">
        <f>VLOOKUP(F1988,CarrierID!A:B,2,0)</f>
        <v>6</v>
      </c>
      <c r="F1988" s="15" t="s">
        <v>9</v>
      </c>
      <c r="G1988" t="str">
        <f>VLOOKUP(F1988,Carrier_Category!A:B,2,0)</f>
        <v>Commuter</v>
      </c>
      <c r="H1988" s="5">
        <v>78</v>
      </c>
      <c r="I1988" s="7">
        <f t="shared" si="94"/>
        <v>33</v>
      </c>
      <c r="J1988" s="5">
        <v>1528</v>
      </c>
      <c r="K1988" s="18">
        <f t="shared" si="93"/>
        <v>19.589743589743591</v>
      </c>
    </row>
    <row r="1989" spans="1:11" x14ac:dyDescent="0.3">
      <c r="A1989" s="14">
        <v>2024</v>
      </c>
      <c r="B1989" s="14">
        <f t="shared" ref="B1989:B2052" si="95">_xlfn.ISOWEEKNUM(C1989)</f>
        <v>32</v>
      </c>
      <c r="C1989" s="9">
        <v>45509</v>
      </c>
      <c r="D1989" s="9">
        <v>45513</v>
      </c>
      <c r="E1989" s="14">
        <f>VLOOKUP(F1989,CarrierID!A:B,2,0)</f>
        <v>1</v>
      </c>
      <c r="F1989" s="15" t="s">
        <v>0</v>
      </c>
      <c r="G1989" t="str">
        <f>VLOOKUP(F1989,Carrier_Category!A:B,2,0)</f>
        <v>Commuter</v>
      </c>
      <c r="H1989" s="5">
        <v>45</v>
      </c>
      <c r="I1989" s="7">
        <f t="shared" si="94"/>
        <v>78</v>
      </c>
      <c r="J1989" s="5">
        <v>1372</v>
      </c>
      <c r="K1989" s="18">
        <f t="shared" ref="K1989:K2052" si="96">J1989/H1989</f>
        <v>30.488888888888887</v>
      </c>
    </row>
    <row r="1990" spans="1:11" x14ac:dyDescent="0.3">
      <c r="A1990" s="14">
        <v>2024</v>
      </c>
      <c r="B1990" s="14">
        <f t="shared" si="95"/>
        <v>32</v>
      </c>
      <c r="C1990" s="9">
        <v>45509</v>
      </c>
      <c r="D1990" s="9">
        <v>45513</v>
      </c>
      <c r="E1990" s="14">
        <f>VLOOKUP(F1990,CarrierID!A:B,2,0)</f>
        <v>5</v>
      </c>
      <c r="F1990" s="15" t="s">
        <v>1</v>
      </c>
      <c r="G1990" t="str">
        <f>VLOOKUP(F1990,Carrier_Category!A:B,2,0)</f>
        <v>Intercity</v>
      </c>
      <c r="H1990" s="5">
        <v>58</v>
      </c>
      <c r="I1990" s="7">
        <f t="shared" si="94"/>
        <v>43</v>
      </c>
      <c r="J1990" s="5">
        <v>2028</v>
      </c>
      <c r="K1990" s="18">
        <f t="shared" si="96"/>
        <v>34.96551724137931</v>
      </c>
    </row>
    <row r="1991" spans="1:11" x14ac:dyDescent="0.3">
      <c r="A1991" s="14">
        <v>2024</v>
      </c>
      <c r="B1991" s="14">
        <f t="shared" si="95"/>
        <v>32</v>
      </c>
      <c r="C1991" s="9">
        <v>45509</v>
      </c>
      <c r="D1991" s="9">
        <v>45513</v>
      </c>
      <c r="E1991" s="14">
        <f>VLOOKUP(F1991,CarrierID!A:B,2,0)</f>
        <v>8</v>
      </c>
      <c r="F1991" s="15" t="s">
        <v>2</v>
      </c>
      <c r="G1991" t="str">
        <f>VLOOKUP(F1991,Carrier_Category!A:B,2,0)</f>
        <v>Commuter</v>
      </c>
      <c r="H1991" s="5">
        <v>18</v>
      </c>
      <c r="I1991" s="7">
        <f t="shared" si="94"/>
        <v>59</v>
      </c>
      <c r="J1991" s="5">
        <v>781</v>
      </c>
      <c r="K1991" s="18">
        <f t="shared" si="96"/>
        <v>43.388888888888886</v>
      </c>
    </row>
    <row r="1992" spans="1:11" x14ac:dyDescent="0.3">
      <c r="A1992" s="14">
        <v>2024</v>
      </c>
      <c r="B1992" s="14">
        <f t="shared" si="95"/>
        <v>32</v>
      </c>
      <c r="C1992" s="9">
        <v>45509</v>
      </c>
      <c r="D1992" s="9">
        <v>45513</v>
      </c>
      <c r="E1992" s="14">
        <f>VLOOKUP(F1992,CarrierID!A:B,2,0)</f>
        <v>9</v>
      </c>
      <c r="F1992" s="15" t="s">
        <v>3</v>
      </c>
      <c r="G1992" t="str">
        <f>VLOOKUP(F1992,Carrier_Category!A:B,2,0)</f>
        <v>NJT</v>
      </c>
      <c r="H1992" s="5">
        <v>2421</v>
      </c>
      <c r="I1992" s="7">
        <f t="shared" si="94"/>
        <v>18</v>
      </c>
      <c r="J1992" s="5">
        <v>78702</v>
      </c>
      <c r="K1992" s="18">
        <f t="shared" si="96"/>
        <v>32.508054522924411</v>
      </c>
    </row>
    <row r="1993" spans="1:11" x14ac:dyDescent="0.3">
      <c r="A1993" s="14">
        <v>2024</v>
      </c>
      <c r="B1993" s="14">
        <f t="shared" si="95"/>
        <v>32</v>
      </c>
      <c r="C1993" s="9">
        <v>45509</v>
      </c>
      <c r="D1993" s="9">
        <v>45513</v>
      </c>
      <c r="E1993" s="14">
        <f>VLOOKUP(F1993,CarrierID!A:B,2,0)</f>
        <v>7</v>
      </c>
      <c r="F1993" s="15" t="s">
        <v>4</v>
      </c>
      <c r="G1993" t="str">
        <f>VLOOKUP(F1993,Carrier_Category!A:B,2,0)</f>
        <v>Commuter</v>
      </c>
      <c r="H1993" s="5">
        <v>42</v>
      </c>
      <c r="I1993" s="7">
        <f t="shared" si="94"/>
        <v>2395</v>
      </c>
      <c r="J1993" s="5">
        <v>1373</v>
      </c>
      <c r="K1993" s="18">
        <f t="shared" si="96"/>
        <v>32.69047619047619</v>
      </c>
    </row>
    <row r="1994" spans="1:11" x14ac:dyDescent="0.3">
      <c r="A1994" s="14">
        <v>2024</v>
      </c>
      <c r="B1994" s="14">
        <f t="shared" si="95"/>
        <v>32</v>
      </c>
      <c r="C1994" s="9">
        <v>45509</v>
      </c>
      <c r="D1994" s="9">
        <v>45513</v>
      </c>
      <c r="E1994" s="14">
        <f>VLOOKUP(F1994,CarrierID!A:B,2,0)</f>
        <v>11</v>
      </c>
      <c r="F1994" s="15" t="s">
        <v>5</v>
      </c>
      <c r="G1994" t="str">
        <f>VLOOKUP(F1994,Carrier_Category!A:B,2,0)</f>
        <v>Intercity</v>
      </c>
      <c r="H1994" s="5">
        <v>26</v>
      </c>
      <c r="I1994" s="7">
        <f t="shared" si="94"/>
        <v>43</v>
      </c>
      <c r="J1994" s="5">
        <v>699</v>
      </c>
      <c r="K1994" s="18">
        <f t="shared" si="96"/>
        <v>26.884615384615383</v>
      </c>
    </row>
    <row r="1995" spans="1:11" x14ac:dyDescent="0.3">
      <c r="A1995" s="14">
        <v>2024</v>
      </c>
      <c r="B1995" s="14">
        <f t="shared" si="95"/>
        <v>32</v>
      </c>
      <c r="C1995" s="9">
        <v>45509</v>
      </c>
      <c r="D1995" s="9">
        <v>45513</v>
      </c>
      <c r="E1995" s="14">
        <f>VLOOKUP(F1995,CarrierID!A:B,2,0)</f>
        <v>3</v>
      </c>
      <c r="F1995" s="15" t="s">
        <v>6</v>
      </c>
      <c r="G1995" t="str">
        <f>VLOOKUP(F1995,Carrier_Category!A:B,2,0)</f>
        <v>Commuter</v>
      </c>
      <c r="H1995" s="5">
        <v>191</v>
      </c>
      <c r="I1995" s="7">
        <f t="shared" si="94"/>
        <v>26</v>
      </c>
      <c r="J1995" s="5">
        <v>5227</v>
      </c>
      <c r="K1995" s="18">
        <f t="shared" si="96"/>
        <v>27.366492146596858</v>
      </c>
    </row>
    <row r="1996" spans="1:11" x14ac:dyDescent="0.3">
      <c r="A1996" s="14">
        <v>2024</v>
      </c>
      <c r="B1996" s="14">
        <f t="shared" si="95"/>
        <v>32</v>
      </c>
      <c r="C1996" s="9">
        <v>45509</v>
      </c>
      <c r="D1996" s="9">
        <v>45513</v>
      </c>
      <c r="E1996" s="14">
        <f>VLOOKUP(F1996,CarrierID!A:B,2,0)</f>
        <v>12</v>
      </c>
      <c r="F1996" s="15" t="s">
        <v>25</v>
      </c>
      <c r="G1996" t="str">
        <f>VLOOKUP(F1996,Carrier_Category!A:B,2,0)</f>
        <v>Commuter</v>
      </c>
      <c r="H1996" s="5">
        <v>24</v>
      </c>
      <c r="I1996" s="7">
        <f t="shared" si="94"/>
        <v>188</v>
      </c>
      <c r="J1996" s="5">
        <v>671</v>
      </c>
      <c r="K1996" s="18">
        <f t="shared" si="96"/>
        <v>27.958333333333332</v>
      </c>
    </row>
    <row r="1997" spans="1:11" x14ac:dyDescent="0.3">
      <c r="A1997" s="14">
        <v>2024</v>
      </c>
      <c r="B1997" s="14">
        <f t="shared" si="95"/>
        <v>32</v>
      </c>
      <c r="C1997" s="9">
        <v>45509</v>
      </c>
      <c r="D1997" s="9">
        <v>45513</v>
      </c>
      <c r="E1997" s="14">
        <f>VLOOKUP(F1997,CarrierID!A:B,2,0)</f>
        <v>10</v>
      </c>
      <c r="F1997" s="15" t="s">
        <v>8</v>
      </c>
      <c r="G1997" t="str">
        <f>VLOOKUP(F1997,Carrier_Category!A:B,2,0)</f>
        <v>Intercity</v>
      </c>
      <c r="H1997" s="5">
        <v>33</v>
      </c>
      <c r="I1997" s="7">
        <f t="shared" ref="I1997:I2060" si="97">H1986</f>
        <v>24</v>
      </c>
      <c r="J1997" s="5">
        <v>1067</v>
      </c>
      <c r="K1997" s="18">
        <f t="shared" si="96"/>
        <v>32.333333333333336</v>
      </c>
    </row>
    <row r="1998" spans="1:11" x14ac:dyDescent="0.3">
      <c r="A1998" s="14">
        <v>2024</v>
      </c>
      <c r="B1998" s="14">
        <f t="shared" si="95"/>
        <v>32</v>
      </c>
      <c r="C1998" s="9">
        <v>45509</v>
      </c>
      <c r="D1998" s="9">
        <v>45513</v>
      </c>
      <c r="E1998" s="14">
        <f>VLOOKUP(F1998,CarrierID!A:B,2,0)</f>
        <v>6</v>
      </c>
      <c r="F1998" s="15" t="s">
        <v>9</v>
      </c>
      <c r="G1998" t="str">
        <f>VLOOKUP(F1998,Carrier_Category!A:B,2,0)</f>
        <v>Commuter</v>
      </c>
      <c r="H1998" s="5">
        <v>78</v>
      </c>
      <c r="I1998" s="7">
        <f t="shared" si="97"/>
        <v>32</v>
      </c>
      <c r="J1998" s="5">
        <v>1528</v>
      </c>
      <c r="K1998" s="18">
        <f t="shared" si="96"/>
        <v>19.589743589743591</v>
      </c>
    </row>
    <row r="1999" spans="1:11" x14ac:dyDescent="0.3">
      <c r="A1999" s="14">
        <v>2024</v>
      </c>
      <c r="B1999" s="14">
        <f t="shared" si="95"/>
        <v>33</v>
      </c>
      <c r="C1999" s="9">
        <v>45516</v>
      </c>
      <c r="D1999" s="9">
        <v>45520</v>
      </c>
      <c r="E1999" s="14">
        <f>VLOOKUP(F1999,CarrierID!A:B,2,0)</f>
        <v>1</v>
      </c>
      <c r="F1999" s="15" t="s">
        <v>0</v>
      </c>
      <c r="G1999" t="str">
        <f>VLOOKUP(F1999,Carrier_Category!A:B,2,0)</f>
        <v>Commuter</v>
      </c>
      <c r="H1999" s="5">
        <v>45</v>
      </c>
      <c r="I1999" s="7">
        <f t="shared" si="97"/>
        <v>78</v>
      </c>
      <c r="J1999" s="5">
        <v>1354</v>
      </c>
      <c r="K1999" s="18">
        <f t="shared" si="96"/>
        <v>30.088888888888889</v>
      </c>
    </row>
    <row r="2000" spans="1:11" x14ac:dyDescent="0.3">
      <c r="A2000" s="14">
        <v>2024</v>
      </c>
      <c r="B2000" s="14">
        <f t="shared" si="95"/>
        <v>33</v>
      </c>
      <c r="C2000" s="9">
        <v>45516</v>
      </c>
      <c r="D2000" s="9">
        <v>45520</v>
      </c>
      <c r="E2000" s="14">
        <f>VLOOKUP(F2000,CarrierID!A:B,2,0)</f>
        <v>5</v>
      </c>
      <c r="F2000" s="15" t="s">
        <v>1</v>
      </c>
      <c r="G2000" t="str">
        <f>VLOOKUP(F2000,Carrier_Category!A:B,2,0)</f>
        <v>Intercity</v>
      </c>
      <c r="H2000" s="5">
        <v>58</v>
      </c>
      <c r="I2000" s="7">
        <f t="shared" si="97"/>
        <v>45</v>
      </c>
      <c r="J2000" s="5">
        <v>1962</v>
      </c>
      <c r="K2000" s="18">
        <f t="shared" si="96"/>
        <v>33.827586206896555</v>
      </c>
    </row>
    <row r="2001" spans="1:11" x14ac:dyDescent="0.3">
      <c r="A2001" s="14">
        <v>2024</v>
      </c>
      <c r="B2001" s="14">
        <f t="shared" si="95"/>
        <v>33</v>
      </c>
      <c r="C2001" s="9">
        <v>45516</v>
      </c>
      <c r="D2001" s="9">
        <v>45520</v>
      </c>
      <c r="E2001" s="14">
        <f>VLOOKUP(F2001,CarrierID!A:B,2,0)</f>
        <v>8</v>
      </c>
      <c r="F2001" s="15" t="s">
        <v>2</v>
      </c>
      <c r="G2001" t="str">
        <f>VLOOKUP(F2001,Carrier_Category!A:B,2,0)</f>
        <v>Commuter</v>
      </c>
      <c r="H2001" s="5">
        <v>18</v>
      </c>
      <c r="I2001" s="7">
        <f t="shared" si="97"/>
        <v>58</v>
      </c>
      <c r="J2001" s="5">
        <v>755</v>
      </c>
      <c r="K2001" s="18">
        <f t="shared" si="96"/>
        <v>41.944444444444443</v>
      </c>
    </row>
    <row r="2002" spans="1:11" x14ac:dyDescent="0.3">
      <c r="A2002" s="14">
        <v>2024</v>
      </c>
      <c r="B2002" s="14">
        <f t="shared" si="95"/>
        <v>33</v>
      </c>
      <c r="C2002" s="9">
        <v>45516</v>
      </c>
      <c r="D2002" s="9">
        <v>45520</v>
      </c>
      <c r="E2002" s="14">
        <f>VLOOKUP(F2002,CarrierID!A:B,2,0)</f>
        <v>9</v>
      </c>
      <c r="F2002" s="15" t="s">
        <v>3</v>
      </c>
      <c r="G2002" t="str">
        <f>VLOOKUP(F2002,Carrier_Category!A:B,2,0)</f>
        <v>NJT</v>
      </c>
      <c r="H2002" s="5">
        <v>2434</v>
      </c>
      <c r="I2002" s="7">
        <f t="shared" si="97"/>
        <v>18</v>
      </c>
      <c r="J2002" s="5">
        <v>78940</v>
      </c>
      <c r="K2002" s="18">
        <f t="shared" si="96"/>
        <v>32.432210353327854</v>
      </c>
    </row>
    <row r="2003" spans="1:11" x14ac:dyDescent="0.3">
      <c r="A2003" s="14">
        <v>2024</v>
      </c>
      <c r="B2003" s="14">
        <f t="shared" si="95"/>
        <v>33</v>
      </c>
      <c r="C2003" s="9">
        <v>45516</v>
      </c>
      <c r="D2003" s="9">
        <v>45520</v>
      </c>
      <c r="E2003" s="14">
        <f>VLOOKUP(F2003,CarrierID!A:B,2,0)</f>
        <v>7</v>
      </c>
      <c r="F2003" s="15" t="s">
        <v>4</v>
      </c>
      <c r="G2003" t="str">
        <f>VLOOKUP(F2003,Carrier_Category!A:B,2,0)</f>
        <v>Commuter</v>
      </c>
      <c r="H2003" s="5">
        <v>42</v>
      </c>
      <c r="I2003" s="7">
        <f t="shared" si="97"/>
        <v>2421</v>
      </c>
      <c r="J2003" s="5">
        <v>1342</v>
      </c>
      <c r="K2003" s="18">
        <f t="shared" si="96"/>
        <v>31.952380952380953</v>
      </c>
    </row>
    <row r="2004" spans="1:11" x14ac:dyDescent="0.3">
      <c r="A2004" s="14">
        <v>2024</v>
      </c>
      <c r="B2004" s="14">
        <f t="shared" si="95"/>
        <v>33</v>
      </c>
      <c r="C2004" s="9">
        <v>45516</v>
      </c>
      <c r="D2004" s="9">
        <v>45520</v>
      </c>
      <c r="E2004" s="14">
        <f>VLOOKUP(F2004,CarrierID!A:B,2,0)</f>
        <v>11</v>
      </c>
      <c r="F2004" s="15" t="s">
        <v>5</v>
      </c>
      <c r="G2004" t="str">
        <f>VLOOKUP(F2004,Carrier_Category!A:B,2,0)</f>
        <v>Intercity</v>
      </c>
      <c r="H2004" s="5">
        <v>26</v>
      </c>
      <c r="I2004" s="7">
        <f t="shared" si="97"/>
        <v>42</v>
      </c>
      <c r="J2004" s="5">
        <v>699</v>
      </c>
      <c r="K2004" s="18">
        <f t="shared" si="96"/>
        <v>26.884615384615383</v>
      </c>
    </row>
    <row r="2005" spans="1:11" x14ac:dyDescent="0.3">
      <c r="A2005" s="14">
        <v>2024</v>
      </c>
      <c r="B2005" s="14">
        <f t="shared" si="95"/>
        <v>33</v>
      </c>
      <c r="C2005" s="9">
        <v>45516</v>
      </c>
      <c r="D2005" s="9">
        <v>45520</v>
      </c>
      <c r="E2005" s="14">
        <f>VLOOKUP(F2005,CarrierID!A:B,2,0)</f>
        <v>3</v>
      </c>
      <c r="F2005" s="15" t="s">
        <v>6</v>
      </c>
      <c r="G2005" t="str">
        <f>VLOOKUP(F2005,Carrier_Category!A:B,2,0)</f>
        <v>Commuter</v>
      </c>
      <c r="H2005" s="5">
        <v>190</v>
      </c>
      <c r="I2005" s="7">
        <f t="shared" si="97"/>
        <v>26</v>
      </c>
      <c r="J2005" s="5">
        <v>5228</v>
      </c>
      <c r="K2005" s="18">
        <f t="shared" si="96"/>
        <v>27.515789473684212</v>
      </c>
    </row>
    <row r="2006" spans="1:11" x14ac:dyDescent="0.3">
      <c r="A2006" s="14">
        <v>2024</v>
      </c>
      <c r="B2006" s="14">
        <f t="shared" si="95"/>
        <v>33</v>
      </c>
      <c r="C2006" s="9">
        <v>45516</v>
      </c>
      <c r="D2006" s="9">
        <v>45520</v>
      </c>
      <c r="E2006" s="14">
        <f>VLOOKUP(F2006,CarrierID!A:B,2,0)</f>
        <v>12</v>
      </c>
      <c r="F2006" s="15" t="s">
        <v>25</v>
      </c>
      <c r="G2006" t="str">
        <f>VLOOKUP(F2006,Carrier_Category!A:B,2,0)</f>
        <v>Commuter</v>
      </c>
      <c r="H2006" s="5">
        <v>24</v>
      </c>
      <c r="I2006" s="7">
        <f t="shared" si="97"/>
        <v>191</v>
      </c>
      <c r="J2006" s="5">
        <v>617</v>
      </c>
      <c r="K2006" s="18">
        <f t="shared" si="96"/>
        <v>25.708333333333332</v>
      </c>
    </row>
    <row r="2007" spans="1:11" x14ac:dyDescent="0.3">
      <c r="A2007" s="14">
        <v>2024</v>
      </c>
      <c r="B2007" s="14">
        <f t="shared" si="95"/>
        <v>33</v>
      </c>
      <c r="C2007" s="9">
        <v>45516</v>
      </c>
      <c r="D2007" s="9">
        <v>45520</v>
      </c>
      <c r="E2007" s="14">
        <f>VLOOKUP(F2007,CarrierID!A:B,2,0)</f>
        <v>10</v>
      </c>
      <c r="F2007" s="15" t="s">
        <v>8</v>
      </c>
      <c r="G2007" t="str">
        <f>VLOOKUP(F2007,Carrier_Category!A:B,2,0)</f>
        <v>Intercity</v>
      </c>
      <c r="H2007" s="5">
        <v>34</v>
      </c>
      <c r="I2007" s="7">
        <f t="shared" si="97"/>
        <v>24</v>
      </c>
      <c r="J2007" s="5">
        <v>1100</v>
      </c>
      <c r="K2007" s="18">
        <f t="shared" si="96"/>
        <v>32.352941176470587</v>
      </c>
    </row>
    <row r="2008" spans="1:11" x14ac:dyDescent="0.3">
      <c r="A2008" s="14">
        <v>2024</v>
      </c>
      <c r="B2008" s="14">
        <f t="shared" si="95"/>
        <v>33</v>
      </c>
      <c r="C2008" s="9">
        <v>45516</v>
      </c>
      <c r="D2008" s="9">
        <v>45520</v>
      </c>
      <c r="E2008" s="14">
        <f>VLOOKUP(F2008,CarrierID!A:B,2,0)</f>
        <v>6</v>
      </c>
      <c r="F2008" s="15" t="s">
        <v>9</v>
      </c>
      <c r="G2008" t="str">
        <f>VLOOKUP(F2008,Carrier_Category!A:B,2,0)</f>
        <v>Commuter</v>
      </c>
      <c r="H2008" s="5">
        <v>78</v>
      </c>
      <c r="I2008" s="7">
        <f t="shared" si="97"/>
        <v>33</v>
      </c>
      <c r="J2008" s="5">
        <v>1528</v>
      </c>
      <c r="K2008" s="18">
        <f t="shared" si="96"/>
        <v>19.589743589743591</v>
      </c>
    </row>
    <row r="2009" spans="1:11" x14ac:dyDescent="0.3">
      <c r="A2009" s="14">
        <v>2024</v>
      </c>
      <c r="B2009" s="14">
        <f t="shared" si="95"/>
        <v>34</v>
      </c>
      <c r="C2009" s="9">
        <v>45523</v>
      </c>
      <c r="D2009" s="9">
        <v>45527</v>
      </c>
      <c r="E2009" s="14">
        <f>VLOOKUP(F2009,CarrierID!A:B,2,0)</f>
        <v>1</v>
      </c>
      <c r="F2009" s="15" t="s">
        <v>0</v>
      </c>
      <c r="G2009" t="str">
        <f>VLOOKUP(F2009,Carrier_Category!A:B,2,0)</f>
        <v>Commuter</v>
      </c>
      <c r="H2009" s="5">
        <v>45</v>
      </c>
      <c r="I2009" s="7">
        <f t="shared" si="97"/>
        <v>78</v>
      </c>
      <c r="J2009" s="5">
        <v>1276</v>
      </c>
      <c r="K2009" s="18">
        <f t="shared" si="96"/>
        <v>28.355555555555554</v>
      </c>
    </row>
    <row r="2010" spans="1:11" x14ac:dyDescent="0.3">
      <c r="A2010" s="14">
        <v>2024</v>
      </c>
      <c r="B2010" s="14">
        <f t="shared" si="95"/>
        <v>34</v>
      </c>
      <c r="C2010" s="9">
        <v>45523</v>
      </c>
      <c r="D2010" s="9">
        <v>45527</v>
      </c>
      <c r="E2010" s="14">
        <f>VLOOKUP(F2010,CarrierID!A:B,2,0)</f>
        <v>5</v>
      </c>
      <c r="F2010" s="15" t="s">
        <v>1</v>
      </c>
      <c r="G2010" t="str">
        <f>VLOOKUP(F2010,Carrier_Category!A:B,2,0)</f>
        <v>Intercity</v>
      </c>
      <c r="H2010" s="5">
        <v>58</v>
      </c>
      <c r="I2010" s="7">
        <f t="shared" si="97"/>
        <v>45</v>
      </c>
      <c r="J2010" s="5">
        <v>2123</v>
      </c>
      <c r="K2010" s="18">
        <f t="shared" si="96"/>
        <v>36.603448275862071</v>
      </c>
    </row>
    <row r="2011" spans="1:11" x14ac:dyDescent="0.3">
      <c r="A2011" s="14">
        <v>2024</v>
      </c>
      <c r="B2011" s="14">
        <f t="shared" si="95"/>
        <v>34</v>
      </c>
      <c r="C2011" s="9">
        <v>45523</v>
      </c>
      <c r="D2011" s="9">
        <v>45527</v>
      </c>
      <c r="E2011" s="14">
        <f>VLOOKUP(F2011,CarrierID!A:B,2,0)</f>
        <v>8</v>
      </c>
      <c r="F2011" s="15" t="s">
        <v>2</v>
      </c>
      <c r="G2011" t="str">
        <f>VLOOKUP(F2011,Carrier_Category!A:B,2,0)</f>
        <v>Commuter</v>
      </c>
      <c r="H2011" s="5">
        <v>18</v>
      </c>
      <c r="I2011" s="7">
        <f t="shared" si="97"/>
        <v>58</v>
      </c>
      <c r="J2011" s="5">
        <v>744</v>
      </c>
      <c r="K2011" s="18">
        <f t="shared" si="96"/>
        <v>41.333333333333336</v>
      </c>
    </row>
    <row r="2012" spans="1:11" x14ac:dyDescent="0.3">
      <c r="A2012" s="14">
        <v>2024</v>
      </c>
      <c r="B2012" s="14">
        <f t="shared" si="95"/>
        <v>34</v>
      </c>
      <c r="C2012" s="9">
        <v>45523</v>
      </c>
      <c r="D2012" s="9">
        <v>45527</v>
      </c>
      <c r="E2012" s="14">
        <f>VLOOKUP(F2012,CarrierID!A:B,2,0)</f>
        <v>9</v>
      </c>
      <c r="F2012" s="15" t="s">
        <v>3</v>
      </c>
      <c r="G2012" t="str">
        <f>VLOOKUP(F2012,Carrier_Category!A:B,2,0)</f>
        <v>NJT</v>
      </c>
      <c r="H2012" s="5">
        <v>2406</v>
      </c>
      <c r="I2012" s="7">
        <f t="shared" si="97"/>
        <v>18</v>
      </c>
      <c r="J2012" s="5">
        <v>78900</v>
      </c>
      <c r="K2012" s="18">
        <f t="shared" si="96"/>
        <v>32.793017456359102</v>
      </c>
    </row>
    <row r="2013" spans="1:11" x14ac:dyDescent="0.3">
      <c r="A2013" s="14">
        <v>2024</v>
      </c>
      <c r="B2013" s="14">
        <f t="shared" si="95"/>
        <v>34</v>
      </c>
      <c r="C2013" s="9">
        <v>45523</v>
      </c>
      <c r="D2013" s="9">
        <v>45527</v>
      </c>
      <c r="E2013" s="14">
        <f>VLOOKUP(F2013,CarrierID!A:B,2,0)</f>
        <v>7</v>
      </c>
      <c r="F2013" s="15" t="s">
        <v>4</v>
      </c>
      <c r="G2013" t="str">
        <f>VLOOKUP(F2013,Carrier_Category!A:B,2,0)</f>
        <v>Commuter</v>
      </c>
      <c r="H2013" s="5">
        <v>42</v>
      </c>
      <c r="I2013" s="7">
        <f t="shared" si="97"/>
        <v>2434</v>
      </c>
      <c r="J2013" s="5">
        <v>1331</v>
      </c>
      <c r="K2013" s="18">
        <f t="shared" si="96"/>
        <v>31.69047619047619</v>
      </c>
    </row>
    <row r="2014" spans="1:11" x14ac:dyDescent="0.3">
      <c r="A2014" s="14">
        <v>2024</v>
      </c>
      <c r="B2014" s="14">
        <f t="shared" si="95"/>
        <v>34</v>
      </c>
      <c r="C2014" s="9">
        <v>45523</v>
      </c>
      <c r="D2014" s="9">
        <v>45527</v>
      </c>
      <c r="E2014" s="14">
        <f>VLOOKUP(F2014,CarrierID!A:B,2,0)</f>
        <v>11</v>
      </c>
      <c r="F2014" s="15" t="s">
        <v>5</v>
      </c>
      <c r="G2014" t="str">
        <f>VLOOKUP(F2014,Carrier_Category!A:B,2,0)</f>
        <v>Intercity</v>
      </c>
      <c r="H2014" s="5">
        <v>26</v>
      </c>
      <c r="I2014" s="7">
        <f t="shared" si="97"/>
        <v>42</v>
      </c>
      <c r="J2014" s="5">
        <v>699</v>
      </c>
      <c r="K2014" s="18">
        <f t="shared" si="96"/>
        <v>26.884615384615383</v>
      </c>
    </row>
    <row r="2015" spans="1:11" x14ac:dyDescent="0.3">
      <c r="A2015" s="14">
        <v>2024</v>
      </c>
      <c r="B2015" s="14">
        <f t="shared" si="95"/>
        <v>34</v>
      </c>
      <c r="C2015" s="9">
        <v>45523</v>
      </c>
      <c r="D2015" s="9">
        <v>45527</v>
      </c>
      <c r="E2015" s="14">
        <f>VLOOKUP(F2015,CarrierID!A:B,2,0)</f>
        <v>3</v>
      </c>
      <c r="F2015" s="15" t="s">
        <v>6</v>
      </c>
      <c r="G2015" t="str">
        <f>VLOOKUP(F2015,Carrier_Category!A:B,2,0)</f>
        <v>Commuter</v>
      </c>
      <c r="H2015" s="5">
        <v>188</v>
      </c>
      <c r="I2015" s="7">
        <f t="shared" si="97"/>
        <v>26</v>
      </c>
      <c r="J2015" s="5">
        <v>5070</v>
      </c>
      <c r="K2015" s="18">
        <f t="shared" si="96"/>
        <v>26.968085106382979</v>
      </c>
    </row>
    <row r="2016" spans="1:11" x14ac:dyDescent="0.3">
      <c r="A2016" s="14">
        <v>2024</v>
      </c>
      <c r="B2016" s="14">
        <f t="shared" si="95"/>
        <v>34</v>
      </c>
      <c r="C2016" s="9">
        <v>45523</v>
      </c>
      <c r="D2016" s="9">
        <v>45527</v>
      </c>
      <c r="E2016" s="14">
        <f>VLOOKUP(F2016,CarrierID!A:B,2,0)</f>
        <v>12</v>
      </c>
      <c r="F2016" s="15" t="s">
        <v>25</v>
      </c>
      <c r="G2016" t="str">
        <f>VLOOKUP(F2016,Carrier_Category!A:B,2,0)</f>
        <v>Commuter</v>
      </c>
      <c r="H2016" s="5">
        <v>24</v>
      </c>
      <c r="I2016" s="7">
        <f t="shared" si="97"/>
        <v>190</v>
      </c>
      <c r="J2016" s="5">
        <v>623</v>
      </c>
      <c r="K2016" s="18">
        <f t="shared" si="96"/>
        <v>25.958333333333332</v>
      </c>
    </row>
    <row r="2017" spans="1:11" x14ac:dyDescent="0.3">
      <c r="A2017" s="14">
        <v>2024</v>
      </c>
      <c r="B2017" s="14">
        <f t="shared" si="95"/>
        <v>34</v>
      </c>
      <c r="C2017" s="9">
        <v>45523</v>
      </c>
      <c r="D2017" s="9">
        <v>45527</v>
      </c>
      <c r="E2017" s="14">
        <f>VLOOKUP(F2017,CarrierID!A:B,2,0)</f>
        <v>10</v>
      </c>
      <c r="F2017" s="15" t="s">
        <v>8</v>
      </c>
      <c r="G2017" t="str">
        <f>VLOOKUP(F2017,Carrier_Category!A:B,2,0)</f>
        <v>Intercity</v>
      </c>
      <c r="H2017" s="5">
        <v>44</v>
      </c>
      <c r="I2017" s="7">
        <f t="shared" si="97"/>
        <v>24</v>
      </c>
      <c r="J2017" s="5">
        <v>1875</v>
      </c>
      <c r="K2017" s="18">
        <f t="shared" si="96"/>
        <v>42.613636363636367</v>
      </c>
    </row>
    <row r="2018" spans="1:11" x14ac:dyDescent="0.3">
      <c r="A2018" s="14">
        <v>2024</v>
      </c>
      <c r="B2018" s="14">
        <f t="shared" si="95"/>
        <v>34</v>
      </c>
      <c r="C2018" s="9">
        <v>45523</v>
      </c>
      <c r="D2018" s="9">
        <v>45527</v>
      </c>
      <c r="E2018" s="14">
        <f>VLOOKUP(F2018,CarrierID!A:B,2,0)</f>
        <v>6</v>
      </c>
      <c r="F2018" s="15" t="s">
        <v>9</v>
      </c>
      <c r="G2018" t="str">
        <f>VLOOKUP(F2018,Carrier_Category!A:B,2,0)</f>
        <v>Commuter</v>
      </c>
      <c r="H2018" s="5">
        <v>78</v>
      </c>
      <c r="I2018" s="7">
        <f t="shared" si="97"/>
        <v>34</v>
      </c>
      <c r="J2018" s="5">
        <v>1528</v>
      </c>
      <c r="K2018" s="18">
        <f t="shared" si="96"/>
        <v>19.589743589743591</v>
      </c>
    </row>
    <row r="2019" spans="1:11" x14ac:dyDescent="0.3">
      <c r="A2019" s="14">
        <v>2024</v>
      </c>
      <c r="B2019" s="14">
        <f t="shared" si="95"/>
        <v>35</v>
      </c>
      <c r="C2019" s="9">
        <v>45530</v>
      </c>
      <c r="D2019" s="9">
        <v>45534</v>
      </c>
      <c r="E2019" s="14">
        <f>VLOOKUP(F2019,CarrierID!A:B,2,0)</f>
        <v>1</v>
      </c>
      <c r="F2019" s="15" t="s">
        <v>0</v>
      </c>
      <c r="G2019" t="str">
        <f>VLOOKUP(F2019,Carrier_Category!A:B,2,0)</f>
        <v>Commuter</v>
      </c>
      <c r="H2019" s="5">
        <v>45</v>
      </c>
      <c r="I2019" s="7">
        <f t="shared" si="97"/>
        <v>78</v>
      </c>
      <c r="J2019" s="5">
        <v>1134</v>
      </c>
      <c r="K2019" s="18">
        <f t="shared" si="96"/>
        <v>25.2</v>
      </c>
    </row>
    <row r="2020" spans="1:11" x14ac:dyDescent="0.3">
      <c r="A2020" s="14">
        <v>2024</v>
      </c>
      <c r="B2020" s="14">
        <f t="shared" si="95"/>
        <v>35</v>
      </c>
      <c r="C2020" s="9">
        <v>45530</v>
      </c>
      <c r="D2020" s="9">
        <v>45534</v>
      </c>
      <c r="E2020" s="14">
        <f>VLOOKUP(F2020,CarrierID!A:B,2,0)</f>
        <v>5</v>
      </c>
      <c r="F2020" s="15" t="s">
        <v>1</v>
      </c>
      <c r="G2020" t="str">
        <f>VLOOKUP(F2020,Carrier_Category!A:B,2,0)</f>
        <v>Intercity</v>
      </c>
      <c r="H2020" s="5">
        <v>58</v>
      </c>
      <c r="I2020" s="7">
        <f t="shared" si="97"/>
        <v>45</v>
      </c>
      <c r="J2020" s="5">
        <v>1886</v>
      </c>
      <c r="K2020" s="18">
        <f t="shared" si="96"/>
        <v>32.517241379310342</v>
      </c>
    </row>
    <row r="2021" spans="1:11" x14ac:dyDescent="0.3">
      <c r="A2021" s="14">
        <v>2024</v>
      </c>
      <c r="B2021" s="14">
        <f t="shared" si="95"/>
        <v>35</v>
      </c>
      <c r="C2021" s="9">
        <v>45530</v>
      </c>
      <c r="D2021" s="9">
        <v>45534</v>
      </c>
      <c r="E2021" s="14">
        <f>VLOOKUP(F2021,CarrierID!A:B,2,0)</f>
        <v>8</v>
      </c>
      <c r="F2021" s="15" t="s">
        <v>2</v>
      </c>
      <c r="G2021" t="str">
        <f>VLOOKUP(F2021,Carrier_Category!A:B,2,0)</f>
        <v>Commuter</v>
      </c>
      <c r="H2021" s="5">
        <v>18</v>
      </c>
      <c r="I2021" s="7">
        <f t="shared" si="97"/>
        <v>58</v>
      </c>
      <c r="J2021" s="5">
        <v>770</v>
      </c>
      <c r="K2021" s="18">
        <f t="shared" si="96"/>
        <v>42.777777777777779</v>
      </c>
    </row>
    <row r="2022" spans="1:11" x14ac:dyDescent="0.3">
      <c r="A2022" s="14">
        <v>2024</v>
      </c>
      <c r="B2022" s="14">
        <f t="shared" si="95"/>
        <v>35</v>
      </c>
      <c r="C2022" s="9">
        <v>45530</v>
      </c>
      <c r="D2022" s="9">
        <v>45534</v>
      </c>
      <c r="E2022" s="14">
        <f>VLOOKUP(F2022,CarrierID!A:B,2,0)</f>
        <v>9</v>
      </c>
      <c r="F2022" s="15" t="s">
        <v>3</v>
      </c>
      <c r="G2022" t="str">
        <f>VLOOKUP(F2022,Carrier_Category!A:B,2,0)</f>
        <v>NJT</v>
      </c>
      <c r="H2022" s="5">
        <v>2382</v>
      </c>
      <c r="I2022" s="7">
        <f t="shared" si="97"/>
        <v>18</v>
      </c>
      <c r="J2022" s="5">
        <v>86709</v>
      </c>
      <c r="K2022" s="18">
        <f t="shared" si="96"/>
        <v>36.401763224181359</v>
      </c>
    </row>
    <row r="2023" spans="1:11" x14ac:dyDescent="0.3">
      <c r="A2023" s="14">
        <v>2024</v>
      </c>
      <c r="B2023" s="14">
        <f t="shared" si="95"/>
        <v>35</v>
      </c>
      <c r="C2023" s="9">
        <v>45530</v>
      </c>
      <c r="D2023" s="9">
        <v>45534</v>
      </c>
      <c r="E2023" s="14">
        <f>VLOOKUP(F2023,CarrierID!A:B,2,0)</f>
        <v>7</v>
      </c>
      <c r="F2023" s="15" t="s">
        <v>4</v>
      </c>
      <c r="G2023" t="str">
        <f>VLOOKUP(F2023,Carrier_Category!A:B,2,0)</f>
        <v>Commuter</v>
      </c>
      <c r="H2023" s="5">
        <v>42</v>
      </c>
      <c r="I2023" s="7">
        <f t="shared" si="97"/>
        <v>2406</v>
      </c>
      <c r="J2023" s="5">
        <v>1085</v>
      </c>
      <c r="K2023" s="18">
        <f t="shared" si="96"/>
        <v>25.833333333333332</v>
      </c>
    </row>
    <row r="2024" spans="1:11" x14ac:dyDescent="0.3">
      <c r="A2024" s="14">
        <v>2024</v>
      </c>
      <c r="B2024" s="14">
        <f t="shared" si="95"/>
        <v>35</v>
      </c>
      <c r="C2024" s="9">
        <v>45530</v>
      </c>
      <c r="D2024" s="9">
        <v>45534</v>
      </c>
      <c r="E2024" s="14">
        <f>VLOOKUP(F2024,CarrierID!A:B,2,0)</f>
        <v>11</v>
      </c>
      <c r="F2024" s="15" t="s">
        <v>5</v>
      </c>
      <c r="G2024" t="str">
        <f>VLOOKUP(F2024,Carrier_Category!A:B,2,0)</f>
        <v>Intercity</v>
      </c>
      <c r="H2024" s="5">
        <v>26</v>
      </c>
      <c r="I2024" s="7">
        <f t="shared" si="97"/>
        <v>42</v>
      </c>
      <c r="J2024" s="5">
        <v>699</v>
      </c>
      <c r="K2024" s="18">
        <f t="shared" si="96"/>
        <v>26.884615384615383</v>
      </c>
    </row>
    <row r="2025" spans="1:11" x14ac:dyDescent="0.3">
      <c r="A2025" s="14">
        <v>2024</v>
      </c>
      <c r="B2025" s="14">
        <f t="shared" si="95"/>
        <v>35</v>
      </c>
      <c r="C2025" s="9">
        <v>45530</v>
      </c>
      <c r="D2025" s="9">
        <v>45534</v>
      </c>
      <c r="E2025" s="14">
        <f>VLOOKUP(F2025,CarrierID!A:B,2,0)</f>
        <v>3</v>
      </c>
      <c r="F2025" s="15" t="s">
        <v>6</v>
      </c>
      <c r="G2025" t="str">
        <f>VLOOKUP(F2025,Carrier_Category!A:B,2,0)</f>
        <v>Commuter</v>
      </c>
      <c r="H2025" s="5">
        <v>182</v>
      </c>
      <c r="I2025" s="7">
        <f t="shared" si="97"/>
        <v>26</v>
      </c>
      <c r="J2025" s="5">
        <v>4489</v>
      </c>
      <c r="K2025" s="18">
        <f t="shared" si="96"/>
        <v>24.664835164835164</v>
      </c>
    </row>
    <row r="2026" spans="1:11" x14ac:dyDescent="0.3">
      <c r="A2026" s="14">
        <v>2024</v>
      </c>
      <c r="B2026" s="14">
        <f t="shared" si="95"/>
        <v>35</v>
      </c>
      <c r="C2026" s="9">
        <v>45530</v>
      </c>
      <c r="D2026" s="9">
        <v>45534</v>
      </c>
      <c r="E2026" s="14">
        <f>VLOOKUP(F2026,CarrierID!A:B,2,0)</f>
        <v>12</v>
      </c>
      <c r="F2026" s="15" t="s">
        <v>25</v>
      </c>
      <c r="G2026" t="str">
        <f>VLOOKUP(F2026,Carrier_Category!A:B,2,0)</f>
        <v>Commuter</v>
      </c>
      <c r="H2026" s="5">
        <v>24</v>
      </c>
      <c r="I2026" s="7">
        <f t="shared" si="97"/>
        <v>188</v>
      </c>
      <c r="J2026" s="5">
        <v>623</v>
      </c>
      <c r="K2026" s="18">
        <f t="shared" si="96"/>
        <v>25.958333333333332</v>
      </c>
    </row>
    <row r="2027" spans="1:11" x14ac:dyDescent="0.3">
      <c r="A2027" s="14">
        <v>2024</v>
      </c>
      <c r="B2027" s="14">
        <f t="shared" si="95"/>
        <v>35</v>
      </c>
      <c r="C2027" s="9">
        <v>45530</v>
      </c>
      <c r="D2027" s="9">
        <v>45534</v>
      </c>
      <c r="E2027" s="14">
        <f>VLOOKUP(F2027,CarrierID!A:B,2,0)</f>
        <v>10</v>
      </c>
      <c r="F2027" s="15" t="s">
        <v>8</v>
      </c>
      <c r="G2027" t="str">
        <f>VLOOKUP(F2027,Carrier_Category!A:B,2,0)</f>
        <v>Intercity</v>
      </c>
      <c r="H2027" s="5">
        <v>45</v>
      </c>
      <c r="I2027" s="7">
        <f t="shared" si="97"/>
        <v>24</v>
      </c>
      <c r="J2027" s="5">
        <v>1599</v>
      </c>
      <c r="K2027" s="18">
        <f t="shared" si="96"/>
        <v>35.533333333333331</v>
      </c>
    </row>
    <row r="2028" spans="1:11" x14ac:dyDescent="0.3">
      <c r="A2028" s="14">
        <v>2024</v>
      </c>
      <c r="B2028" s="14">
        <f t="shared" si="95"/>
        <v>35</v>
      </c>
      <c r="C2028" s="9">
        <v>45530</v>
      </c>
      <c r="D2028" s="9">
        <v>45534</v>
      </c>
      <c r="E2028" s="14">
        <f>VLOOKUP(F2028,CarrierID!A:B,2,0)</f>
        <v>6</v>
      </c>
      <c r="F2028" s="15" t="s">
        <v>9</v>
      </c>
      <c r="G2028" t="str">
        <f>VLOOKUP(F2028,Carrier_Category!A:B,2,0)</f>
        <v>Commuter</v>
      </c>
      <c r="H2028" s="5">
        <v>78</v>
      </c>
      <c r="I2028" s="7">
        <f t="shared" si="97"/>
        <v>44</v>
      </c>
      <c r="J2028" s="5">
        <v>1528</v>
      </c>
      <c r="K2028" s="18">
        <f t="shared" si="96"/>
        <v>19.589743589743591</v>
      </c>
    </row>
    <row r="2029" spans="1:11" x14ac:dyDescent="0.3">
      <c r="A2029" s="14">
        <v>2024</v>
      </c>
      <c r="B2029" s="14">
        <f t="shared" si="95"/>
        <v>36</v>
      </c>
      <c r="C2029" s="9">
        <v>45537</v>
      </c>
      <c r="D2029" s="9">
        <v>45632</v>
      </c>
      <c r="E2029" s="14">
        <f>VLOOKUP(F2029,CarrierID!A:B,2,0)</f>
        <v>1</v>
      </c>
      <c r="F2029" s="15" t="s">
        <v>0</v>
      </c>
      <c r="G2029" t="str">
        <f>VLOOKUP(F2029,Carrier_Category!A:B,2,0)</f>
        <v>Commuter</v>
      </c>
      <c r="H2029" s="5">
        <v>23</v>
      </c>
      <c r="I2029" s="7">
        <f t="shared" si="97"/>
        <v>78</v>
      </c>
      <c r="J2029" s="5">
        <v>1350</v>
      </c>
      <c r="K2029" s="18">
        <f t="shared" si="96"/>
        <v>58.695652173913047</v>
      </c>
    </row>
    <row r="2030" spans="1:11" x14ac:dyDescent="0.3">
      <c r="A2030" s="14">
        <v>2024</v>
      </c>
      <c r="B2030" s="14">
        <f t="shared" si="95"/>
        <v>36</v>
      </c>
      <c r="C2030" s="9">
        <v>45537</v>
      </c>
      <c r="D2030" s="9">
        <v>45632</v>
      </c>
      <c r="E2030" s="14">
        <f>VLOOKUP(F2030,CarrierID!A:B,2,0)</f>
        <v>5</v>
      </c>
      <c r="F2030" s="15" t="s">
        <v>1</v>
      </c>
      <c r="G2030" t="str">
        <f>VLOOKUP(F2030,Carrier_Category!A:B,2,0)</f>
        <v>Intercity</v>
      </c>
      <c r="H2030" s="5">
        <v>58</v>
      </c>
      <c r="I2030" s="7">
        <f t="shared" si="97"/>
        <v>45</v>
      </c>
      <c r="J2030" s="5">
        <v>1788</v>
      </c>
      <c r="K2030" s="18">
        <f t="shared" si="96"/>
        <v>30.827586206896552</v>
      </c>
    </row>
    <row r="2031" spans="1:11" x14ac:dyDescent="0.3">
      <c r="A2031" s="14">
        <v>2024</v>
      </c>
      <c r="B2031" s="14">
        <f t="shared" si="95"/>
        <v>36</v>
      </c>
      <c r="C2031" s="9">
        <v>45537</v>
      </c>
      <c r="D2031" s="9">
        <v>45632</v>
      </c>
      <c r="E2031" s="14">
        <f>VLOOKUP(F2031,CarrierID!A:B,2,0)</f>
        <v>8</v>
      </c>
      <c r="F2031" s="15" t="s">
        <v>2</v>
      </c>
      <c r="G2031" t="str">
        <f>VLOOKUP(F2031,Carrier_Category!A:B,2,0)</f>
        <v>Commuter</v>
      </c>
      <c r="H2031" s="5">
        <v>15</v>
      </c>
      <c r="I2031" s="7">
        <f t="shared" si="97"/>
        <v>58</v>
      </c>
      <c r="J2031" s="5">
        <v>626</v>
      </c>
      <c r="K2031" s="18">
        <f t="shared" si="96"/>
        <v>41.733333333333334</v>
      </c>
    </row>
    <row r="2032" spans="1:11" x14ac:dyDescent="0.3">
      <c r="A2032" s="14">
        <v>2024</v>
      </c>
      <c r="B2032" s="14">
        <f t="shared" si="95"/>
        <v>36</v>
      </c>
      <c r="C2032" s="9">
        <v>45537</v>
      </c>
      <c r="D2032" s="9">
        <v>45632</v>
      </c>
      <c r="E2032" s="14">
        <f>VLOOKUP(F2032,CarrierID!A:B,2,0)</f>
        <v>9</v>
      </c>
      <c r="F2032" s="15" t="s">
        <v>3</v>
      </c>
      <c r="G2032" t="str">
        <f>VLOOKUP(F2032,Carrier_Category!A:B,2,0)</f>
        <v>NJT</v>
      </c>
      <c r="H2032" s="5">
        <v>2414</v>
      </c>
      <c r="I2032" s="7">
        <f t="shared" si="97"/>
        <v>18</v>
      </c>
      <c r="J2032" s="5">
        <v>85373</v>
      </c>
      <c r="K2032" s="18">
        <f t="shared" si="96"/>
        <v>35.365782932891463</v>
      </c>
    </row>
    <row r="2033" spans="1:11" x14ac:dyDescent="0.3">
      <c r="A2033" s="14">
        <v>2024</v>
      </c>
      <c r="B2033" s="14">
        <f t="shared" si="95"/>
        <v>36</v>
      </c>
      <c r="C2033" s="9">
        <v>45537</v>
      </c>
      <c r="D2033" s="9">
        <v>45632</v>
      </c>
      <c r="E2033" s="14">
        <f>VLOOKUP(F2033,CarrierID!A:B,2,0)</f>
        <v>7</v>
      </c>
      <c r="F2033" s="15" t="s">
        <v>4</v>
      </c>
      <c r="G2033" t="str">
        <f>VLOOKUP(F2033,Carrier_Category!A:B,2,0)</f>
        <v>Commuter</v>
      </c>
      <c r="H2033" s="5">
        <v>38</v>
      </c>
      <c r="I2033" s="7">
        <f t="shared" si="97"/>
        <v>2382</v>
      </c>
      <c r="J2033" s="5">
        <v>1152</v>
      </c>
      <c r="K2033" s="18">
        <f t="shared" si="96"/>
        <v>30.315789473684209</v>
      </c>
    </row>
    <row r="2034" spans="1:11" x14ac:dyDescent="0.3">
      <c r="A2034" s="14">
        <v>2024</v>
      </c>
      <c r="B2034" s="14">
        <f t="shared" si="95"/>
        <v>36</v>
      </c>
      <c r="C2034" s="9">
        <v>45537</v>
      </c>
      <c r="D2034" s="9">
        <v>45632</v>
      </c>
      <c r="E2034" s="14">
        <f>VLOOKUP(F2034,CarrierID!A:B,2,0)</f>
        <v>11</v>
      </c>
      <c r="F2034" s="15" t="s">
        <v>5</v>
      </c>
      <c r="G2034" t="str">
        <f>VLOOKUP(F2034,Carrier_Category!A:B,2,0)</f>
        <v>Intercity</v>
      </c>
      <c r="H2034" s="5">
        <v>26</v>
      </c>
      <c r="I2034" s="7">
        <f t="shared" si="97"/>
        <v>42</v>
      </c>
      <c r="J2034" s="5">
        <v>699</v>
      </c>
      <c r="K2034" s="18">
        <f t="shared" si="96"/>
        <v>26.884615384615383</v>
      </c>
    </row>
    <row r="2035" spans="1:11" x14ac:dyDescent="0.3">
      <c r="A2035" s="14">
        <v>2024</v>
      </c>
      <c r="B2035" s="14">
        <f t="shared" si="95"/>
        <v>36</v>
      </c>
      <c r="C2035" s="9">
        <v>45537</v>
      </c>
      <c r="D2035" s="9">
        <v>45632</v>
      </c>
      <c r="E2035" s="14">
        <f>VLOOKUP(F2035,CarrierID!A:B,2,0)</f>
        <v>3</v>
      </c>
      <c r="F2035" s="15" t="s">
        <v>6</v>
      </c>
      <c r="G2035" t="str">
        <f>VLOOKUP(F2035,Carrier_Category!A:B,2,0)</f>
        <v>Commuter</v>
      </c>
      <c r="H2035" s="5">
        <v>162</v>
      </c>
      <c r="I2035" s="7">
        <f t="shared" si="97"/>
        <v>26</v>
      </c>
      <c r="J2035" s="5">
        <v>4457</v>
      </c>
      <c r="K2035" s="18">
        <f t="shared" si="96"/>
        <v>27.512345679012345</v>
      </c>
    </row>
    <row r="2036" spans="1:11" x14ac:dyDescent="0.3">
      <c r="A2036" s="14">
        <v>2024</v>
      </c>
      <c r="B2036" s="14">
        <f t="shared" si="95"/>
        <v>36</v>
      </c>
      <c r="C2036" s="9">
        <v>45537</v>
      </c>
      <c r="D2036" s="9">
        <v>45632</v>
      </c>
      <c r="E2036" s="14">
        <f>VLOOKUP(F2036,CarrierID!A:B,2,0)</f>
        <v>12</v>
      </c>
      <c r="F2036" s="15" t="s">
        <v>25</v>
      </c>
      <c r="G2036" t="str">
        <f>VLOOKUP(F2036,Carrier_Category!A:B,2,0)</f>
        <v>Commuter</v>
      </c>
      <c r="H2036" s="5">
        <v>20</v>
      </c>
      <c r="I2036" s="7">
        <f t="shared" si="97"/>
        <v>182</v>
      </c>
      <c r="J2036" s="5">
        <v>548</v>
      </c>
      <c r="K2036" s="18">
        <f t="shared" si="96"/>
        <v>27.4</v>
      </c>
    </row>
    <row r="2037" spans="1:11" x14ac:dyDescent="0.3">
      <c r="A2037" s="14">
        <v>2024</v>
      </c>
      <c r="B2037" s="14">
        <f t="shared" si="95"/>
        <v>36</v>
      </c>
      <c r="C2037" s="9">
        <v>45537</v>
      </c>
      <c r="D2037" s="9">
        <v>45632</v>
      </c>
      <c r="E2037" s="14">
        <f>VLOOKUP(F2037,CarrierID!A:B,2,0)</f>
        <v>10</v>
      </c>
      <c r="F2037" s="15" t="s">
        <v>8</v>
      </c>
      <c r="G2037" t="str">
        <f>VLOOKUP(F2037,Carrier_Category!A:B,2,0)</f>
        <v>Intercity</v>
      </c>
      <c r="H2037" s="5">
        <v>45</v>
      </c>
      <c r="I2037" s="7">
        <f t="shared" si="97"/>
        <v>24</v>
      </c>
      <c r="J2037" s="5">
        <v>1875</v>
      </c>
      <c r="K2037" s="18">
        <f t="shared" si="96"/>
        <v>41.666666666666664</v>
      </c>
    </row>
    <row r="2038" spans="1:11" x14ac:dyDescent="0.3">
      <c r="A2038" s="14">
        <v>2024</v>
      </c>
      <c r="B2038" s="14">
        <f t="shared" si="95"/>
        <v>36</v>
      </c>
      <c r="C2038" s="9">
        <v>45537</v>
      </c>
      <c r="D2038" s="9">
        <v>45632</v>
      </c>
      <c r="E2038" s="14">
        <f>VLOOKUP(F2038,CarrierID!A:B,2,0)</f>
        <v>6</v>
      </c>
      <c r="F2038" s="15" t="s">
        <v>9</v>
      </c>
      <c r="G2038" t="str">
        <f>VLOOKUP(F2038,Carrier_Category!A:B,2,0)</f>
        <v>Commuter</v>
      </c>
      <c r="H2038" s="5">
        <v>78</v>
      </c>
      <c r="I2038" s="7">
        <f t="shared" si="97"/>
        <v>45</v>
      </c>
      <c r="J2038" s="5">
        <v>1528</v>
      </c>
      <c r="K2038" s="18">
        <f t="shared" si="96"/>
        <v>19.589743589743591</v>
      </c>
    </row>
    <row r="2039" spans="1:11" x14ac:dyDescent="0.3">
      <c r="A2039" s="14">
        <v>2024</v>
      </c>
      <c r="B2039" s="14">
        <f t="shared" si="95"/>
        <v>37</v>
      </c>
      <c r="C2039" s="9">
        <v>45544</v>
      </c>
      <c r="D2039" s="9">
        <v>45629</v>
      </c>
      <c r="E2039" s="14">
        <f>VLOOKUP(F2039,CarrierID!A:B,2,0)</f>
        <v>1</v>
      </c>
      <c r="F2039" s="15" t="s">
        <v>0</v>
      </c>
      <c r="G2039" t="str">
        <f>VLOOKUP(F2039,Carrier_Category!A:B,2,0)</f>
        <v>Commuter</v>
      </c>
      <c r="H2039" s="5">
        <v>45</v>
      </c>
      <c r="I2039" s="7">
        <f t="shared" si="97"/>
        <v>78</v>
      </c>
      <c r="J2039" s="5">
        <v>1488</v>
      </c>
      <c r="K2039" s="18">
        <f t="shared" si="96"/>
        <v>33.06666666666667</v>
      </c>
    </row>
    <row r="2040" spans="1:11" x14ac:dyDescent="0.3">
      <c r="A2040" s="14">
        <v>2024</v>
      </c>
      <c r="B2040" s="14">
        <f t="shared" si="95"/>
        <v>37</v>
      </c>
      <c r="C2040" s="9">
        <v>45544</v>
      </c>
      <c r="D2040" s="9">
        <v>45629</v>
      </c>
      <c r="E2040" s="14">
        <f>VLOOKUP(F2040,CarrierID!A:B,2,0)</f>
        <v>5</v>
      </c>
      <c r="F2040" s="15" t="s">
        <v>1</v>
      </c>
      <c r="G2040" t="str">
        <f>VLOOKUP(F2040,Carrier_Category!A:B,2,0)</f>
        <v>Intercity</v>
      </c>
      <c r="H2040" s="5">
        <v>58</v>
      </c>
      <c r="I2040" s="7">
        <f t="shared" si="97"/>
        <v>23</v>
      </c>
      <c r="J2040" s="5">
        <v>1465</v>
      </c>
      <c r="K2040" s="18">
        <f t="shared" si="96"/>
        <v>25.258620689655171</v>
      </c>
    </row>
    <row r="2041" spans="1:11" x14ac:dyDescent="0.3">
      <c r="A2041" s="14">
        <v>2024</v>
      </c>
      <c r="B2041" s="14">
        <f t="shared" si="95"/>
        <v>37</v>
      </c>
      <c r="C2041" s="9">
        <v>45544</v>
      </c>
      <c r="D2041" s="9">
        <v>45629</v>
      </c>
      <c r="E2041" s="14">
        <f>VLOOKUP(F2041,CarrierID!A:B,2,0)</f>
        <v>8</v>
      </c>
      <c r="F2041" s="15" t="s">
        <v>2</v>
      </c>
      <c r="G2041" t="str">
        <f>VLOOKUP(F2041,Carrier_Category!A:B,2,0)</f>
        <v>Commuter</v>
      </c>
      <c r="H2041" s="5">
        <v>18</v>
      </c>
      <c r="I2041" s="7">
        <f t="shared" si="97"/>
        <v>58</v>
      </c>
      <c r="J2041" s="5">
        <v>746</v>
      </c>
      <c r="K2041" s="18">
        <f t="shared" si="96"/>
        <v>41.444444444444443</v>
      </c>
    </row>
    <row r="2042" spans="1:11" x14ac:dyDescent="0.3">
      <c r="A2042" s="14">
        <v>2024</v>
      </c>
      <c r="B2042" s="14">
        <f t="shared" si="95"/>
        <v>37</v>
      </c>
      <c r="C2042" s="9">
        <v>45544</v>
      </c>
      <c r="D2042" s="9">
        <v>45629</v>
      </c>
      <c r="E2042" s="14">
        <f>VLOOKUP(F2042,CarrierID!A:B,2,0)</f>
        <v>9</v>
      </c>
      <c r="F2042" s="15" t="s">
        <v>3</v>
      </c>
      <c r="G2042" t="str">
        <f>VLOOKUP(F2042,Carrier_Category!A:B,2,0)</f>
        <v>NJT</v>
      </c>
      <c r="H2042" s="5">
        <v>2419</v>
      </c>
      <c r="I2042" s="7">
        <f t="shared" si="97"/>
        <v>15</v>
      </c>
      <c r="J2042" s="5">
        <v>87753</v>
      </c>
      <c r="K2042" s="18">
        <f t="shared" si="96"/>
        <v>36.276560562215792</v>
      </c>
    </row>
    <row r="2043" spans="1:11" x14ac:dyDescent="0.3">
      <c r="A2043" s="14">
        <v>2024</v>
      </c>
      <c r="B2043" s="14">
        <f t="shared" si="95"/>
        <v>37</v>
      </c>
      <c r="C2043" s="9">
        <v>45544</v>
      </c>
      <c r="D2043" s="9">
        <v>45629</v>
      </c>
      <c r="E2043" s="14">
        <f>VLOOKUP(F2043,CarrierID!A:B,2,0)</f>
        <v>7</v>
      </c>
      <c r="F2043" s="15" t="s">
        <v>4</v>
      </c>
      <c r="G2043" t="str">
        <f>VLOOKUP(F2043,Carrier_Category!A:B,2,0)</f>
        <v>Commuter</v>
      </c>
      <c r="H2043" s="5">
        <v>42</v>
      </c>
      <c r="I2043" s="7">
        <f t="shared" si="97"/>
        <v>2414</v>
      </c>
      <c r="J2043" s="5">
        <v>1487</v>
      </c>
      <c r="K2043" s="18">
        <f t="shared" si="96"/>
        <v>35.404761904761905</v>
      </c>
    </row>
    <row r="2044" spans="1:11" x14ac:dyDescent="0.3">
      <c r="A2044" s="14">
        <v>2024</v>
      </c>
      <c r="B2044" s="14">
        <f t="shared" si="95"/>
        <v>37</v>
      </c>
      <c r="C2044" s="9">
        <v>45544</v>
      </c>
      <c r="D2044" s="9">
        <v>45629</v>
      </c>
      <c r="E2044" s="14">
        <f>VLOOKUP(F2044,CarrierID!A:B,2,0)</f>
        <v>11</v>
      </c>
      <c r="F2044" s="15" t="s">
        <v>5</v>
      </c>
      <c r="G2044" t="str">
        <f>VLOOKUP(F2044,Carrier_Category!A:B,2,0)</f>
        <v>Intercity</v>
      </c>
      <c r="H2044" s="5">
        <v>23</v>
      </c>
      <c r="I2044" s="7">
        <f t="shared" si="97"/>
        <v>38</v>
      </c>
      <c r="J2044" s="5">
        <v>448</v>
      </c>
      <c r="K2044" s="18">
        <f t="shared" si="96"/>
        <v>19.478260869565219</v>
      </c>
    </row>
    <row r="2045" spans="1:11" x14ac:dyDescent="0.3">
      <c r="A2045" s="14">
        <v>2024</v>
      </c>
      <c r="B2045" s="14">
        <f t="shared" si="95"/>
        <v>37</v>
      </c>
      <c r="C2045" s="9">
        <v>45544</v>
      </c>
      <c r="D2045" s="9">
        <v>45629</v>
      </c>
      <c r="E2045" s="14">
        <f>VLOOKUP(F2045,CarrierID!A:B,2,0)</f>
        <v>3</v>
      </c>
      <c r="F2045" s="15" t="s">
        <v>6</v>
      </c>
      <c r="G2045" t="str">
        <f>VLOOKUP(F2045,Carrier_Category!A:B,2,0)</f>
        <v>Commuter</v>
      </c>
      <c r="H2045" s="5">
        <v>189</v>
      </c>
      <c r="I2045" s="7">
        <f t="shared" si="97"/>
        <v>26</v>
      </c>
      <c r="J2045" s="5">
        <v>5566</v>
      </c>
      <c r="K2045" s="18">
        <f t="shared" si="96"/>
        <v>29.449735449735449</v>
      </c>
    </row>
    <row r="2046" spans="1:11" x14ac:dyDescent="0.3">
      <c r="A2046" s="14">
        <v>2024</v>
      </c>
      <c r="B2046" s="14">
        <f t="shared" si="95"/>
        <v>37</v>
      </c>
      <c r="C2046" s="9">
        <v>45544</v>
      </c>
      <c r="D2046" s="9">
        <v>45629</v>
      </c>
      <c r="E2046" s="14">
        <f>VLOOKUP(F2046,CarrierID!A:B,2,0)</f>
        <v>12</v>
      </c>
      <c r="F2046" s="15" t="s">
        <v>25</v>
      </c>
      <c r="G2046" t="str">
        <f>VLOOKUP(F2046,Carrier_Category!A:B,2,0)</f>
        <v>Commuter</v>
      </c>
      <c r="H2046" s="5">
        <v>24</v>
      </c>
      <c r="I2046" s="7">
        <f t="shared" si="97"/>
        <v>162</v>
      </c>
      <c r="J2046" s="5">
        <v>664</v>
      </c>
      <c r="K2046" s="18">
        <f t="shared" si="96"/>
        <v>27.666666666666668</v>
      </c>
    </row>
    <row r="2047" spans="1:11" x14ac:dyDescent="0.3">
      <c r="A2047" s="14">
        <v>2024</v>
      </c>
      <c r="B2047" s="14">
        <f t="shared" si="95"/>
        <v>37</v>
      </c>
      <c r="C2047" s="9">
        <v>45544</v>
      </c>
      <c r="D2047" s="9">
        <v>45629</v>
      </c>
      <c r="E2047" s="14">
        <f>VLOOKUP(F2047,CarrierID!A:B,2,0)</f>
        <v>10</v>
      </c>
      <c r="F2047" s="15" t="s">
        <v>8</v>
      </c>
      <c r="G2047" t="str">
        <f>VLOOKUP(F2047,Carrier_Category!A:B,2,0)</f>
        <v>Intercity</v>
      </c>
      <c r="H2047" s="5">
        <v>45</v>
      </c>
      <c r="I2047" s="7">
        <f t="shared" si="97"/>
        <v>20</v>
      </c>
      <c r="J2047" s="5">
        <v>1875</v>
      </c>
      <c r="K2047" s="18">
        <f t="shared" si="96"/>
        <v>41.666666666666664</v>
      </c>
    </row>
    <row r="2048" spans="1:11" x14ac:dyDescent="0.3">
      <c r="A2048" s="14">
        <v>2024</v>
      </c>
      <c r="B2048" s="14">
        <f t="shared" si="95"/>
        <v>37</v>
      </c>
      <c r="C2048" s="9">
        <v>45544</v>
      </c>
      <c r="D2048" s="9">
        <v>45629</v>
      </c>
      <c r="E2048" s="14">
        <f>VLOOKUP(F2048,CarrierID!A:B,2,0)</f>
        <v>6</v>
      </c>
      <c r="F2048" s="15" t="s">
        <v>9</v>
      </c>
      <c r="G2048" t="str">
        <f>VLOOKUP(F2048,Carrier_Category!A:B,2,0)</f>
        <v>Commuter</v>
      </c>
      <c r="H2048" s="5">
        <v>83</v>
      </c>
      <c r="I2048" s="7">
        <f t="shared" si="97"/>
        <v>45</v>
      </c>
      <c r="J2048" s="5">
        <v>1684</v>
      </c>
      <c r="K2048" s="18">
        <f t="shared" si="96"/>
        <v>20.289156626506024</v>
      </c>
    </row>
    <row r="2049" spans="1:11" x14ac:dyDescent="0.3">
      <c r="A2049" s="14">
        <v>2024</v>
      </c>
      <c r="B2049" s="14">
        <f t="shared" si="95"/>
        <v>38</v>
      </c>
      <c r="C2049" s="9">
        <v>45551</v>
      </c>
      <c r="D2049" s="9">
        <v>45626</v>
      </c>
      <c r="E2049" s="14">
        <f>VLOOKUP(F2049,CarrierID!A:B,2,0)</f>
        <v>1</v>
      </c>
      <c r="F2049" s="15" t="s">
        <v>0</v>
      </c>
      <c r="G2049" t="str">
        <f>VLOOKUP(F2049,Carrier_Category!A:B,2,0)</f>
        <v>Commuter</v>
      </c>
      <c r="H2049" s="5">
        <v>45</v>
      </c>
      <c r="I2049" s="7">
        <f t="shared" si="97"/>
        <v>78</v>
      </c>
      <c r="J2049" s="5">
        <v>1472</v>
      </c>
      <c r="K2049" s="18">
        <f t="shared" si="96"/>
        <v>32.711111111111109</v>
      </c>
    </row>
    <row r="2050" spans="1:11" x14ac:dyDescent="0.3">
      <c r="A2050" s="14">
        <v>2024</v>
      </c>
      <c r="B2050" s="14">
        <f t="shared" si="95"/>
        <v>38</v>
      </c>
      <c r="C2050" s="9">
        <v>45551</v>
      </c>
      <c r="D2050" s="9">
        <v>45626</v>
      </c>
      <c r="E2050" s="14">
        <f>VLOOKUP(F2050,CarrierID!A:B,2,0)</f>
        <v>5</v>
      </c>
      <c r="F2050" s="15" t="s">
        <v>1</v>
      </c>
      <c r="G2050" t="str">
        <f>VLOOKUP(F2050,Carrier_Category!A:B,2,0)</f>
        <v>Intercity</v>
      </c>
      <c r="H2050" s="5">
        <v>58</v>
      </c>
      <c r="I2050" s="7">
        <f t="shared" si="97"/>
        <v>45</v>
      </c>
      <c r="J2050" s="5">
        <v>1181</v>
      </c>
      <c r="K2050" s="18">
        <f t="shared" si="96"/>
        <v>20.362068965517242</v>
      </c>
    </row>
    <row r="2051" spans="1:11" x14ac:dyDescent="0.3">
      <c r="A2051" s="14">
        <v>2024</v>
      </c>
      <c r="B2051" s="14">
        <f t="shared" si="95"/>
        <v>38</v>
      </c>
      <c r="C2051" s="9">
        <v>45551</v>
      </c>
      <c r="D2051" s="9">
        <v>45626</v>
      </c>
      <c r="E2051" s="14">
        <f>VLOOKUP(F2051,CarrierID!A:B,2,0)</f>
        <v>8</v>
      </c>
      <c r="F2051" s="15" t="s">
        <v>2</v>
      </c>
      <c r="G2051" t="str">
        <f>VLOOKUP(F2051,Carrier_Category!A:B,2,0)</f>
        <v>Commuter</v>
      </c>
      <c r="H2051" s="5">
        <v>18</v>
      </c>
      <c r="I2051" s="7">
        <f t="shared" si="97"/>
        <v>58</v>
      </c>
      <c r="J2051" s="5">
        <v>771</v>
      </c>
      <c r="K2051" s="18">
        <f t="shared" si="96"/>
        <v>42.833333333333336</v>
      </c>
    </row>
    <row r="2052" spans="1:11" x14ac:dyDescent="0.3">
      <c r="A2052" s="14">
        <v>2024</v>
      </c>
      <c r="B2052" s="14">
        <f t="shared" si="95"/>
        <v>38</v>
      </c>
      <c r="C2052" s="9">
        <v>45551</v>
      </c>
      <c r="D2052" s="9">
        <v>45626</v>
      </c>
      <c r="E2052" s="14">
        <f>VLOOKUP(F2052,CarrierID!A:B,2,0)</f>
        <v>9</v>
      </c>
      <c r="F2052" s="15" t="s">
        <v>3</v>
      </c>
      <c r="G2052" t="str">
        <f>VLOOKUP(F2052,Carrier_Category!A:B,2,0)</f>
        <v>NJT</v>
      </c>
      <c r="H2052" s="5">
        <v>2419</v>
      </c>
      <c r="I2052" s="7">
        <f t="shared" si="97"/>
        <v>18</v>
      </c>
      <c r="J2052" s="5">
        <v>87202</v>
      </c>
      <c r="K2052" s="18">
        <f t="shared" si="96"/>
        <v>36.048780487804876</v>
      </c>
    </row>
    <row r="2053" spans="1:11" x14ac:dyDescent="0.3">
      <c r="A2053" s="14">
        <v>2024</v>
      </c>
      <c r="B2053" s="14">
        <f t="shared" ref="B2053:B2116" si="98">_xlfn.ISOWEEKNUM(C2053)</f>
        <v>38</v>
      </c>
      <c r="C2053" s="9">
        <v>45551</v>
      </c>
      <c r="D2053" s="9">
        <v>45626</v>
      </c>
      <c r="E2053" s="14">
        <f>VLOOKUP(F2053,CarrierID!A:B,2,0)</f>
        <v>7</v>
      </c>
      <c r="F2053" s="15" t="s">
        <v>4</v>
      </c>
      <c r="G2053" t="str">
        <f>VLOOKUP(F2053,Carrier_Category!A:B,2,0)</f>
        <v>Commuter</v>
      </c>
      <c r="H2053" s="5">
        <v>42</v>
      </c>
      <c r="I2053" s="7">
        <f t="shared" si="97"/>
        <v>2419</v>
      </c>
      <c r="J2053" s="5">
        <v>1475</v>
      </c>
      <c r="K2053" s="18">
        <f t="shared" ref="K2053:K2116" si="99">J2053/H2053</f>
        <v>35.11904761904762</v>
      </c>
    </row>
    <row r="2054" spans="1:11" x14ac:dyDescent="0.3">
      <c r="A2054" s="14">
        <v>2024</v>
      </c>
      <c r="B2054" s="14">
        <f t="shared" si="98"/>
        <v>38</v>
      </c>
      <c r="C2054" s="9">
        <v>45551</v>
      </c>
      <c r="D2054" s="9">
        <v>45626</v>
      </c>
      <c r="E2054" s="14">
        <f>VLOOKUP(F2054,CarrierID!A:B,2,0)</f>
        <v>11</v>
      </c>
      <c r="F2054" s="15" t="s">
        <v>5</v>
      </c>
      <c r="G2054" t="str">
        <f>VLOOKUP(F2054,Carrier_Category!A:B,2,0)</f>
        <v>Intercity</v>
      </c>
      <c r="H2054" s="5">
        <v>23</v>
      </c>
      <c r="I2054" s="7">
        <f t="shared" si="97"/>
        <v>42</v>
      </c>
      <c r="J2054" s="5">
        <v>494</v>
      </c>
      <c r="K2054" s="18">
        <f t="shared" si="99"/>
        <v>21.478260869565219</v>
      </c>
    </row>
    <row r="2055" spans="1:11" x14ac:dyDescent="0.3">
      <c r="A2055" s="14">
        <v>2024</v>
      </c>
      <c r="B2055" s="14">
        <f t="shared" si="98"/>
        <v>38</v>
      </c>
      <c r="C2055" s="9">
        <v>45551</v>
      </c>
      <c r="D2055" s="9">
        <v>45626</v>
      </c>
      <c r="E2055" s="14">
        <f>VLOOKUP(F2055,CarrierID!A:B,2,0)</f>
        <v>3</v>
      </c>
      <c r="F2055" s="15" t="s">
        <v>6</v>
      </c>
      <c r="G2055" t="str">
        <f>VLOOKUP(F2055,Carrier_Category!A:B,2,0)</f>
        <v>Commuter</v>
      </c>
      <c r="H2055" s="5">
        <v>186</v>
      </c>
      <c r="I2055" s="7">
        <f t="shared" si="97"/>
        <v>23</v>
      </c>
      <c r="J2055" s="5">
        <v>5695</v>
      </c>
      <c r="K2055" s="18">
        <f t="shared" si="99"/>
        <v>30.618279569892472</v>
      </c>
    </row>
    <row r="2056" spans="1:11" x14ac:dyDescent="0.3">
      <c r="A2056" s="14">
        <v>2024</v>
      </c>
      <c r="B2056" s="14">
        <f t="shared" si="98"/>
        <v>38</v>
      </c>
      <c r="C2056" s="9">
        <v>45551</v>
      </c>
      <c r="D2056" s="9">
        <v>45626</v>
      </c>
      <c r="E2056" s="14">
        <f>VLOOKUP(F2056,CarrierID!A:B,2,0)</f>
        <v>12</v>
      </c>
      <c r="F2056" s="15" t="s">
        <v>25</v>
      </c>
      <c r="G2056" t="str">
        <f>VLOOKUP(F2056,Carrier_Category!A:B,2,0)</f>
        <v>Commuter</v>
      </c>
      <c r="H2056" s="5">
        <v>23</v>
      </c>
      <c r="I2056" s="7">
        <f t="shared" si="97"/>
        <v>189</v>
      </c>
      <c r="J2056" s="5">
        <v>702</v>
      </c>
      <c r="K2056" s="18">
        <f t="shared" si="99"/>
        <v>30.521739130434781</v>
      </c>
    </row>
    <row r="2057" spans="1:11" x14ac:dyDescent="0.3">
      <c r="A2057" s="14">
        <v>2024</v>
      </c>
      <c r="B2057" s="14">
        <f t="shared" si="98"/>
        <v>38</v>
      </c>
      <c r="C2057" s="9">
        <v>45551</v>
      </c>
      <c r="D2057" s="9">
        <v>45626</v>
      </c>
      <c r="E2057" s="14">
        <f>VLOOKUP(F2057,CarrierID!A:B,2,0)</f>
        <v>10</v>
      </c>
      <c r="F2057" s="15" t="s">
        <v>8</v>
      </c>
      <c r="G2057" t="str">
        <f>VLOOKUP(F2057,Carrier_Category!A:B,2,0)</f>
        <v>Intercity</v>
      </c>
      <c r="H2057" s="5">
        <v>45</v>
      </c>
      <c r="I2057" s="7">
        <f t="shared" si="97"/>
        <v>24</v>
      </c>
      <c r="J2057" s="5">
        <v>1875</v>
      </c>
      <c r="K2057" s="18">
        <f t="shared" si="99"/>
        <v>41.666666666666664</v>
      </c>
    </row>
    <row r="2058" spans="1:11" x14ac:dyDescent="0.3">
      <c r="A2058" s="14">
        <v>2024</v>
      </c>
      <c r="B2058" s="14">
        <f t="shared" si="98"/>
        <v>38</v>
      </c>
      <c r="C2058" s="9">
        <v>45551</v>
      </c>
      <c r="D2058" s="9">
        <v>45626</v>
      </c>
      <c r="E2058" s="14">
        <f>VLOOKUP(F2058,CarrierID!A:B,2,0)</f>
        <v>6</v>
      </c>
      <c r="F2058" s="15" t="s">
        <v>9</v>
      </c>
      <c r="G2058" t="str">
        <f>VLOOKUP(F2058,Carrier_Category!A:B,2,0)</f>
        <v>Commuter</v>
      </c>
      <c r="H2058" s="5">
        <v>86</v>
      </c>
      <c r="I2058" s="7">
        <f t="shared" si="97"/>
        <v>45</v>
      </c>
      <c r="J2058" s="5">
        <v>1770</v>
      </c>
      <c r="K2058" s="18">
        <f t="shared" si="99"/>
        <v>20.581395348837209</v>
      </c>
    </row>
    <row r="2059" spans="1:11" x14ac:dyDescent="0.3">
      <c r="A2059" s="14">
        <v>2024</v>
      </c>
      <c r="B2059" s="14">
        <f t="shared" si="98"/>
        <v>39</v>
      </c>
      <c r="C2059" s="9">
        <v>45558</v>
      </c>
      <c r="D2059" s="9">
        <v>45633</v>
      </c>
      <c r="E2059" s="14">
        <f>VLOOKUP(F2059,CarrierID!A:B,2,0)</f>
        <v>1</v>
      </c>
      <c r="F2059" s="15" t="s">
        <v>0</v>
      </c>
      <c r="G2059" t="str">
        <f>VLOOKUP(F2059,Carrier_Category!A:B,2,0)</f>
        <v>Commuter</v>
      </c>
      <c r="H2059" s="5">
        <v>45</v>
      </c>
      <c r="I2059" s="7">
        <f t="shared" si="97"/>
        <v>83</v>
      </c>
      <c r="J2059" s="5">
        <v>1487</v>
      </c>
      <c r="K2059" s="18">
        <f t="shared" si="99"/>
        <v>33.044444444444444</v>
      </c>
    </row>
    <row r="2060" spans="1:11" x14ac:dyDescent="0.3">
      <c r="A2060" s="14">
        <v>2024</v>
      </c>
      <c r="B2060" s="14">
        <f t="shared" si="98"/>
        <v>39</v>
      </c>
      <c r="C2060" s="9">
        <v>45558</v>
      </c>
      <c r="D2060" s="9">
        <v>45633</v>
      </c>
      <c r="E2060" s="14">
        <f>VLOOKUP(F2060,CarrierID!A:B,2,0)</f>
        <v>5</v>
      </c>
      <c r="F2060" s="15" t="s">
        <v>1</v>
      </c>
      <c r="G2060" t="str">
        <f>VLOOKUP(F2060,Carrier_Category!A:B,2,0)</f>
        <v>Intercity</v>
      </c>
      <c r="H2060" s="5">
        <v>50</v>
      </c>
      <c r="I2060" s="7">
        <f t="shared" si="97"/>
        <v>45</v>
      </c>
      <c r="J2060" s="5">
        <v>1221</v>
      </c>
      <c r="K2060" s="18">
        <f t="shared" si="99"/>
        <v>24.42</v>
      </c>
    </row>
    <row r="2061" spans="1:11" x14ac:dyDescent="0.3">
      <c r="A2061" s="14">
        <v>2024</v>
      </c>
      <c r="B2061" s="14">
        <f t="shared" si="98"/>
        <v>39</v>
      </c>
      <c r="C2061" s="9">
        <v>45558</v>
      </c>
      <c r="D2061" s="9">
        <v>45633</v>
      </c>
      <c r="E2061" s="14">
        <f>VLOOKUP(F2061,CarrierID!A:B,2,0)</f>
        <v>8</v>
      </c>
      <c r="F2061" s="15" t="s">
        <v>2</v>
      </c>
      <c r="G2061" t="str">
        <f>VLOOKUP(F2061,Carrier_Category!A:B,2,0)</f>
        <v>Commuter</v>
      </c>
      <c r="H2061" s="5">
        <v>18</v>
      </c>
      <c r="I2061" s="7">
        <f t="shared" ref="I2061:I2124" si="100">H2050</f>
        <v>58</v>
      </c>
      <c r="J2061" s="5">
        <v>747</v>
      </c>
      <c r="K2061" s="18">
        <f t="shared" si="99"/>
        <v>41.5</v>
      </c>
    </row>
    <row r="2062" spans="1:11" x14ac:dyDescent="0.3">
      <c r="A2062" s="14">
        <v>2024</v>
      </c>
      <c r="B2062" s="14">
        <f t="shared" si="98"/>
        <v>39</v>
      </c>
      <c r="C2062" s="9">
        <v>45558</v>
      </c>
      <c r="D2062" s="9">
        <v>45633</v>
      </c>
      <c r="E2062" s="14">
        <f>VLOOKUP(F2062,CarrierID!A:B,2,0)</f>
        <v>9</v>
      </c>
      <c r="F2062" s="15" t="s">
        <v>3</v>
      </c>
      <c r="G2062" t="str">
        <f>VLOOKUP(F2062,Carrier_Category!A:B,2,0)</f>
        <v>NJT</v>
      </c>
      <c r="H2062" s="5">
        <v>2420</v>
      </c>
      <c r="I2062" s="7">
        <f t="shared" si="100"/>
        <v>18</v>
      </c>
      <c r="J2062" s="5">
        <v>88750</v>
      </c>
      <c r="K2062" s="18">
        <f t="shared" si="99"/>
        <v>36.673553719008261</v>
      </c>
    </row>
    <row r="2063" spans="1:11" x14ac:dyDescent="0.3">
      <c r="A2063" s="14">
        <v>2024</v>
      </c>
      <c r="B2063" s="14">
        <f t="shared" si="98"/>
        <v>39</v>
      </c>
      <c r="C2063" s="9">
        <v>45558</v>
      </c>
      <c r="D2063" s="9">
        <v>45633</v>
      </c>
      <c r="E2063" s="14">
        <f>VLOOKUP(F2063,CarrierID!A:B,2,0)</f>
        <v>7</v>
      </c>
      <c r="F2063" s="15" t="s">
        <v>4</v>
      </c>
      <c r="G2063" t="str">
        <f>VLOOKUP(F2063,Carrier_Category!A:B,2,0)</f>
        <v>Commuter</v>
      </c>
      <c r="H2063" s="5">
        <v>42</v>
      </c>
      <c r="I2063" s="7">
        <f t="shared" si="100"/>
        <v>2419</v>
      </c>
      <c r="J2063" s="5">
        <v>1508</v>
      </c>
      <c r="K2063" s="18">
        <f t="shared" si="99"/>
        <v>35.904761904761905</v>
      </c>
    </row>
    <row r="2064" spans="1:11" x14ac:dyDescent="0.3">
      <c r="A2064" s="14">
        <v>2024</v>
      </c>
      <c r="B2064" s="14">
        <f t="shared" si="98"/>
        <v>39</v>
      </c>
      <c r="C2064" s="9">
        <v>45558</v>
      </c>
      <c r="D2064" s="9">
        <v>45633</v>
      </c>
      <c r="E2064" s="14">
        <f>VLOOKUP(F2064,CarrierID!A:B,2,0)</f>
        <v>11</v>
      </c>
      <c r="F2064" s="15" t="s">
        <v>5</v>
      </c>
      <c r="G2064" t="str">
        <f>VLOOKUP(F2064,Carrier_Category!A:B,2,0)</f>
        <v>Intercity</v>
      </c>
      <c r="H2064" s="5">
        <v>22</v>
      </c>
      <c r="I2064" s="7">
        <f t="shared" si="100"/>
        <v>42</v>
      </c>
      <c r="J2064" s="5">
        <v>505</v>
      </c>
      <c r="K2064" s="18">
        <f t="shared" si="99"/>
        <v>22.954545454545453</v>
      </c>
    </row>
    <row r="2065" spans="1:11" x14ac:dyDescent="0.3">
      <c r="A2065" s="14">
        <v>2024</v>
      </c>
      <c r="B2065" s="14">
        <f t="shared" si="98"/>
        <v>39</v>
      </c>
      <c r="C2065" s="9">
        <v>45558</v>
      </c>
      <c r="D2065" s="9">
        <v>45633</v>
      </c>
      <c r="E2065" s="14">
        <f>VLOOKUP(F2065,CarrierID!A:B,2,0)</f>
        <v>3</v>
      </c>
      <c r="F2065" s="15" t="s">
        <v>6</v>
      </c>
      <c r="G2065" t="str">
        <f>VLOOKUP(F2065,Carrier_Category!A:B,2,0)</f>
        <v>Commuter</v>
      </c>
      <c r="H2065" s="5">
        <v>186</v>
      </c>
      <c r="I2065" s="7">
        <f t="shared" si="100"/>
        <v>23</v>
      </c>
      <c r="J2065" s="5">
        <v>5696</v>
      </c>
      <c r="K2065" s="18">
        <f t="shared" si="99"/>
        <v>30.623655913978496</v>
      </c>
    </row>
    <row r="2066" spans="1:11" x14ac:dyDescent="0.3">
      <c r="A2066" s="14">
        <v>2024</v>
      </c>
      <c r="B2066" s="14">
        <f t="shared" si="98"/>
        <v>39</v>
      </c>
      <c r="C2066" s="9">
        <v>45558</v>
      </c>
      <c r="D2066" s="9">
        <v>45633</v>
      </c>
      <c r="E2066" s="14">
        <f>VLOOKUP(F2066,CarrierID!A:B,2,0)</f>
        <v>12</v>
      </c>
      <c r="F2066" s="15" t="s">
        <v>25</v>
      </c>
      <c r="G2066" t="str">
        <f>VLOOKUP(F2066,Carrier_Category!A:B,2,0)</f>
        <v>Commuter</v>
      </c>
      <c r="H2066" s="5">
        <v>23</v>
      </c>
      <c r="I2066" s="7">
        <f t="shared" si="100"/>
        <v>186</v>
      </c>
      <c r="J2066" s="5">
        <v>661</v>
      </c>
      <c r="K2066" s="18">
        <f t="shared" si="99"/>
        <v>28.739130434782609</v>
      </c>
    </row>
    <row r="2067" spans="1:11" x14ac:dyDescent="0.3">
      <c r="A2067" s="14">
        <v>2024</v>
      </c>
      <c r="B2067" s="14">
        <f t="shared" si="98"/>
        <v>39</v>
      </c>
      <c r="C2067" s="9">
        <v>45558</v>
      </c>
      <c r="D2067" s="9">
        <v>45633</v>
      </c>
      <c r="E2067" s="14">
        <f>VLOOKUP(F2067,CarrierID!A:B,2,0)</f>
        <v>10</v>
      </c>
      <c r="F2067" s="15" t="s">
        <v>8</v>
      </c>
      <c r="G2067" t="str">
        <f>VLOOKUP(F2067,Carrier_Category!A:B,2,0)</f>
        <v>Intercity</v>
      </c>
      <c r="H2067" s="5">
        <v>45</v>
      </c>
      <c r="I2067" s="7">
        <f t="shared" si="100"/>
        <v>23</v>
      </c>
      <c r="J2067" s="5">
        <v>1875</v>
      </c>
      <c r="K2067" s="18">
        <f t="shared" si="99"/>
        <v>41.666666666666664</v>
      </c>
    </row>
    <row r="2068" spans="1:11" x14ac:dyDescent="0.3">
      <c r="A2068" s="14">
        <v>2024</v>
      </c>
      <c r="B2068" s="14">
        <f t="shared" si="98"/>
        <v>39</v>
      </c>
      <c r="C2068" s="9">
        <v>45558</v>
      </c>
      <c r="D2068" s="9">
        <v>45633</v>
      </c>
      <c r="E2068" s="14">
        <f>VLOOKUP(F2068,CarrierID!A:B,2,0)</f>
        <v>6</v>
      </c>
      <c r="F2068" s="15" t="s">
        <v>9</v>
      </c>
      <c r="G2068" t="str">
        <f>VLOOKUP(F2068,Carrier_Category!A:B,2,0)</f>
        <v>Commuter</v>
      </c>
      <c r="H2068" s="5">
        <v>87</v>
      </c>
      <c r="I2068" s="7">
        <f t="shared" si="100"/>
        <v>45</v>
      </c>
      <c r="J2068" s="5">
        <v>1727</v>
      </c>
      <c r="K2068" s="18">
        <f t="shared" si="99"/>
        <v>19.850574712643677</v>
      </c>
    </row>
    <row r="2069" spans="1:11" x14ac:dyDescent="0.3">
      <c r="A2069" s="14">
        <v>2024</v>
      </c>
      <c r="B2069" s="14">
        <f t="shared" si="98"/>
        <v>40</v>
      </c>
      <c r="C2069" s="9">
        <v>45565</v>
      </c>
      <c r="D2069" s="9">
        <v>45569</v>
      </c>
      <c r="E2069" s="14">
        <f>VLOOKUP(F2069,CarrierID!A:B,2,0)</f>
        <v>1</v>
      </c>
      <c r="F2069" s="15" t="s">
        <v>0</v>
      </c>
      <c r="G2069" t="str">
        <f>VLOOKUP(F2069,Carrier_Category!A:B,2,0)</f>
        <v>Commuter</v>
      </c>
      <c r="H2069" s="5">
        <v>44</v>
      </c>
      <c r="I2069" s="7">
        <f t="shared" si="100"/>
        <v>86</v>
      </c>
      <c r="J2069" s="5">
        <v>1446</v>
      </c>
      <c r="K2069" s="18">
        <f t="shared" si="99"/>
        <v>32.863636363636367</v>
      </c>
    </row>
    <row r="2070" spans="1:11" x14ac:dyDescent="0.3">
      <c r="A2070" s="14">
        <v>2024</v>
      </c>
      <c r="B2070" s="14">
        <f t="shared" si="98"/>
        <v>40</v>
      </c>
      <c r="C2070" s="9">
        <v>45565</v>
      </c>
      <c r="D2070" s="9">
        <v>45569</v>
      </c>
      <c r="E2070" s="14">
        <f>VLOOKUP(F2070,CarrierID!A:B,2,0)</f>
        <v>5</v>
      </c>
      <c r="F2070" s="15" t="s">
        <v>1</v>
      </c>
      <c r="G2070" t="str">
        <f>VLOOKUP(F2070,Carrier_Category!A:B,2,0)</f>
        <v>Intercity</v>
      </c>
      <c r="H2070" s="5">
        <v>59</v>
      </c>
      <c r="I2070" s="7">
        <f t="shared" si="100"/>
        <v>45</v>
      </c>
      <c r="J2070" s="5">
        <v>1220</v>
      </c>
      <c r="K2070" s="18">
        <f t="shared" si="99"/>
        <v>20.677966101694917</v>
      </c>
    </row>
    <row r="2071" spans="1:11" x14ac:dyDescent="0.3">
      <c r="A2071" s="14">
        <v>2024</v>
      </c>
      <c r="B2071" s="14">
        <f t="shared" si="98"/>
        <v>40</v>
      </c>
      <c r="C2071" s="9">
        <v>45565</v>
      </c>
      <c r="D2071" s="9">
        <v>45569</v>
      </c>
      <c r="E2071" s="14">
        <f>VLOOKUP(F2071,CarrierID!A:B,2,0)</f>
        <v>8</v>
      </c>
      <c r="F2071" s="15" t="s">
        <v>2</v>
      </c>
      <c r="G2071" t="str">
        <f>VLOOKUP(F2071,Carrier_Category!A:B,2,0)</f>
        <v>Commuter</v>
      </c>
      <c r="H2071" s="5">
        <v>18</v>
      </c>
      <c r="I2071" s="7">
        <f t="shared" si="100"/>
        <v>50</v>
      </c>
      <c r="J2071" s="5">
        <v>773</v>
      </c>
      <c r="K2071" s="18">
        <f t="shared" si="99"/>
        <v>42.944444444444443</v>
      </c>
    </row>
    <row r="2072" spans="1:11" x14ac:dyDescent="0.3">
      <c r="A2072" s="14">
        <v>2024</v>
      </c>
      <c r="B2072" s="14">
        <f t="shared" si="98"/>
        <v>40</v>
      </c>
      <c r="C2072" s="9">
        <v>45565</v>
      </c>
      <c r="D2072" s="9">
        <v>45569</v>
      </c>
      <c r="E2072" s="14">
        <f>VLOOKUP(F2072,CarrierID!A:B,2,0)</f>
        <v>9</v>
      </c>
      <c r="F2072" s="15" t="s">
        <v>3</v>
      </c>
      <c r="G2072" t="str">
        <f>VLOOKUP(F2072,Carrier_Category!A:B,2,0)</f>
        <v>NJT</v>
      </c>
      <c r="H2072" s="5">
        <v>2433</v>
      </c>
      <c r="I2072" s="7">
        <f t="shared" si="100"/>
        <v>18</v>
      </c>
      <c r="J2072" s="5">
        <v>84487</v>
      </c>
      <c r="K2072" s="18">
        <f t="shared" si="99"/>
        <v>34.725441841348129</v>
      </c>
    </row>
    <row r="2073" spans="1:11" x14ac:dyDescent="0.3">
      <c r="A2073" s="14">
        <v>2024</v>
      </c>
      <c r="B2073" s="14">
        <f t="shared" si="98"/>
        <v>40</v>
      </c>
      <c r="C2073" s="9">
        <v>45565</v>
      </c>
      <c r="D2073" s="9">
        <v>45569</v>
      </c>
      <c r="E2073" s="14">
        <f>VLOOKUP(F2073,CarrierID!A:B,2,0)</f>
        <v>7</v>
      </c>
      <c r="F2073" s="15" t="s">
        <v>4</v>
      </c>
      <c r="G2073" t="str">
        <f>VLOOKUP(F2073,Carrier_Category!A:B,2,0)</f>
        <v>Commuter</v>
      </c>
      <c r="H2073" s="5">
        <v>41</v>
      </c>
      <c r="I2073" s="7">
        <f t="shared" si="100"/>
        <v>2420</v>
      </c>
      <c r="J2073" s="5">
        <v>1444</v>
      </c>
      <c r="K2073" s="18">
        <f t="shared" si="99"/>
        <v>35.219512195121951</v>
      </c>
    </row>
    <row r="2074" spans="1:11" x14ac:dyDescent="0.3">
      <c r="A2074" s="14">
        <v>2024</v>
      </c>
      <c r="B2074" s="14">
        <f t="shared" si="98"/>
        <v>40</v>
      </c>
      <c r="C2074" s="9">
        <v>45565</v>
      </c>
      <c r="D2074" s="9">
        <v>45569</v>
      </c>
      <c r="E2074" s="14">
        <f>VLOOKUP(F2074,CarrierID!A:B,2,0)</f>
        <v>11</v>
      </c>
      <c r="F2074" s="15" t="s">
        <v>5</v>
      </c>
      <c r="G2074" t="str">
        <f>VLOOKUP(F2074,Carrier_Category!A:B,2,0)</f>
        <v>Intercity</v>
      </c>
      <c r="H2074" s="5">
        <v>22</v>
      </c>
      <c r="I2074" s="7">
        <f t="shared" si="100"/>
        <v>42</v>
      </c>
      <c r="J2074" s="5">
        <v>505</v>
      </c>
      <c r="K2074" s="18">
        <f t="shared" si="99"/>
        <v>22.954545454545453</v>
      </c>
    </row>
    <row r="2075" spans="1:11" x14ac:dyDescent="0.3">
      <c r="A2075" s="14">
        <v>2024</v>
      </c>
      <c r="B2075" s="14">
        <f t="shared" si="98"/>
        <v>40</v>
      </c>
      <c r="C2075" s="9">
        <v>45565</v>
      </c>
      <c r="D2075" s="9">
        <v>45569</v>
      </c>
      <c r="E2075" s="14">
        <f>VLOOKUP(F2075,CarrierID!A:B,2,0)</f>
        <v>3</v>
      </c>
      <c r="F2075" s="15" t="s">
        <v>6</v>
      </c>
      <c r="G2075" t="str">
        <f>VLOOKUP(F2075,Carrier_Category!A:B,2,0)</f>
        <v>Commuter</v>
      </c>
      <c r="H2075" s="5">
        <v>185</v>
      </c>
      <c r="I2075" s="7">
        <f t="shared" si="100"/>
        <v>22</v>
      </c>
      <c r="J2075" s="5">
        <v>5375</v>
      </c>
      <c r="K2075" s="18">
        <f t="shared" si="99"/>
        <v>29.054054054054053</v>
      </c>
    </row>
    <row r="2076" spans="1:11" x14ac:dyDescent="0.3">
      <c r="A2076" s="14">
        <v>2024</v>
      </c>
      <c r="B2076" s="14">
        <f t="shared" si="98"/>
        <v>40</v>
      </c>
      <c r="C2076" s="9">
        <v>45565</v>
      </c>
      <c r="D2076" s="9">
        <v>45569</v>
      </c>
      <c r="E2076" s="14">
        <f>VLOOKUP(F2076,CarrierID!A:B,2,0)</f>
        <v>12</v>
      </c>
      <c r="F2076" s="15" t="s">
        <v>25</v>
      </c>
      <c r="G2076" t="str">
        <f>VLOOKUP(F2076,Carrier_Category!A:B,2,0)</f>
        <v>Commuter</v>
      </c>
      <c r="H2076" s="5">
        <v>23</v>
      </c>
      <c r="I2076" s="7">
        <f t="shared" si="100"/>
        <v>186</v>
      </c>
      <c r="J2076" s="5">
        <v>699</v>
      </c>
      <c r="K2076" s="18">
        <f t="shared" si="99"/>
        <v>30.391304347826086</v>
      </c>
    </row>
    <row r="2077" spans="1:11" x14ac:dyDescent="0.3">
      <c r="A2077" s="14">
        <v>2024</v>
      </c>
      <c r="B2077" s="14">
        <f t="shared" si="98"/>
        <v>40</v>
      </c>
      <c r="C2077" s="9">
        <v>45565</v>
      </c>
      <c r="D2077" s="9">
        <v>45569</v>
      </c>
      <c r="E2077" s="14">
        <f>VLOOKUP(F2077,CarrierID!A:B,2,0)</f>
        <v>10</v>
      </c>
      <c r="F2077" s="15" t="s">
        <v>8</v>
      </c>
      <c r="G2077" t="str">
        <f>VLOOKUP(F2077,Carrier_Category!A:B,2,0)</f>
        <v>Intercity</v>
      </c>
      <c r="H2077" s="5">
        <v>45</v>
      </c>
      <c r="I2077" s="7">
        <f t="shared" si="100"/>
        <v>23</v>
      </c>
      <c r="J2077" s="5">
        <v>1875</v>
      </c>
      <c r="K2077" s="18">
        <f t="shared" si="99"/>
        <v>41.666666666666664</v>
      </c>
    </row>
    <row r="2078" spans="1:11" x14ac:dyDescent="0.3">
      <c r="A2078" s="14">
        <v>2024</v>
      </c>
      <c r="B2078" s="14">
        <f t="shared" si="98"/>
        <v>40</v>
      </c>
      <c r="C2078" s="9">
        <v>45565</v>
      </c>
      <c r="D2078" s="9">
        <v>45569</v>
      </c>
      <c r="E2078" s="14">
        <f>VLOOKUP(F2078,CarrierID!A:B,2,0)</f>
        <v>6</v>
      </c>
      <c r="F2078" s="15" t="s">
        <v>9</v>
      </c>
      <c r="G2078" t="str">
        <f>VLOOKUP(F2078,Carrier_Category!A:B,2,0)</f>
        <v>Commuter</v>
      </c>
      <c r="H2078" s="5">
        <v>87</v>
      </c>
      <c r="I2078" s="7">
        <f t="shared" si="100"/>
        <v>45</v>
      </c>
      <c r="J2078" s="5">
        <v>1727</v>
      </c>
      <c r="K2078" s="18">
        <f t="shared" si="99"/>
        <v>19.850574712643677</v>
      </c>
    </row>
    <row r="2079" spans="1:11" x14ac:dyDescent="0.3">
      <c r="A2079" s="14">
        <v>2024</v>
      </c>
      <c r="B2079" s="14">
        <f t="shared" si="98"/>
        <v>41</v>
      </c>
      <c r="C2079" s="9">
        <v>45572</v>
      </c>
      <c r="D2079" s="9">
        <v>45627</v>
      </c>
      <c r="E2079" s="14">
        <f>VLOOKUP(F2079,CarrierID!A:B,2,0)</f>
        <v>1</v>
      </c>
      <c r="F2079" s="15" t="s">
        <v>0</v>
      </c>
      <c r="G2079" t="str">
        <f>VLOOKUP(F2079,Carrier_Category!A:B,2,0)</f>
        <v>Commuter</v>
      </c>
      <c r="H2079" s="5">
        <v>46</v>
      </c>
      <c r="I2079" s="7">
        <f t="shared" si="100"/>
        <v>87</v>
      </c>
      <c r="J2079" s="5">
        <v>1475</v>
      </c>
      <c r="K2079" s="18">
        <f t="shared" si="99"/>
        <v>32.065217391304351</v>
      </c>
    </row>
    <row r="2080" spans="1:11" x14ac:dyDescent="0.3">
      <c r="A2080" s="14">
        <v>2024</v>
      </c>
      <c r="B2080" s="14">
        <f t="shared" si="98"/>
        <v>41</v>
      </c>
      <c r="C2080" s="9">
        <v>45572</v>
      </c>
      <c r="D2080" s="9">
        <v>45627</v>
      </c>
      <c r="E2080" s="14">
        <f>VLOOKUP(F2080,CarrierID!A:B,2,0)</f>
        <v>5</v>
      </c>
      <c r="F2080" s="15" t="s">
        <v>1</v>
      </c>
      <c r="G2080" t="str">
        <f>VLOOKUP(F2080,Carrier_Category!A:B,2,0)</f>
        <v>Intercity</v>
      </c>
      <c r="H2080" s="5">
        <v>59</v>
      </c>
      <c r="I2080" s="7">
        <f t="shared" si="100"/>
        <v>44</v>
      </c>
      <c r="J2080" s="5">
        <v>1281</v>
      </c>
      <c r="K2080" s="18">
        <f t="shared" si="99"/>
        <v>21.711864406779661</v>
      </c>
    </row>
    <row r="2081" spans="1:11" x14ac:dyDescent="0.3">
      <c r="A2081" s="14">
        <v>2024</v>
      </c>
      <c r="B2081" s="14">
        <f t="shared" si="98"/>
        <v>41</v>
      </c>
      <c r="C2081" s="9">
        <v>45572</v>
      </c>
      <c r="D2081" s="9">
        <v>45627</v>
      </c>
      <c r="E2081" s="14">
        <f>VLOOKUP(F2081,CarrierID!A:B,2,0)</f>
        <v>8</v>
      </c>
      <c r="F2081" s="15" t="s">
        <v>2</v>
      </c>
      <c r="G2081" t="str">
        <f>VLOOKUP(F2081,Carrier_Category!A:B,2,0)</f>
        <v>Commuter</v>
      </c>
      <c r="H2081" s="5">
        <v>18</v>
      </c>
      <c r="I2081" s="7">
        <f t="shared" si="100"/>
        <v>59</v>
      </c>
      <c r="J2081" s="5">
        <v>743</v>
      </c>
      <c r="K2081" s="18">
        <f t="shared" si="99"/>
        <v>41.277777777777779</v>
      </c>
    </row>
    <row r="2082" spans="1:11" x14ac:dyDescent="0.3">
      <c r="A2082" s="14">
        <v>2024</v>
      </c>
      <c r="B2082" s="14">
        <f t="shared" si="98"/>
        <v>41</v>
      </c>
      <c r="C2082" s="9">
        <v>45572</v>
      </c>
      <c r="D2082" s="9">
        <v>45627</v>
      </c>
      <c r="E2082" s="14">
        <f>VLOOKUP(F2082,CarrierID!A:B,2,0)</f>
        <v>9</v>
      </c>
      <c r="F2082" s="15" t="s">
        <v>3</v>
      </c>
      <c r="G2082" t="str">
        <f>VLOOKUP(F2082,Carrier_Category!A:B,2,0)</f>
        <v>NJT</v>
      </c>
      <c r="H2082" s="5">
        <v>2427</v>
      </c>
      <c r="I2082" s="7">
        <f t="shared" si="100"/>
        <v>18</v>
      </c>
      <c r="J2082" s="5">
        <v>87870</v>
      </c>
      <c r="K2082" s="18">
        <f t="shared" si="99"/>
        <v>36.205191594561185</v>
      </c>
    </row>
    <row r="2083" spans="1:11" x14ac:dyDescent="0.3">
      <c r="A2083" s="14">
        <v>2024</v>
      </c>
      <c r="B2083" s="14">
        <f t="shared" si="98"/>
        <v>41</v>
      </c>
      <c r="C2083" s="9">
        <v>45572</v>
      </c>
      <c r="D2083" s="9">
        <v>45627</v>
      </c>
      <c r="E2083" s="14">
        <f>VLOOKUP(F2083,CarrierID!A:B,2,0)</f>
        <v>7</v>
      </c>
      <c r="F2083" s="15" t="s">
        <v>4</v>
      </c>
      <c r="G2083" t="str">
        <f>VLOOKUP(F2083,Carrier_Category!A:B,2,0)</f>
        <v>Commuter</v>
      </c>
      <c r="H2083" s="5">
        <v>42</v>
      </c>
      <c r="I2083" s="7">
        <f t="shared" si="100"/>
        <v>2433</v>
      </c>
      <c r="J2083" s="5">
        <v>1468</v>
      </c>
      <c r="K2083" s="18">
        <f t="shared" si="99"/>
        <v>34.952380952380949</v>
      </c>
    </row>
    <row r="2084" spans="1:11" x14ac:dyDescent="0.3">
      <c r="A2084" s="14">
        <v>2024</v>
      </c>
      <c r="B2084" s="14">
        <f t="shared" si="98"/>
        <v>41</v>
      </c>
      <c r="C2084" s="9">
        <v>45572</v>
      </c>
      <c r="D2084" s="9">
        <v>45627</v>
      </c>
      <c r="E2084" s="14">
        <f>VLOOKUP(F2084,CarrierID!A:B,2,0)</f>
        <v>11</v>
      </c>
      <c r="F2084" s="15" t="s">
        <v>5</v>
      </c>
      <c r="G2084" t="str">
        <f>VLOOKUP(F2084,Carrier_Category!A:B,2,0)</f>
        <v>Intercity</v>
      </c>
      <c r="H2084" s="5">
        <v>23</v>
      </c>
      <c r="I2084" s="7">
        <f t="shared" si="100"/>
        <v>41</v>
      </c>
      <c r="J2084" s="5">
        <v>581</v>
      </c>
      <c r="K2084" s="18">
        <f t="shared" si="99"/>
        <v>25.260869565217391</v>
      </c>
    </row>
    <row r="2085" spans="1:11" x14ac:dyDescent="0.3">
      <c r="A2085" s="14">
        <v>2024</v>
      </c>
      <c r="B2085" s="14">
        <f t="shared" si="98"/>
        <v>41</v>
      </c>
      <c r="C2085" s="9">
        <v>45572</v>
      </c>
      <c r="D2085" s="9">
        <v>45627</v>
      </c>
      <c r="E2085" s="14">
        <f>VLOOKUP(F2085,CarrierID!A:B,2,0)</f>
        <v>3</v>
      </c>
      <c r="F2085" s="15" t="s">
        <v>6</v>
      </c>
      <c r="G2085" t="str">
        <f>VLOOKUP(F2085,Carrier_Category!A:B,2,0)</f>
        <v>Commuter</v>
      </c>
      <c r="H2085" s="5">
        <v>194</v>
      </c>
      <c r="I2085" s="7">
        <f t="shared" si="100"/>
        <v>22</v>
      </c>
      <c r="J2085" s="5">
        <v>5523</v>
      </c>
      <c r="K2085" s="18">
        <f t="shared" si="99"/>
        <v>28.469072164948454</v>
      </c>
    </row>
    <row r="2086" spans="1:11" x14ac:dyDescent="0.3">
      <c r="A2086" s="14">
        <v>2024</v>
      </c>
      <c r="B2086" s="14">
        <f t="shared" si="98"/>
        <v>41</v>
      </c>
      <c r="C2086" s="9">
        <v>45572</v>
      </c>
      <c r="D2086" s="9">
        <v>45627</v>
      </c>
      <c r="E2086" s="14">
        <f>VLOOKUP(F2086,CarrierID!A:B,2,0)</f>
        <v>12</v>
      </c>
      <c r="F2086" s="15" t="s">
        <v>25</v>
      </c>
      <c r="G2086" t="str">
        <f>VLOOKUP(F2086,Carrier_Category!A:B,2,0)</f>
        <v>Commuter</v>
      </c>
      <c r="H2086" s="5">
        <v>23</v>
      </c>
      <c r="I2086" s="7">
        <f t="shared" si="100"/>
        <v>185</v>
      </c>
      <c r="J2086" s="5">
        <v>650</v>
      </c>
      <c r="K2086" s="18">
        <f t="shared" si="99"/>
        <v>28.260869565217391</v>
      </c>
    </row>
    <row r="2087" spans="1:11" x14ac:dyDescent="0.3">
      <c r="A2087" s="14">
        <v>2024</v>
      </c>
      <c r="B2087" s="14">
        <f t="shared" si="98"/>
        <v>41</v>
      </c>
      <c r="C2087" s="9">
        <v>45572</v>
      </c>
      <c r="D2087" s="9">
        <v>45627</v>
      </c>
      <c r="E2087" s="14">
        <f>VLOOKUP(F2087,CarrierID!A:B,2,0)</f>
        <v>10</v>
      </c>
      <c r="F2087" s="15" t="s">
        <v>8</v>
      </c>
      <c r="G2087" t="str">
        <f>VLOOKUP(F2087,Carrier_Category!A:B,2,0)</f>
        <v>Intercity</v>
      </c>
      <c r="H2087" s="5">
        <v>45</v>
      </c>
      <c r="I2087" s="7">
        <f t="shared" si="100"/>
        <v>23</v>
      </c>
      <c r="J2087" s="5">
        <v>1875</v>
      </c>
      <c r="K2087" s="18">
        <f t="shared" si="99"/>
        <v>41.666666666666664</v>
      </c>
    </row>
    <row r="2088" spans="1:11" x14ac:dyDescent="0.3">
      <c r="A2088" s="14">
        <v>2024</v>
      </c>
      <c r="B2088" s="14">
        <f t="shared" si="98"/>
        <v>41</v>
      </c>
      <c r="C2088" s="9">
        <v>45572</v>
      </c>
      <c r="D2088" s="9">
        <v>45627</v>
      </c>
      <c r="E2088" s="14">
        <f>VLOOKUP(F2088,CarrierID!A:B,2,0)</f>
        <v>6</v>
      </c>
      <c r="F2088" s="15" t="s">
        <v>9</v>
      </c>
      <c r="G2088" t="str">
        <f>VLOOKUP(F2088,Carrier_Category!A:B,2,0)</f>
        <v>Commuter</v>
      </c>
      <c r="H2088" s="5">
        <v>87</v>
      </c>
      <c r="I2088" s="7">
        <f t="shared" si="100"/>
        <v>45</v>
      </c>
      <c r="J2088" s="5">
        <v>1717</v>
      </c>
      <c r="K2088" s="18">
        <f t="shared" si="99"/>
        <v>19.735632183908045</v>
      </c>
    </row>
    <row r="2089" spans="1:11" x14ac:dyDescent="0.3">
      <c r="A2089" s="14">
        <v>2024</v>
      </c>
      <c r="B2089" s="14">
        <f t="shared" si="98"/>
        <v>42</v>
      </c>
      <c r="C2089" s="9">
        <v>45579</v>
      </c>
      <c r="D2089" s="9">
        <v>45634</v>
      </c>
      <c r="E2089" s="14">
        <f>VLOOKUP(F2089,CarrierID!A:B,2,0)</f>
        <v>1</v>
      </c>
      <c r="F2089" s="15" t="s">
        <v>0</v>
      </c>
      <c r="G2089" t="str">
        <f>VLOOKUP(F2089,Carrier_Category!A:B,2,0)</f>
        <v>Commuter</v>
      </c>
      <c r="H2089" s="5">
        <v>42</v>
      </c>
      <c r="I2089" s="7">
        <f t="shared" si="100"/>
        <v>87</v>
      </c>
      <c r="J2089" s="5">
        <v>1328</v>
      </c>
      <c r="K2089" s="18">
        <f t="shared" si="99"/>
        <v>31.61904761904762</v>
      </c>
    </row>
    <row r="2090" spans="1:11" x14ac:dyDescent="0.3">
      <c r="A2090" s="14">
        <v>2024</v>
      </c>
      <c r="B2090" s="14">
        <f t="shared" si="98"/>
        <v>42</v>
      </c>
      <c r="C2090" s="9">
        <v>45579</v>
      </c>
      <c r="D2090" s="9">
        <v>45634</v>
      </c>
      <c r="E2090" s="14">
        <f>VLOOKUP(F2090,CarrierID!A:B,2,0)</f>
        <v>5</v>
      </c>
      <c r="F2090" s="15" t="s">
        <v>1</v>
      </c>
      <c r="G2090" t="str">
        <f>VLOOKUP(F2090,Carrier_Category!A:B,2,0)</f>
        <v>Intercity</v>
      </c>
      <c r="H2090" s="5">
        <v>59</v>
      </c>
      <c r="I2090" s="7">
        <f t="shared" si="100"/>
        <v>46</v>
      </c>
      <c r="J2090" s="5">
        <v>1568</v>
      </c>
      <c r="K2090" s="18">
        <f t="shared" si="99"/>
        <v>26.576271186440678</v>
      </c>
    </row>
    <row r="2091" spans="1:11" x14ac:dyDescent="0.3">
      <c r="A2091" s="14">
        <v>2024</v>
      </c>
      <c r="B2091" s="14">
        <f t="shared" si="98"/>
        <v>42</v>
      </c>
      <c r="C2091" s="9">
        <v>45579</v>
      </c>
      <c r="D2091" s="9">
        <v>45634</v>
      </c>
      <c r="E2091" s="14">
        <f>VLOOKUP(F2091,CarrierID!A:B,2,0)</f>
        <v>8</v>
      </c>
      <c r="F2091" s="15" t="s">
        <v>2</v>
      </c>
      <c r="G2091" t="str">
        <f>VLOOKUP(F2091,Carrier_Category!A:B,2,0)</f>
        <v>Commuter</v>
      </c>
      <c r="H2091" s="5">
        <v>17</v>
      </c>
      <c r="I2091" s="7">
        <f t="shared" si="100"/>
        <v>59</v>
      </c>
      <c r="J2091" s="5">
        <v>746</v>
      </c>
      <c r="K2091" s="18">
        <f t="shared" si="99"/>
        <v>43.882352941176471</v>
      </c>
    </row>
    <row r="2092" spans="1:11" x14ac:dyDescent="0.3">
      <c r="A2092" s="14">
        <v>2024</v>
      </c>
      <c r="B2092" s="14">
        <f t="shared" si="98"/>
        <v>42</v>
      </c>
      <c r="C2092" s="9">
        <v>45579</v>
      </c>
      <c r="D2092" s="9">
        <v>45634</v>
      </c>
      <c r="E2092" s="14">
        <f>VLOOKUP(F2092,CarrierID!A:B,2,0)</f>
        <v>9</v>
      </c>
      <c r="F2092" s="15" t="s">
        <v>3</v>
      </c>
      <c r="G2092" t="str">
        <f>VLOOKUP(F2092,Carrier_Category!A:B,2,0)</f>
        <v>NJT</v>
      </c>
      <c r="H2092" s="5">
        <v>2396</v>
      </c>
      <c r="I2092" s="7">
        <f t="shared" si="100"/>
        <v>18</v>
      </c>
      <c r="J2092" s="5">
        <v>86220</v>
      </c>
      <c r="K2092" s="18">
        <f t="shared" si="99"/>
        <v>35.98497495826377</v>
      </c>
    </row>
    <row r="2093" spans="1:11" x14ac:dyDescent="0.3">
      <c r="A2093" s="14">
        <v>2024</v>
      </c>
      <c r="B2093" s="14">
        <f t="shared" si="98"/>
        <v>42</v>
      </c>
      <c r="C2093" s="9">
        <v>45579</v>
      </c>
      <c r="D2093" s="9">
        <v>45634</v>
      </c>
      <c r="E2093" s="14">
        <f>VLOOKUP(F2093,CarrierID!A:B,2,0)</f>
        <v>7</v>
      </c>
      <c r="F2093" s="15" t="s">
        <v>4</v>
      </c>
      <c r="G2093" t="str">
        <f>VLOOKUP(F2093,Carrier_Category!A:B,2,0)</f>
        <v>Commuter</v>
      </c>
      <c r="H2093" s="5">
        <v>42</v>
      </c>
      <c r="I2093" s="7">
        <f t="shared" si="100"/>
        <v>2427</v>
      </c>
      <c r="J2093" s="5">
        <v>1417</v>
      </c>
      <c r="K2093" s="18">
        <f t="shared" si="99"/>
        <v>33.738095238095241</v>
      </c>
    </row>
    <row r="2094" spans="1:11" x14ac:dyDescent="0.3">
      <c r="A2094" s="14">
        <v>2024</v>
      </c>
      <c r="B2094" s="14">
        <f t="shared" si="98"/>
        <v>42</v>
      </c>
      <c r="C2094" s="9">
        <v>45579</v>
      </c>
      <c r="D2094" s="9">
        <v>45634</v>
      </c>
      <c r="E2094" s="14">
        <f>VLOOKUP(F2094,CarrierID!A:B,2,0)</f>
        <v>11</v>
      </c>
      <c r="F2094" s="15" t="s">
        <v>5</v>
      </c>
      <c r="G2094" t="str">
        <f>VLOOKUP(F2094,Carrier_Category!A:B,2,0)</f>
        <v>Intercity</v>
      </c>
      <c r="H2094" s="5">
        <v>24</v>
      </c>
      <c r="I2094" s="7">
        <f t="shared" si="100"/>
        <v>42</v>
      </c>
      <c r="J2094" s="5">
        <v>836</v>
      </c>
      <c r="K2094" s="18">
        <f t="shared" si="99"/>
        <v>34.833333333333336</v>
      </c>
    </row>
    <row r="2095" spans="1:11" x14ac:dyDescent="0.3">
      <c r="A2095" s="14">
        <v>2024</v>
      </c>
      <c r="B2095" s="14">
        <f t="shared" si="98"/>
        <v>42</v>
      </c>
      <c r="C2095" s="9">
        <v>45579</v>
      </c>
      <c r="D2095" s="9">
        <v>45634</v>
      </c>
      <c r="E2095" s="14">
        <f>VLOOKUP(F2095,CarrierID!A:B,2,0)</f>
        <v>3</v>
      </c>
      <c r="F2095" s="15" t="s">
        <v>6</v>
      </c>
      <c r="G2095" t="str">
        <f>VLOOKUP(F2095,Carrier_Category!A:B,2,0)</f>
        <v>Commuter</v>
      </c>
      <c r="H2095" s="5">
        <v>193</v>
      </c>
      <c r="I2095" s="7">
        <f t="shared" si="100"/>
        <v>23</v>
      </c>
      <c r="J2095" s="5">
        <v>5228</v>
      </c>
      <c r="K2095" s="18">
        <f t="shared" si="99"/>
        <v>27.088082901554404</v>
      </c>
    </row>
    <row r="2096" spans="1:11" x14ac:dyDescent="0.3">
      <c r="A2096" s="14">
        <v>2024</v>
      </c>
      <c r="B2096" s="14">
        <f t="shared" si="98"/>
        <v>42</v>
      </c>
      <c r="C2096" s="9">
        <v>45579</v>
      </c>
      <c r="D2096" s="9">
        <v>45634</v>
      </c>
      <c r="E2096" s="14">
        <f>VLOOKUP(F2096,CarrierID!A:B,2,0)</f>
        <v>12</v>
      </c>
      <c r="F2096" s="15" t="s">
        <v>25</v>
      </c>
      <c r="G2096" t="str">
        <f>VLOOKUP(F2096,Carrier_Category!A:B,2,0)</f>
        <v>Commuter</v>
      </c>
      <c r="H2096" s="5">
        <v>22</v>
      </c>
      <c r="I2096" s="7">
        <f t="shared" si="100"/>
        <v>194</v>
      </c>
      <c r="J2096" s="5">
        <v>704</v>
      </c>
      <c r="K2096" s="18">
        <f t="shared" si="99"/>
        <v>32</v>
      </c>
    </row>
    <row r="2097" spans="1:11" x14ac:dyDescent="0.3">
      <c r="A2097" s="14">
        <v>2024</v>
      </c>
      <c r="B2097" s="14">
        <f t="shared" si="98"/>
        <v>42</v>
      </c>
      <c r="C2097" s="9">
        <v>45579</v>
      </c>
      <c r="D2097" s="9">
        <v>45634</v>
      </c>
      <c r="E2097" s="14">
        <f>VLOOKUP(F2097,CarrierID!A:B,2,0)</f>
        <v>10</v>
      </c>
      <c r="F2097" s="15" t="s">
        <v>8</v>
      </c>
      <c r="G2097" t="str">
        <f>VLOOKUP(F2097,Carrier_Category!A:B,2,0)</f>
        <v>Intercity</v>
      </c>
      <c r="H2097" s="5">
        <v>45</v>
      </c>
      <c r="I2097" s="7">
        <f t="shared" si="100"/>
        <v>23</v>
      </c>
      <c r="J2097" s="5">
        <v>1875</v>
      </c>
      <c r="K2097" s="18">
        <f t="shared" si="99"/>
        <v>41.666666666666664</v>
      </c>
    </row>
    <row r="2098" spans="1:11" x14ac:dyDescent="0.3">
      <c r="A2098" s="14">
        <v>2024</v>
      </c>
      <c r="B2098" s="14">
        <f t="shared" si="98"/>
        <v>42</v>
      </c>
      <c r="C2098" s="9">
        <v>45579</v>
      </c>
      <c r="D2098" s="9">
        <v>45634</v>
      </c>
      <c r="E2098" s="14">
        <f>VLOOKUP(F2098,CarrierID!A:B,2,0)</f>
        <v>6</v>
      </c>
      <c r="F2098" s="15" t="s">
        <v>9</v>
      </c>
      <c r="G2098" t="str">
        <f>VLOOKUP(F2098,Carrier_Category!A:B,2,0)</f>
        <v>Commuter</v>
      </c>
      <c r="H2098" s="5">
        <v>87</v>
      </c>
      <c r="I2098" s="7">
        <f t="shared" si="100"/>
        <v>45</v>
      </c>
      <c r="J2098" s="5">
        <v>1717</v>
      </c>
      <c r="K2098" s="18">
        <f t="shared" si="99"/>
        <v>19.735632183908045</v>
      </c>
    </row>
    <row r="2099" spans="1:11" x14ac:dyDescent="0.3">
      <c r="A2099" s="14">
        <v>2024</v>
      </c>
      <c r="B2099" s="14">
        <f t="shared" si="98"/>
        <v>43</v>
      </c>
      <c r="C2099" s="9">
        <v>45586</v>
      </c>
      <c r="D2099" s="9">
        <v>45631</v>
      </c>
      <c r="E2099" s="14">
        <f>VLOOKUP(F2099,CarrierID!A:B,2,0)</f>
        <v>1</v>
      </c>
      <c r="F2099" s="15" t="s">
        <v>0</v>
      </c>
      <c r="G2099" t="str">
        <f>VLOOKUP(F2099,Carrier_Category!A:B,2,0)</f>
        <v>Commuter</v>
      </c>
      <c r="H2099" s="5">
        <v>46</v>
      </c>
      <c r="I2099" s="7">
        <f t="shared" si="100"/>
        <v>87</v>
      </c>
      <c r="J2099" s="5">
        <v>1467</v>
      </c>
      <c r="K2099" s="18">
        <f t="shared" si="99"/>
        <v>31.891304347826086</v>
      </c>
    </row>
    <row r="2100" spans="1:11" x14ac:dyDescent="0.3">
      <c r="A2100" s="14">
        <v>2024</v>
      </c>
      <c r="B2100" s="14">
        <f t="shared" si="98"/>
        <v>43</v>
      </c>
      <c r="C2100" s="9">
        <v>45586</v>
      </c>
      <c r="D2100" s="9">
        <v>45631</v>
      </c>
      <c r="E2100" s="14">
        <f>VLOOKUP(F2100,CarrierID!A:B,2,0)</f>
        <v>5</v>
      </c>
      <c r="F2100" s="15" t="s">
        <v>1</v>
      </c>
      <c r="G2100" t="str">
        <f>VLOOKUP(F2100,Carrier_Category!A:B,2,0)</f>
        <v>Intercity</v>
      </c>
      <c r="H2100" s="5">
        <v>60</v>
      </c>
      <c r="I2100" s="7">
        <f t="shared" si="100"/>
        <v>42</v>
      </c>
      <c r="J2100" s="5">
        <v>1422</v>
      </c>
      <c r="K2100" s="18">
        <f t="shared" si="99"/>
        <v>23.7</v>
      </c>
    </row>
    <row r="2101" spans="1:11" x14ac:dyDescent="0.3">
      <c r="A2101" s="14">
        <v>2024</v>
      </c>
      <c r="B2101" s="14">
        <f t="shared" si="98"/>
        <v>43</v>
      </c>
      <c r="C2101" s="9">
        <v>45586</v>
      </c>
      <c r="D2101" s="9">
        <v>45631</v>
      </c>
      <c r="E2101" s="14">
        <f>VLOOKUP(F2101,CarrierID!A:B,2,0)</f>
        <v>8</v>
      </c>
      <c r="F2101" s="15" t="s">
        <v>2</v>
      </c>
      <c r="G2101" t="str">
        <f>VLOOKUP(F2101,Carrier_Category!A:B,2,0)</f>
        <v>Commuter</v>
      </c>
      <c r="H2101" s="5">
        <v>18</v>
      </c>
      <c r="I2101" s="7">
        <f t="shared" si="100"/>
        <v>59</v>
      </c>
      <c r="J2101" s="5">
        <v>745</v>
      </c>
      <c r="K2101" s="18">
        <f t="shared" si="99"/>
        <v>41.388888888888886</v>
      </c>
    </row>
    <row r="2102" spans="1:11" x14ac:dyDescent="0.3">
      <c r="A2102" s="14">
        <v>2024</v>
      </c>
      <c r="B2102" s="14">
        <f t="shared" si="98"/>
        <v>43</v>
      </c>
      <c r="C2102" s="9">
        <v>45586</v>
      </c>
      <c r="D2102" s="9">
        <v>45631</v>
      </c>
      <c r="E2102" s="14">
        <f>VLOOKUP(F2102,CarrierID!A:B,2,0)</f>
        <v>9</v>
      </c>
      <c r="F2102" s="15" t="s">
        <v>3</v>
      </c>
      <c r="G2102" t="str">
        <f>VLOOKUP(F2102,Carrier_Category!A:B,2,0)</f>
        <v>NJT</v>
      </c>
      <c r="H2102" s="5">
        <v>2402</v>
      </c>
      <c r="I2102" s="7">
        <f t="shared" si="100"/>
        <v>17</v>
      </c>
      <c r="J2102" s="5">
        <v>86549</v>
      </c>
      <c r="K2102" s="18">
        <f t="shared" si="99"/>
        <v>36.032056619483761</v>
      </c>
    </row>
    <row r="2103" spans="1:11" x14ac:dyDescent="0.3">
      <c r="A2103" s="14">
        <v>2024</v>
      </c>
      <c r="B2103" s="14">
        <f t="shared" si="98"/>
        <v>43</v>
      </c>
      <c r="C2103" s="9">
        <v>45586</v>
      </c>
      <c r="D2103" s="9">
        <v>45631</v>
      </c>
      <c r="E2103" s="14">
        <f>VLOOKUP(F2103,CarrierID!A:B,2,0)</f>
        <v>7</v>
      </c>
      <c r="F2103" s="15" t="s">
        <v>4</v>
      </c>
      <c r="G2103" t="str">
        <f>VLOOKUP(F2103,Carrier_Category!A:B,2,0)</f>
        <v>Commuter</v>
      </c>
      <c r="H2103" s="5">
        <v>42</v>
      </c>
      <c r="I2103" s="7">
        <f t="shared" si="100"/>
        <v>2396</v>
      </c>
      <c r="J2103" s="5">
        <v>1464</v>
      </c>
      <c r="K2103" s="18">
        <f t="shared" si="99"/>
        <v>34.857142857142854</v>
      </c>
    </row>
    <row r="2104" spans="1:11" x14ac:dyDescent="0.3">
      <c r="A2104" s="14">
        <v>2024</v>
      </c>
      <c r="B2104" s="14">
        <f t="shared" si="98"/>
        <v>43</v>
      </c>
      <c r="C2104" s="9">
        <v>45586</v>
      </c>
      <c r="D2104" s="9">
        <v>45631</v>
      </c>
      <c r="E2104" s="14">
        <f>VLOOKUP(F2104,CarrierID!A:B,2,0)</f>
        <v>11</v>
      </c>
      <c r="F2104" s="15" t="s">
        <v>5</v>
      </c>
      <c r="G2104" t="str">
        <f>VLOOKUP(F2104,Carrier_Category!A:B,2,0)</f>
        <v>Intercity</v>
      </c>
      <c r="H2104" s="5">
        <v>23</v>
      </c>
      <c r="I2104" s="7">
        <f t="shared" si="100"/>
        <v>42</v>
      </c>
      <c r="J2104" s="5">
        <v>554</v>
      </c>
      <c r="K2104" s="18">
        <f t="shared" si="99"/>
        <v>24.086956521739129</v>
      </c>
    </row>
    <row r="2105" spans="1:11" x14ac:dyDescent="0.3">
      <c r="A2105" s="14">
        <v>2024</v>
      </c>
      <c r="B2105" s="14">
        <f t="shared" si="98"/>
        <v>43</v>
      </c>
      <c r="C2105" s="9">
        <v>45586</v>
      </c>
      <c r="D2105" s="9">
        <v>45631</v>
      </c>
      <c r="E2105" s="14">
        <f>VLOOKUP(F2105,CarrierID!A:B,2,0)</f>
        <v>3</v>
      </c>
      <c r="F2105" s="15" t="s">
        <v>6</v>
      </c>
      <c r="G2105" t="str">
        <f>VLOOKUP(F2105,Carrier_Category!A:B,2,0)</f>
        <v>Commuter</v>
      </c>
      <c r="H2105" s="5">
        <v>196</v>
      </c>
      <c r="I2105" s="7">
        <f t="shared" si="100"/>
        <v>24</v>
      </c>
      <c r="J2105" s="5">
        <v>5680</v>
      </c>
      <c r="K2105" s="18">
        <f t="shared" si="99"/>
        <v>28.979591836734695</v>
      </c>
    </row>
    <row r="2106" spans="1:11" x14ac:dyDescent="0.3">
      <c r="A2106" s="14">
        <v>2024</v>
      </c>
      <c r="B2106" s="14">
        <f t="shared" si="98"/>
        <v>43</v>
      </c>
      <c r="C2106" s="9">
        <v>45586</v>
      </c>
      <c r="D2106" s="9">
        <v>45631</v>
      </c>
      <c r="E2106" s="14">
        <f>VLOOKUP(F2106,CarrierID!A:B,2,0)</f>
        <v>12</v>
      </c>
      <c r="F2106" s="15" t="s">
        <v>25</v>
      </c>
      <c r="G2106" t="str">
        <f>VLOOKUP(F2106,Carrier_Category!A:B,2,0)</f>
        <v>Commuter</v>
      </c>
      <c r="H2106" s="5">
        <v>23</v>
      </c>
      <c r="I2106" s="7">
        <f t="shared" si="100"/>
        <v>193</v>
      </c>
      <c r="J2106" s="5">
        <v>700</v>
      </c>
      <c r="K2106" s="18">
        <f t="shared" si="99"/>
        <v>30.434782608695652</v>
      </c>
    </row>
    <row r="2107" spans="1:11" x14ac:dyDescent="0.3">
      <c r="A2107" s="14">
        <v>2024</v>
      </c>
      <c r="B2107" s="14">
        <f t="shared" si="98"/>
        <v>43</v>
      </c>
      <c r="C2107" s="9">
        <v>45586</v>
      </c>
      <c r="D2107" s="9">
        <v>45631</v>
      </c>
      <c r="E2107" s="14">
        <f>VLOOKUP(F2107,CarrierID!A:B,2,0)</f>
        <v>10</v>
      </c>
      <c r="F2107" s="15" t="s">
        <v>8</v>
      </c>
      <c r="G2107" t="str">
        <f>VLOOKUP(F2107,Carrier_Category!A:B,2,0)</f>
        <v>Intercity</v>
      </c>
      <c r="H2107" s="5">
        <v>45</v>
      </c>
      <c r="I2107" s="7">
        <f t="shared" si="100"/>
        <v>22</v>
      </c>
      <c r="J2107" s="5">
        <v>1875</v>
      </c>
      <c r="K2107" s="18">
        <f t="shared" si="99"/>
        <v>41.666666666666664</v>
      </c>
    </row>
    <row r="2108" spans="1:11" x14ac:dyDescent="0.3">
      <c r="A2108" s="14">
        <v>2024</v>
      </c>
      <c r="B2108" s="14">
        <f t="shared" si="98"/>
        <v>43</v>
      </c>
      <c r="C2108" s="9">
        <v>45586</v>
      </c>
      <c r="D2108" s="9">
        <v>45631</v>
      </c>
      <c r="E2108" s="14">
        <f>VLOOKUP(F2108,CarrierID!A:B,2,0)</f>
        <v>6</v>
      </c>
      <c r="F2108" s="15" t="s">
        <v>9</v>
      </c>
      <c r="G2108" t="str">
        <f>VLOOKUP(F2108,Carrier_Category!A:B,2,0)</f>
        <v>Commuter</v>
      </c>
      <c r="H2108" s="5">
        <v>87</v>
      </c>
      <c r="I2108" s="7">
        <f t="shared" si="100"/>
        <v>45</v>
      </c>
      <c r="J2108" s="5">
        <v>1717</v>
      </c>
      <c r="K2108" s="18">
        <f t="shared" si="99"/>
        <v>19.735632183908045</v>
      </c>
    </row>
    <row r="2109" spans="1:11" x14ac:dyDescent="0.3">
      <c r="A2109" s="14">
        <v>2024</v>
      </c>
      <c r="B2109" s="14">
        <f t="shared" si="98"/>
        <v>44</v>
      </c>
      <c r="C2109" s="9">
        <v>45593</v>
      </c>
      <c r="D2109" s="9">
        <v>45597</v>
      </c>
      <c r="E2109" s="14">
        <f>VLOOKUP(F2109,CarrierID!A:B,2,0)</f>
        <v>1</v>
      </c>
      <c r="F2109" s="15" t="s">
        <v>0</v>
      </c>
      <c r="G2109" t="str">
        <f>VLOOKUP(F2109,Carrier_Category!A:B,2,0)</f>
        <v>Commuter</v>
      </c>
      <c r="H2109" s="5">
        <v>46</v>
      </c>
      <c r="I2109" s="7">
        <f t="shared" si="100"/>
        <v>87</v>
      </c>
      <c r="J2109" s="5">
        <v>1457</v>
      </c>
      <c r="K2109" s="18">
        <f t="shared" si="99"/>
        <v>31.673913043478262</v>
      </c>
    </row>
    <row r="2110" spans="1:11" x14ac:dyDescent="0.3">
      <c r="A2110" s="14">
        <v>2024</v>
      </c>
      <c r="B2110" s="14">
        <f t="shared" si="98"/>
        <v>44</v>
      </c>
      <c r="C2110" s="9">
        <v>45593</v>
      </c>
      <c r="D2110" s="9">
        <v>45597</v>
      </c>
      <c r="E2110" s="14">
        <f>VLOOKUP(F2110,CarrierID!A:B,2,0)</f>
        <v>5</v>
      </c>
      <c r="F2110" s="15" t="s">
        <v>1</v>
      </c>
      <c r="G2110" t="str">
        <f>VLOOKUP(F2110,Carrier_Category!A:B,2,0)</f>
        <v>Intercity</v>
      </c>
      <c r="H2110" s="5">
        <v>59</v>
      </c>
      <c r="I2110" s="7">
        <f t="shared" si="100"/>
        <v>46</v>
      </c>
      <c r="J2110" s="5">
        <v>1232</v>
      </c>
      <c r="K2110" s="18">
        <f t="shared" si="99"/>
        <v>20.881355932203391</v>
      </c>
    </row>
    <row r="2111" spans="1:11" x14ac:dyDescent="0.3">
      <c r="A2111" s="14">
        <v>2024</v>
      </c>
      <c r="B2111" s="14">
        <f t="shared" si="98"/>
        <v>44</v>
      </c>
      <c r="C2111" s="9">
        <v>45593</v>
      </c>
      <c r="D2111" s="9">
        <v>45597</v>
      </c>
      <c r="E2111" s="14">
        <f>VLOOKUP(F2111,CarrierID!A:B,2,0)</f>
        <v>8</v>
      </c>
      <c r="F2111" s="15" t="s">
        <v>2</v>
      </c>
      <c r="G2111" t="str">
        <f>VLOOKUP(F2111,Carrier_Category!A:B,2,0)</f>
        <v>Commuter</v>
      </c>
      <c r="H2111" s="5">
        <v>18</v>
      </c>
      <c r="I2111" s="7">
        <f t="shared" si="100"/>
        <v>60</v>
      </c>
      <c r="J2111" s="5">
        <v>744</v>
      </c>
      <c r="K2111" s="18">
        <f t="shared" si="99"/>
        <v>41.333333333333336</v>
      </c>
    </row>
    <row r="2112" spans="1:11" x14ac:dyDescent="0.3">
      <c r="A2112" s="14">
        <v>2024</v>
      </c>
      <c r="B2112" s="14">
        <f t="shared" si="98"/>
        <v>44</v>
      </c>
      <c r="C2112" s="9">
        <v>45593</v>
      </c>
      <c r="D2112" s="9">
        <v>45597</v>
      </c>
      <c r="E2112" s="14">
        <f>VLOOKUP(F2112,CarrierID!A:B,2,0)</f>
        <v>9</v>
      </c>
      <c r="F2112" s="15" t="s">
        <v>3</v>
      </c>
      <c r="G2112" t="str">
        <f>VLOOKUP(F2112,Carrier_Category!A:B,2,0)</f>
        <v>NJT</v>
      </c>
      <c r="H2112" s="5">
        <v>2411</v>
      </c>
      <c r="I2112" s="7">
        <f t="shared" si="100"/>
        <v>18</v>
      </c>
      <c r="J2112" s="5">
        <v>88869</v>
      </c>
      <c r="K2112" s="18">
        <f t="shared" si="99"/>
        <v>36.859809207797596</v>
      </c>
    </row>
    <row r="2113" spans="1:11" x14ac:dyDescent="0.3">
      <c r="A2113" s="14">
        <v>2024</v>
      </c>
      <c r="B2113" s="14">
        <f t="shared" si="98"/>
        <v>44</v>
      </c>
      <c r="C2113" s="9">
        <v>45593</v>
      </c>
      <c r="D2113" s="9">
        <v>45597</v>
      </c>
      <c r="E2113" s="14">
        <f>VLOOKUP(F2113,CarrierID!A:B,2,0)</f>
        <v>7</v>
      </c>
      <c r="F2113" s="15" t="s">
        <v>4</v>
      </c>
      <c r="G2113" t="str">
        <f>VLOOKUP(F2113,Carrier_Category!A:B,2,0)</f>
        <v>Commuter</v>
      </c>
      <c r="H2113" s="5">
        <v>42</v>
      </c>
      <c r="I2113" s="7">
        <f t="shared" si="100"/>
        <v>2402</v>
      </c>
      <c r="J2113" s="5">
        <v>1398</v>
      </c>
      <c r="K2113" s="18">
        <f t="shared" si="99"/>
        <v>33.285714285714285</v>
      </c>
    </row>
    <row r="2114" spans="1:11" x14ac:dyDescent="0.3">
      <c r="A2114" s="14">
        <v>2024</v>
      </c>
      <c r="B2114" s="14">
        <f t="shared" si="98"/>
        <v>44</v>
      </c>
      <c r="C2114" s="9">
        <v>45593</v>
      </c>
      <c r="D2114" s="9">
        <v>45597</v>
      </c>
      <c r="E2114" s="14">
        <f>VLOOKUP(F2114,CarrierID!A:B,2,0)</f>
        <v>11</v>
      </c>
      <c r="F2114" s="15" t="s">
        <v>5</v>
      </c>
      <c r="G2114" t="str">
        <f>VLOOKUP(F2114,Carrier_Category!A:B,2,0)</f>
        <v>Intercity</v>
      </c>
      <c r="H2114" s="5">
        <v>22</v>
      </c>
      <c r="I2114" s="7">
        <f t="shared" si="100"/>
        <v>42</v>
      </c>
      <c r="J2114" s="5">
        <v>562</v>
      </c>
      <c r="K2114" s="18">
        <f t="shared" si="99"/>
        <v>25.545454545454547</v>
      </c>
    </row>
    <row r="2115" spans="1:11" x14ac:dyDescent="0.3">
      <c r="A2115" s="14">
        <v>2024</v>
      </c>
      <c r="B2115" s="14">
        <f t="shared" si="98"/>
        <v>44</v>
      </c>
      <c r="C2115" s="9">
        <v>45593</v>
      </c>
      <c r="D2115" s="9">
        <v>45597</v>
      </c>
      <c r="E2115" s="14">
        <f>VLOOKUP(F2115,CarrierID!A:B,2,0)</f>
        <v>3</v>
      </c>
      <c r="F2115" s="15" t="s">
        <v>6</v>
      </c>
      <c r="G2115" t="str">
        <f>VLOOKUP(F2115,Carrier_Category!A:B,2,0)</f>
        <v>Commuter</v>
      </c>
      <c r="H2115" s="5">
        <v>195</v>
      </c>
      <c r="I2115" s="7">
        <f t="shared" si="100"/>
        <v>23</v>
      </c>
      <c r="J2115" s="5">
        <v>5440</v>
      </c>
      <c r="K2115" s="18">
        <f t="shared" si="99"/>
        <v>27.897435897435898</v>
      </c>
    </row>
    <row r="2116" spans="1:11" x14ac:dyDescent="0.3">
      <c r="A2116" s="14">
        <v>2024</v>
      </c>
      <c r="B2116" s="14">
        <f t="shared" si="98"/>
        <v>44</v>
      </c>
      <c r="C2116" s="9">
        <v>45593</v>
      </c>
      <c r="D2116" s="9">
        <v>45597</v>
      </c>
      <c r="E2116" s="14">
        <f>VLOOKUP(F2116,CarrierID!A:B,2,0)</f>
        <v>12</v>
      </c>
      <c r="F2116" s="15" t="s">
        <v>25</v>
      </c>
      <c r="G2116" t="str">
        <f>VLOOKUP(F2116,Carrier_Category!A:B,2,0)</f>
        <v>Commuter</v>
      </c>
      <c r="H2116" s="5">
        <v>23</v>
      </c>
      <c r="I2116" s="7">
        <f t="shared" si="100"/>
        <v>196</v>
      </c>
      <c r="J2116" s="5">
        <v>637</v>
      </c>
      <c r="K2116" s="18">
        <f t="shared" si="99"/>
        <v>27.695652173913043</v>
      </c>
    </row>
    <row r="2117" spans="1:11" x14ac:dyDescent="0.3">
      <c r="A2117" s="14">
        <v>2024</v>
      </c>
      <c r="B2117" s="14">
        <f t="shared" ref="B2117:B2180" si="101">_xlfn.ISOWEEKNUM(C2117)</f>
        <v>44</v>
      </c>
      <c r="C2117" s="9">
        <v>45593</v>
      </c>
      <c r="D2117" s="9">
        <v>45597</v>
      </c>
      <c r="E2117" s="14">
        <f>VLOOKUP(F2117,CarrierID!A:B,2,0)</f>
        <v>10</v>
      </c>
      <c r="F2117" s="15" t="s">
        <v>8</v>
      </c>
      <c r="G2117" t="str">
        <f>VLOOKUP(F2117,Carrier_Category!A:B,2,0)</f>
        <v>Intercity</v>
      </c>
      <c r="H2117" s="5">
        <v>45</v>
      </c>
      <c r="I2117" s="7">
        <f t="shared" si="100"/>
        <v>23</v>
      </c>
      <c r="J2117" s="5">
        <v>1875</v>
      </c>
      <c r="K2117" s="18">
        <f t="shared" ref="K2117:K2180" si="102">J2117/H2117</f>
        <v>41.666666666666664</v>
      </c>
    </row>
    <row r="2118" spans="1:11" x14ac:dyDescent="0.3">
      <c r="A2118" s="14">
        <v>2024</v>
      </c>
      <c r="B2118" s="14">
        <f t="shared" si="101"/>
        <v>44</v>
      </c>
      <c r="C2118" s="9">
        <v>45593</v>
      </c>
      <c r="D2118" s="9">
        <v>45597</v>
      </c>
      <c r="E2118" s="14">
        <f>VLOOKUP(F2118,CarrierID!A:B,2,0)</f>
        <v>6</v>
      </c>
      <c r="F2118" s="15" t="s">
        <v>9</v>
      </c>
      <c r="G2118" t="str">
        <f>VLOOKUP(F2118,Carrier_Category!A:B,2,0)</f>
        <v>Commuter</v>
      </c>
      <c r="H2118" s="5">
        <v>87</v>
      </c>
      <c r="I2118" s="7">
        <f t="shared" si="100"/>
        <v>45</v>
      </c>
      <c r="J2118" s="5">
        <v>1717</v>
      </c>
      <c r="K2118" s="18">
        <f t="shared" si="102"/>
        <v>19.735632183908045</v>
      </c>
    </row>
    <row r="2119" spans="1:11" x14ac:dyDescent="0.3">
      <c r="A2119" s="14">
        <v>2024</v>
      </c>
      <c r="B2119" s="14">
        <f t="shared" si="101"/>
        <v>45</v>
      </c>
      <c r="C2119" s="9">
        <v>45600</v>
      </c>
      <c r="D2119" s="9">
        <v>45635</v>
      </c>
      <c r="E2119" s="14">
        <f>VLOOKUP(F2119,CarrierID!A:B,2,0)</f>
        <v>1</v>
      </c>
      <c r="F2119" s="15" t="s">
        <v>0</v>
      </c>
      <c r="G2119" t="str">
        <f>VLOOKUP(F2119,Carrier_Category!A:B,2,0)</f>
        <v>Commuter</v>
      </c>
      <c r="H2119" s="5">
        <v>46</v>
      </c>
      <c r="I2119" s="7">
        <f t="shared" si="100"/>
        <v>87</v>
      </c>
      <c r="J2119" s="5">
        <v>1352</v>
      </c>
      <c r="K2119" s="18">
        <f t="shared" si="102"/>
        <v>29.391304347826086</v>
      </c>
    </row>
    <row r="2120" spans="1:11" x14ac:dyDescent="0.3">
      <c r="A2120" s="14">
        <v>2024</v>
      </c>
      <c r="B2120" s="14">
        <f t="shared" si="101"/>
        <v>45</v>
      </c>
      <c r="C2120" s="9">
        <v>45600</v>
      </c>
      <c r="D2120" s="9">
        <v>45635</v>
      </c>
      <c r="E2120" s="14">
        <f>VLOOKUP(F2120,CarrierID!A:B,2,0)</f>
        <v>5</v>
      </c>
      <c r="F2120" s="15" t="s">
        <v>1</v>
      </c>
      <c r="G2120" t="str">
        <f>VLOOKUP(F2120,Carrier_Category!A:B,2,0)</f>
        <v>Intercity</v>
      </c>
      <c r="H2120" s="5">
        <v>59</v>
      </c>
      <c r="I2120" s="7">
        <f t="shared" si="100"/>
        <v>46</v>
      </c>
      <c r="J2120" s="5">
        <v>1219</v>
      </c>
      <c r="K2120" s="18">
        <f t="shared" si="102"/>
        <v>20.661016949152543</v>
      </c>
    </row>
    <row r="2121" spans="1:11" x14ac:dyDescent="0.3">
      <c r="A2121" s="14">
        <v>2024</v>
      </c>
      <c r="B2121" s="14">
        <f t="shared" si="101"/>
        <v>45</v>
      </c>
      <c r="C2121" s="9">
        <v>45600</v>
      </c>
      <c r="D2121" s="9">
        <v>45635</v>
      </c>
      <c r="E2121" s="14">
        <f>VLOOKUP(F2121,CarrierID!A:B,2,0)</f>
        <v>8</v>
      </c>
      <c r="F2121" s="15" t="s">
        <v>2</v>
      </c>
      <c r="G2121" t="str">
        <f>VLOOKUP(F2121,Carrier_Category!A:B,2,0)</f>
        <v>Commuter</v>
      </c>
      <c r="H2121" s="5">
        <v>18</v>
      </c>
      <c r="I2121" s="7">
        <f t="shared" si="100"/>
        <v>59</v>
      </c>
      <c r="J2121" s="5">
        <v>707</v>
      </c>
      <c r="K2121" s="18">
        <f t="shared" si="102"/>
        <v>39.277777777777779</v>
      </c>
    </row>
    <row r="2122" spans="1:11" x14ac:dyDescent="0.3">
      <c r="A2122" s="14">
        <v>2024</v>
      </c>
      <c r="B2122" s="14">
        <f t="shared" si="101"/>
        <v>45</v>
      </c>
      <c r="C2122" s="9">
        <v>45600</v>
      </c>
      <c r="D2122" s="9">
        <v>45635</v>
      </c>
      <c r="E2122" s="14">
        <f>VLOOKUP(F2122,CarrierID!A:B,2,0)</f>
        <v>9</v>
      </c>
      <c r="F2122" s="15" t="s">
        <v>3</v>
      </c>
      <c r="G2122" t="str">
        <f>VLOOKUP(F2122,Carrier_Category!A:B,2,0)</f>
        <v>NJT</v>
      </c>
      <c r="H2122" s="5">
        <v>2417</v>
      </c>
      <c r="I2122" s="7">
        <f t="shared" si="100"/>
        <v>18</v>
      </c>
      <c r="J2122" s="5">
        <v>82028</v>
      </c>
      <c r="K2122" s="18">
        <f t="shared" si="102"/>
        <v>33.937939594538683</v>
      </c>
    </row>
    <row r="2123" spans="1:11" x14ac:dyDescent="0.3">
      <c r="A2123" s="14">
        <v>2024</v>
      </c>
      <c r="B2123" s="14">
        <f t="shared" si="101"/>
        <v>45</v>
      </c>
      <c r="C2123" s="9">
        <v>45600</v>
      </c>
      <c r="D2123" s="9">
        <v>45635</v>
      </c>
      <c r="E2123" s="14">
        <f>VLOOKUP(F2123,CarrierID!A:B,2,0)</f>
        <v>7</v>
      </c>
      <c r="F2123" s="15" t="s">
        <v>4</v>
      </c>
      <c r="G2123" t="str">
        <f>VLOOKUP(F2123,Carrier_Category!A:B,2,0)</f>
        <v>Commuter</v>
      </c>
      <c r="H2123" s="5">
        <v>42</v>
      </c>
      <c r="I2123" s="7">
        <f t="shared" si="100"/>
        <v>2411</v>
      </c>
      <c r="J2123" s="5">
        <v>1360</v>
      </c>
      <c r="K2123" s="18">
        <f t="shared" si="102"/>
        <v>32.38095238095238</v>
      </c>
    </row>
    <row r="2124" spans="1:11" x14ac:dyDescent="0.3">
      <c r="A2124" s="14">
        <v>2024</v>
      </c>
      <c r="B2124" s="14">
        <f t="shared" si="101"/>
        <v>45</v>
      </c>
      <c r="C2124" s="9">
        <v>45600</v>
      </c>
      <c r="D2124" s="9">
        <v>45635</v>
      </c>
      <c r="E2124" s="14">
        <f>VLOOKUP(F2124,CarrierID!A:B,2,0)</f>
        <v>11</v>
      </c>
      <c r="F2124" s="15" t="s">
        <v>5</v>
      </c>
      <c r="G2124" t="str">
        <f>VLOOKUP(F2124,Carrier_Category!A:B,2,0)</f>
        <v>Intercity</v>
      </c>
      <c r="H2124" s="5">
        <v>22</v>
      </c>
      <c r="I2124" s="7">
        <f t="shared" si="100"/>
        <v>42</v>
      </c>
      <c r="J2124" s="5">
        <v>527</v>
      </c>
      <c r="K2124" s="18">
        <f t="shared" si="102"/>
        <v>23.954545454545453</v>
      </c>
    </row>
    <row r="2125" spans="1:11" x14ac:dyDescent="0.3">
      <c r="A2125" s="14">
        <v>2024</v>
      </c>
      <c r="B2125" s="14">
        <f t="shared" si="101"/>
        <v>45</v>
      </c>
      <c r="C2125" s="9">
        <v>45600</v>
      </c>
      <c r="D2125" s="9">
        <v>45635</v>
      </c>
      <c r="E2125" s="14">
        <f>VLOOKUP(F2125,CarrierID!A:B,2,0)</f>
        <v>3</v>
      </c>
      <c r="F2125" s="15" t="s">
        <v>6</v>
      </c>
      <c r="G2125" t="str">
        <f>VLOOKUP(F2125,Carrier_Category!A:B,2,0)</f>
        <v>Commuter</v>
      </c>
      <c r="H2125" s="5">
        <v>189</v>
      </c>
      <c r="I2125" s="7">
        <f t="shared" ref="I2125:I2188" si="103">H2114</f>
        <v>22</v>
      </c>
      <c r="J2125" s="5">
        <v>5260</v>
      </c>
      <c r="K2125" s="18">
        <f t="shared" si="102"/>
        <v>27.830687830687829</v>
      </c>
    </row>
    <row r="2126" spans="1:11" x14ac:dyDescent="0.3">
      <c r="A2126" s="14">
        <v>2024</v>
      </c>
      <c r="B2126" s="14">
        <f t="shared" si="101"/>
        <v>45</v>
      </c>
      <c r="C2126" s="9">
        <v>45600</v>
      </c>
      <c r="D2126" s="9">
        <v>45635</v>
      </c>
      <c r="E2126" s="14">
        <f>VLOOKUP(F2126,CarrierID!A:B,2,0)</f>
        <v>12</v>
      </c>
      <c r="F2126" s="15" t="s">
        <v>25</v>
      </c>
      <c r="G2126" t="str">
        <f>VLOOKUP(F2126,Carrier_Category!A:B,2,0)</f>
        <v>Commuter</v>
      </c>
      <c r="H2126" s="5">
        <v>23</v>
      </c>
      <c r="I2126" s="7">
        <f t="shared" si="103"/>
        <v>195</v>
      </c>
      <c r="J2126" s="5">
        <v>645</v>
      </c>
      <c r="K2126" s="18">
        <f t="shared" si="102"/>
        <v>28.043478260869566</v>
      </c>
    </row>
    <row r="2127" spans="1:11" x14ac:dyDescent="0.3">
      <c r="A2127" s="14">
        <v>2024</v>
      </c>
      <c r="B2127" s="14">
        <f t="shared" si="101"/>
        <v>45</v>
      </c>
      <c r="C2127" s="9">
        <v>45600</v>
      </c>
      <c r="D2127" s="9">
        <v>45635</v>
      </c>
      <c r="E2127" s="14">
        <f>VLOOKUP(F2127,CarrierID!A:B,2,0)</f>
        <v>10</v>
      </c>
      <c r="F2127" s="15" t="s">
        <v>8</v>
      </c>
      <c r="G2127" t="str">
        <f>VLOOKUP(F2127,Carrier_Category!A:B,2,0)</f>
        <v>Intercity</v>
      </c>
      <c r="H2127" s="5">
        <v>45</v>
      </c>
      <c r="I2127" s="7">
        <f t="shared" si="103"/>
        <v>23</v>
      </c>
      <c r="J2127" s="5">
        <v>1875</v>
      </c>
      <c r="K2127" s="18">
        <f t="shared" si="102"/>
        <v>41.666666666666664</v>
      </c>
    </row>
    <row r="2128" spans="1:11" x14ac:dyDescent="0.3">
      <c r="A2128" s="14">
        <v>2024</v>
      </c>
      <c r="B2128" s="14">
        <f t="shared" si="101"/>
        <v>45</v>
      </c>
      <c r="C2128" s="9">
        <v>45600</v>
      </c>
      <c r="D2128" s="9">
        <v>45635</v>
      </c>
      <c r="E2128" s="14">
        <f>VLOOKUP(F2128,CarrierID!A:B,2,0)</f>
        <v>6</v>
      </c>
      <c r="F2128" s="15" t="s">
        <v>9</v>
      </c>
      <c r="G2128" t="str">
        <f>VLOOKUP(F2128,Carrier_Category!A:B,2,0)</f>
        <v>Commuter</v>
      </c>
      <c r="H2128" s="5">
        <v>88</v>
      </c>
      <c r="I2128" s="7">
        <f t="shared" si="103"/>
        <v>45</v>
      </c>
      <c r="J2128" s="5">
        <v>1715</v>
      </c>
      <c r="K2128" s="18">
        <f t="shared" si="102"/>
        <v>19.488636363636363</v>
      </c>
    </row>
    <row r="2129" spans="1:11" x14ac:dyDescent="0.3">
      <c r="A2129" s="14">
        <v>2024</v>
      </c>
      <c r="B2129" s="14">
        <f t="shared" si="101"/>
        <v>46</v>
      </c>
      <c r="C2129" s="9">
        <v>45607</v>
      </c>
      <c r="D2129" s="9">
        <v>45632</v>
      </c>
      <c r="E2129" s="14">
        <f>VLOOKUP(F2129,CarrierID!A:B,2,0)</f>
        <v>1</v>
      </c>
      <c r="F2129" s="15" t="s">
        <v>0</v>
      </c>
      <c r="G2129" t="str">
        <f>VLOOKUP(F2129,Carrier_Category!A:B,2,0)</f>
        <v>Commuter</v>
      </c>
      <c r="H2129" s="5">
        <v>41</v>
      </c>
      <c r="I2129" s="7">
        <f t="shared" si="103"/>
        <v>87</v>
      </c>
      <c r="J2129" s="5">
        <v>1375</v>
      </c>
      <c r="K2129" s="18">
        <f t="shared" si="102"/>
        <v>33.536585365853661</v>
      </c>
    </row>
    <row r="2130" spans="1:11" x14ac:dyDescent="0.3">
      <c r="A2130" s="14">
        <v>2024</v>
      </c>
      <c r="B2130" s="14">
        <f t="shared" si="101"/>
        <v>46</v>
      </c>
      <c r="C2130" s="9">
        <v>45607</v>
      </c>
      <c r="D2130" s="9">
        <v>45632</v>
      </c>
      <c r="E2130" s="14">
        <f>VLOOKUP(F2130,CarrierID!A:B,2,0)</f>
        <v>5</v>
      </c>
      <c r="F2130" s="15" t="s">
        <v>1</v>
      </c>
      <c r="G2130" t="str">
        <f>VLOOKUP(F2130,Carrier_Category!A:B,2,0)</f>
        <v>Intercity</v>
      </c>
      <c r="H2130" s="5">
        <v>59</v>
      </c>
      <c r="I2130" s="7">
        <f t="shared" si="103"/>
        <v>46</v>
      </c>
      <c r="J2130" s="5">
        <v>1297</v>
      </c>
      <c r="K2130" s="18">
        <f t="shared" si="102"/>
        <v>21.983050847457626</v>
      </c>
    </row>
    <row r="2131" spans="1:11" x14ac:dyDescent="0.3">
      <c r="A2131" s="14">
        <v>2024</v>
      </c>
      <c r="B2131" s="14">
        <f t="shared" si="101"/>
        <v>46</v>
      </c>
      <c r="C2131" s="9">
        <v>45607</v>
      </c>
      <c r="D2131" s="9">
        <v>45632</v>
      </c>
      <c r="E2131" s="14">
        <f>VLOOKUP(F2131,CarrierID!A:B,2,0)</f>
        <v>8</v>
      </c>
      <c r="F2131" s="15" t="s">
        <v>2</v>
      </c>
      <c r="G2131" t="str">
        <f>VLOOKUP(F2131,Carrier_Category!A:B,2,0)</f>
        <v>Commuter</v>
      </c>
      <c r="H2131" s="5">
        <v>18</v>
      </c>
      <c r="I2131" s="7">
        <f t="shared" si="103"/>
        <v>59</v>
      </c>
      <c r="J2131" s="5">
        <v>712</v>
      </c>
      <c r="K2131" s="18">
        <f t="shared" si="102"/>
        <v>39.555555555555557</v>
      </c>
    </row>
    <row r="2132" spans="1:11" x14ac:dyDescent="0.3">
      <c r="A2132" s="14">
        <v>2024</v>
      </c>
      <c r="B2132" s="14">
        <f t="shared" si="101"/>
        <v>46</v>
      </c>
      <c r="C2132" s="9">
        <v>45607</v>
      </c>
      <c r="D2132" s="9">
        <v>45632</v>
      </c>
      <c r="E2132" s="14">
        <f>VLOOKUP(F2132,CarrierID!A:B,2,0)</f>
        <v>9</v>
      </c>
      <c r="F2132" s="15" t="s">
        <v>3</v>
      </c>
      <c r="G2132" t="str">
        <f>VLOOKUP(F2132,Carrier_Category!A:B,2,0)</f>
        <v>NJT</v>
      </c>
      <c r="H2132" s="5">
        <v>2423</v>
      </c>
      <c r="I2132" s="7">
        <f t="shared" si="103"/>
        <v>18</v>
      </c>
      <c r="J2132" s="5">
        <v>85805</v>
      </c>
      <c r="K2132" s="18">
        <f t="shared" si="102"/>
        <v>35.412711514651257</v>
      </c>
    </row>
    <row r="2133" spans="1:11" x14ac:dyDescent="0.3">
      <c r="A2133" s="14">
        <v>2024</v>
      </c>
      <c r="B2133" s="14">
        <f t="shared" si="101"/>
        <v>46</v>
      </c>
      <c r="C2133" s="9">
        <v>45607</v>
      </c>
      <c r="D2133" s="9">
        <v>45632</v>
      </c>
      <c r="E2133" s="14">
        <f>VLOOKUP(F2133,CarrierID!A:B,2,0)</f>
        <v>7</v>
      </c>
      <c r="F2133" s="15" t="s">
        <v>4</v>
      </c>
      <c r="G2133" t="str">
        <f>VLOOKUP(F2133,Carrier_Category!A:B,2,0)</f>
        <v>Commuter</v>
      </c>
      <c r="H2133" s="5">
        <v>42</v>
      </c>
      <c r="I2133" s="7">
        <f t="shared" si="103"/>
        <v>2417</v>
      </c>
      <c r="J2133" s="5">
        <v>1378</v>
      </c>
      <c r="K2133" s="18">
        <f t="shared" si="102"/>
        <v>32.80952380952381</v>
      </c>
    </row>
    <row r="2134" spans="1:11" x14ac:dyDescent="0.3">
      <c r="A2134" s="14">
        <v>2024</v>
      </c>
      <c r="B2134" s="14">
        <f t="shared" si="101"/>
        <v>46</v>
      </c>
      <c r="C2134" s="9">
        <v>45607</v>
      </c>
      <c r="D2134" s="9">
        <v>45632</v>
      </c>
      <c r="E2134" s="14">
        <f>VLOOKUP(F2134,CarrierID!A:B,2,0)</f>
        <v>11</v>
      </c>
      <c r="F2134" s="15" t="s">
        <v>5</v>
      </c>
      <c r="G2134" t="str">
        <f>VLOOKUP(F2134,Carrier_Category!A:B,2,0)</f>
        <v>Intercity</v>
      </c>
      <c r="H2134" s="5">
        <v>22</v>
      </c>
      <c r="I2134" s="7">
        <f t="shared" si="103"/>
        <v>42</v>
      </c>
      <c r="J2134" s="5">
        <v>517</v>
      </c>
      <c r="K2134" s="18">
        <f t="shared" si="102"/>
        <v>23.5</v>
      </c>
    </row>
    <row r="2135" spans="1:11" x14ac:dyDescent="0.3">
      <c r="A2135" s="14">
        <v>2024</v>
      </c>
      <c r="B2135" s="14">
        <f t="shared" si="101"/>
        <v>46</v>
      </c>
      <c r="C2135" s="9">
        <v>45607</v>
      </c>
      <c r="D2135" s="9">
        <v>45632</v>
      </c>
      <c r="E2135" s="14">
        <f>VLOOKUP(F2135,CarrierID!A:B,2,0)</f>
        <v>3</v>
      </c>
      <c r="F2135" s="15" t="s">
        <v>6</v>
      </c>
      <c r="G2135" t="str">
        <f>VLOOKUP(F2135,Carrier_Category!A:B,2,0)</f>
        <v>Commuter</v>
      </c>
      <c r="H2135" s="5">
        <v>189</v>
      </c>
      <c r="I2135" s="7">
        <f t="shared" si="103"/>
        <v>22</v>
      </c>
      <c r="J2135" s="5">
        <v>5364</v>
      </c>
      <c r="K2135" s="18">
        <f t="shared" si="102"/>
        <v>28.38095238095238</v>
      </c>
    </row>
    <row r="2136" spans="1:11" x14ac:dyDescent="0.3">
      <c r="A2136" s="14">
        <v>2024</v>
      </c>
      <c r="B2136" s="14">
        <f t="shared" si="101"/>
        <v>46</v>
      </c>
      <c r="C2136" s="9">
        <v>45607</v>
      </c>
      <c r="D2136" s="9">
        <v>45632</v>
      </c>
      <c r="E2136" s="14">
        <f>VLOOKUP(F2136,CarrierID!A:B,2,0)</f>
        <v>12</v>
      </c>
      <c r="F2136" s="15" t="s">
        <v>25</v>
      </c>
      <c r="G2136" t="str">
        <f>VLOOKUP(F2136,Carrier_Category!A:B,2,0)</f>
        <v>Commuter</v>
      </c>
      <c r="H2136" s="5">
        <v>23</v>
      </c>
      <c r="I2136" s="7">
        <f t="shared" si="103"/>
        <v>189</v>
      </c>
      <c r="J2136" s="5">
        <v>672</v>
      </c>
      <c r="K2136" s="18">
        <f t="shared" si="102"/>
        <v>29.217391304347824</v>
      </c>
    </row>
    <row r="2137" spans="1:11" x14ac:dyDescent="0.3">
      <c r="A2137" s="14">
        <v>2024</v>
      </c>
      <c r="B2137" s="14">
        <f t="shared" si="101"/>
        <v>46</v>
      </c>
      <c r="C2137" s="9">
        <v>45607</v>
      </c>
      <c r="D2137" s="9">
        <v>45632</v>
      </c>
      <c r="E2137" s="14">
        <f>VLOOKUP(F2137,CarrierID!A:B,2,0)</f>
        <v>10</v>
      </c>
      <c r="F2137" s="15" t="s">
        <v>8</v>
      </c>
      <c r="G2137" t="str">
        <f>VLOOKUP(F2137,Carrier_Category!A:B,2,0)</f>
        <v>Intercity</v>
      </c>
      <c r="H2137" s="5">
        <v>45</v>
      </c>
      <c r="I2137" s="7">
        <f t="shared" si="103"/>
        <v>23</v>
      </c>
      <c r="J2137" s="5">
        <v>1875</v>
      </c>
      <c r="K2137" s="18">
        <f t="shared" si="102"/>
        <v>41.666666666666664</v>
      </c>
    </row>
    <row r="2138" spans="1:11" x14ac:dyDescent="0.3">
      <c r="A2138" s="14">
        <v>2024</v>
      </c>
      <c r="B2138" s="14">
        <f t="shared" si="101"/>
        <v>46</v>
      </c>
      <c r="C2138" s="9">
        <v>45607</v>
      </c>
      <c r="D2138" s="9">
        <v>45632</v>
      </c>
      <c r="E2138" s="14">
        <f>VLOOKUP(F2138,CarrierID!A:B,2,0)</f>
        <v>6</v>
      </c>
      <c r="F2138" s="15" t="s">
        <v>9</v>
      </c>
      <c r="G2138" t="str">
        <f>VLOOKUP(F2138,Carrier_Category!A:B,2,0)</f>
        <v>Commuter</v>
      </c>
      <c r="H2138" s="5">
        <v>88</v>
      </c>
      <c r="I2138" s="7">
        <f t="shared" si="103"/>
        <v>45</v>
      </c>
      <c r="J2138" s="5">
        <v>1675</v>
      </c>
      <c r="K2138" s="18">
        <f t="shared" si="102"/>
        <v>19.03409090909091</v>
      </c>
    </row>
    <row r="2139" spans="1:11" x14ac:dyDescent="0.3">
      <c r="A2139" s="14">
        <v>2024</v>
      </c>
      <c r="B2139" s="14">
        <f t="shared" si="101"/>
        <v>47</v>
      </c>
      <c r="C2139" s="9">
        <v>45614</v>
      </c>
      <c r="D2139" s="9">
        <v>45629</v>
      </c>
      <c r="E2139" s="14">
        <f>VLOOKUP(F2139,CarrierID!A:B,2,0)</f>
        <v>1</v>
      </c>
      <c r="F2139" s="15" t="s">
        <v>0</v>
      </c>
      <c r="G2139" t="str">
        <f>VLOOKUP(F2139,Carrier_Category!A:B,2,0)</f>
        <v>Commuter</v>
      </c>
      <c r="H2139" s="5">
        <v>46</v>
      </c>
      <c r="I2139" s="7">
        <f t="shared" si="103"/>
        <v>88</v>
      </c>
      <c r="J2139" s="5">
        <v>1487</v>
      </c>
      <c r="K2139" s="18">
        <f t="shared" si="102"/>
        <v>32.326086956521742</v>
      </c>
    </row>
    <row r="2140" spans="1:11" x14ac:dyDescent="0.3">
      <c r="A2140" s="14">
        <v>2024</v>
      </c>
      <c r="B2140" s="14">
        <f t="shared" si="101"/>
        <v>47</v>
      </c>
      <c r="C2140" s="9">
        <v>45614</v>
      </c>
      <c r="D2140" s="9">
        <v>45629</v>
      </c>
      <c r="E2140" s="14">
        <f>VLOOKUP(F2140,CarrierID!A:B,2,0)</f>
        <v>5</v>
      </c>
      <c r="F2140" s="15" t="s">
        <v>1</v>
      </c>
      <c r="G2140" t="str">
        <f>VLOOKUP(F2140,Carrier_Category!A:B,2,0)</f>
        <v>Intercity</v>
      </c>
      <c r="H2140" s="5">
        <v>59</v>
      </c>
      <c r="I2140" s="7">
        <f t="shared" si="103"/>
        <v>41</v>
      </c>
      <c r="J2140" s="5">
        <v>1117</v>
      </c>
      <c r="K2140" s="18">
        <f t="shared" si="102"/>
        <v>18.932203389830509</v>
      </c>
    </row>
    <row r="2141" spans="1:11" x14ac:dyDescent="0.3">
      <c r="A2141" s="14">
        <v>2024</v>
      </c>
      <c r="B2141" s="14">
        <f t="shared" si="101"/>
        <v>47</v>
      </c>
      <c r="C2141" s="9">
        <v>45614</v>
      </c>
      <c r="D2141" s="9">
        <v>45629</v>
      </c>
      <c r="E2141" s="14">
        <f>VLOOKUP(F2141,CarrierID!A:B,2,0)</f>
        <v>8</v>
      </c>
      <c r="F2141" s="15" t="s">
        <v>2</v>
      </c>
      <c r="G2141" t="str">
        <f>VLOOKUP(F2141,Carrier_Category!A:B,2,0)</f>
        <v>Commuter</v>
      </c>
      <c r="H2141" s="5">
        <v>18</v>
      </c>
      <c r="I2141" s="7">
        <f t="shared" si="103"/>
        <v>59</v>
      </c>
      <c r="J2141" s="5">
        <v>732</v>
      </c>
      <c r="K2141" s="18">
        <f t="shared" si="102"/>
        <v>40.666666666666664</v>
      </c>
    </row>
    <row r="2142" spans="1:11" x14ac:dyDescent="0.3">
      <c r="A2142" s="14">
        <v>2024</v>
      </c>
      <c r="B2142" s="14">
        <f t="shared" si="101"/>
        <v>47</v>
      </c>
      <c r="C2142" s="9">
        <v>45614</v>
      </c>
      <c r="D2142" s="9">
        <v>45629</v>
      </c>
      <c r="E2142" s="14">
        <f>VLOOKUP(F2142,CarrierID!A:B,2,0)</f>
        <v>9</v>
      </c>
      <c r="F2142" s="15" t="s">
        <v>3</v>
      </c>
      <c r="G2142" t="str">
        <f>VLOOKUP(F2142,Carrier_Category!A:B,2,0)</f>
        <v>NJT</v>
      </c>
      <c r="H2142" s="5">
        <v>2442</v>
      </c>
      <c r="I2142" s="7">
        <f t="shared" si="103"/>
        <v>18</v>
      </c>
      <c r="J2142" s="5">
        <v>84545</v>
      </c>
      <c r="K2142" s="18">
        <f t="shared" si="102"/>
        <v>34.621212121212125</v>
      </c>
    </row>
    <row r="2143" spans="1:11" x14ac:dyDescent="0.3">
      <c r="A2143" s="14">
        <v>2024</v>
      </c>
      <c r="B2143" s="14">
        <f t="shared" si="101"/>
        <v>47</v>
      </c>
      <c r="C2143" s="9">
        <v>45614</v>
      </c>
      <c r="D2143" s="9">
        <v>45629</v>
      </c>
      <c r="E2143" s="14">
        <f>VLOOKUP(F2143,CarrierID!A:B,2,0)</f>
        <v>7</v>
      </c>
      <c r="F2143" s="15" t="s">
        <v>4</v>
      </c>
      <c r="G2143" t="str">
        <f>VLOOKUP(F2143,Carrier_Category!A:B,2,0)</f>
        <v>Commuter</v>
      </c>
      <c r="H2143" s="5">
        <v>42</v>
      </c>
      <c r="I2143" s="7">
        <f t="shared" si="103"/>
        <v>2423</v>
      </c>
      <c r="J2143" s="5">
        <v>1446</v>
      </c>
      <c r="K2143" s="18">
        <f t="shared" si="102"/>
        <v>34.428571428571431</v>
      </c>
    </row>
    <row r="2144" spans="1:11" x14ac:dyDescent="0.3">
      <c r="A2144" s="14">
        <v>2024</v>
      </c>
      <c r="B2144" s="14">
        <f t="shared" si="101"/>
        <v>47</v>
      </c>
      <c r="C2144" s="9">
        <v>45614</v>
      </c>
      <c r="D2144" s="9">
        <v>45629</v>
      </c>
      <c r="E2144" s="14">
        <f>VLOOKUP(F2144,CarrierID!A:B,2,0)</f>
        <v>11</v>
      </c>
      <c r="F2144" s="15" t="s">
        <v>5</v>
      </c>
      <c r="G2144" t="str">
        <f>VLOOKUP(F2144,Carrier_Category!A:B,2,0)</f>
        <v>Intercity</v>
      </c>
      <c r="H2144" s="5">
        <v>20</v>
      </c>
      <c r="I2144" s="7">
        <f t="shared" si="103"/>
        <v>42</v>
      </c>
      <c r="J2144" s="5">
        <v>432</v>
      </c>
      <c r="K2144" s="18">
        <f t="shared" si="102"/>
        <v>21.6</v>
      </c>
    </row>
    <row r="2145" spans="1:11" x14ac:dyDescent="0.3">
      <c r="A2145" s="14">
        <v>2024</v>
      </c>
      <c r="B2145" s="14">
        <f t="shared" si="101"/>
        <v>47</v>
      </c>
      <c r="C2145" s="9">
        <v>45614</v>
      </c>
      <c r="D2145" s="9">
        <v>45629</v>
      </c>
      <c r="E2145" s="14">
        <f>VLOOKUP(F2145,CarrierID!A:B,2,0)</f>
        <v>3</v>
      </c>
      <c r="F2145" s="15" t="s">
        <v>6</v>
      </c>
      <c r="G2145" t="str">
        <f>VLOOKUP(F2145,Carrier_Category!A:B,2,0)</f>
        <v>Commuter</v>
      </c>
      <c r="H2145" s="5">
        <v>186</v>
      </c>
      <c r="I2145" s="7">
        <f t="shared" si="103"/>
        <v>22</v>
      </c>
      <c r="J2145" s="5">
        <v>5549</v>
      </c>
      <c r="K2145" s="18">
        <f t="shared" si="102"/>
        <v>29.833333333333332</v>
      </c>
    </row>
    <row r="2146" spans="1:11" x14ac:dyDescent="0.3">
      <c r="A2146" s="14">
        <v>2024</v>
      </c>
      <c r="B2146" s="14">
        <f t="shared" si="101"/>
        <v>47</v>
      </c>
      <c r="C2146" s="9">
        <v>45614</v>
      </c>
      <c r="D2146" s="9">
        <v>45629</v>
      </c>
      <c r="E2146" s="14">
        <f>VLOOKUP(F2146,CarrierID!A:B,2,0)</f>
        <v>12</v>
      </c>
      <c r="F2146" s="15" t="s">
        <v>25</v>
      </c>
      <c r="G2146" t="str">
        <f>VLOOKUP(F2146,Carrier_Category!A:B,2,0)</f>
        <v>Commuter</v>
      </c>
      <c r="H2146" s="5">
        <v>23</v>
      </c>
      <c r="I2146" s="7">
        <f t="shared" si="103"/>
        <v>189</v>
      </c>
      <c r="J2146" s="5">
        <v>670</v>
      </c>
      <c r="K2146" s="18">
        <f t="shared" si="102"/>
        <v>29.130434782608695</v>
      </c>
    </row>
    <row r="2147" spans="1:11" x14ac:dyDescent="0.3">
      <c r="A2147" s="14">
        <v>2024</v>
      </c>
      <c r="B2147" s="14">
        <f t="shared" si="101"/>
        <v>47</v>
      </c>
      <c r="C2147" s="9">
        <v>45614</v>
      </c>
      <c r="D2147" s="9">
        <v>45629</v>
      </c>
      <c r="E2147" s="14">
        <f>VLOOKUP(F2147,CarrierID!A:B,2,0)</f>
        <v>10</v>
      </c>
      <c r="F2147" s="15" t="s">
        <v>8</v>
      </c>
      <c r="G2147" t="str">
        <f>VLOOKUP(F2147,Carrier_Category!A:B,2,0)</f>
        <v>Intercity</v>
      </c>
      <c r="H2147" s="5">
        <v>45</v>
      </c>
      <c r="I2147" s="7">
        <f t="shared" si="103"/>
        <v>23</v>
      </c>
      <c r="J2147" s="5">
        <v>1875</v>
      </c>
      <c r="K2147" s="18">
        <f t="shared" si="102"/>
        <v>41.666666666666664</v>
      </c>
    </row>
    <row r="2148" spans="1:11" x14ac:dyDescent="0.3">
      <c r="A2148" s="14">
        <v>2024</v>
      </c>
      <c r="B2148" s="14">
        <f t="shared" si="101"/>
        <v>47</v>
      </c>
      <c r="C2148" s="9">
        <v>45614</v>
      </c>
      <c r="D2148" s="9">
        <v>45629</v>
      </c>
      <c r="E2148" s="14">
        <f>VLOOKUP(F2148,CarrierID!A:B,2,0)</f>
        <v>6</v>
      </c>
      <c r="F2148" s="15" t="s">
        <v>9</v>
      </c>
      <c r="G2148" t="str">
        <f>VLOOKUP(F2148,Carrier_Category!A:B,2,0)</f>
        <v>Commuter</v>
      </c>
      <c r="H2148" s="5">
        <v>88</v>
      </c>
      <c r="I2148" s="7">
        <f t="shared" si="103"/>
        <v>45</v>
      </c>
      <c r="J2148" s="5">
        <v>1675</v>
      </c>
      <c r="K2148" s="18">
        <f t="shared" si="102"/>
        <v>19.03409090909091</v>
      </c>
    </row>
    <row r="2149" spans="1:11" x14ac:dyDescent="0.3">
      <c r="A2149" s="14">
        <v>2024</v>
      </c>
      <c r="B2149" s="14">
        <f t="shared" si="101"/>
        <v>48</v>
      </c>
      <c r="C2149" s="9">
        <v>45621</v>
      </c>
      <c r="D2149" s="9">
        <v>45626</v>
      </c>
      <c r="E2149" s="14">
        <f>VLOOKUP(F2149,CarrierID!A:B,2,0)</f>
        <v>1</v>
      </c>
      <c r="F2149" s="15" t="s">
        <v>0</v>
      </c>
      <c r="G2149" t="str">
        <f>VLOOKUP(F2149,Carrier_Category!A:B,2,0)</f>
        <v>Commuter</v>
      </c>
      <c r="I2149" s="7">
        <f t="shared" si="103"/>
        <v>88</v>
      </c>
      <c r="K2149" s="18" t="e">
        <f t="shared" si="102"/>
        <v>#DIV/0!</v>
      </c>
    </row>
    <row r="2150" spans="1:11" x14ac:dyDescent="0.3">
      <c r="A2150" s="14">
        <v>2024</v>
      </c>
      <c r="B2150" s="14">
        <f t="shared" si="101"/>
        <v>48</v>
      </c>
      <c r="C2150" s="9">
        <v>45621</v>
      </c>
      <c r="D2150" s="9">
        <v>45626</v>
      </c>
      <c r="E2150" s="14">
        <f>VLOOKUP(F2150,CarrierID!A:B,2,0)</f>
        <v>5</v>
      </c>
      <c r="F2150" s="15" t="s">
        <v>1</v>
      </c>
      <c r="G2150" t="str">
        <f>VLOOKUP(F2150,Carrier_Category!A:B,2,0)</f>
        <v>Intercity</v>
      </c>
      <c r="I2150" s="7">
        <f t="shared" si="103"/>
        <v>46</v>
      </c>
      <c r="K2150" s="18" t="e">
        <f t="shared" si="102"/>
        <v>#DIV/0!</v>
      </c>
    </row>
    <row r="2151" spans="1:11" x14ac:dyDescent="0.3">
      <c r="A2151" s="14">
        <v>2024</v>
      </c>
      <c r="B2151" s="14">
        <f t="shared" si="101"/>
        <v>48</v>
      </c>
      <c r="C2151" s="9">
        <v>45621</v>
      </c>
      <c r="D2151" s="9">
        <v>45626</v>
      </c>
      <c r="E2151" s="14">
        <f>VLOOKUP(F2151,CarrierID!A:B,2,0)</f>
        <v>8</v>
      </c>
      <c r="F2151" s="15" t="s">
        <v>2</v>
      </c>
      <c r="G2151" t="str">
        <f>VLOOKUP(F2151,Carrier_Category!A:B,2,0)</f>
        <v>Commuter</v>
      </c>
      <c r="I2151" s="7">
        <f t="shared" si="103"/>
        <v>59</v>
      </c>
      <c r="K2151" s="18" t="e">
        <f t="shared" si="102"/>
        <v>#DIV/0!</v>
      </c>
    </row>
    <row r="2152" spans="1:11" x14ac:dyDescent="0.3">
      <c r="A2152" s="14">
        <v>2024</v>
      </c>
      <c r="B2152" s="14">
        <f t="shared" si="101"/>
        <v>48</v>
      </c>
      <c r="C2152" s="9">
        <v>45621</v>
      </c>
      <c r="D2152" s="9">
        <v>45626</v>
      </c>
      <c r="E2152" s="14">
        <f>VLOOKUP(F2152,CarrierID!A:B,2,0)</f>
        <v>9</v>
      </c>
      <c r="F2152" s="15" t="s">
        <v>3</v>
      </c>
      <c r="G2152" t="str">
        <f>VLOOKUP(F2152,Carrier_Category!A:B,2,0)</f>
        <v>NJT</v>
      </c>
      <c r="I2152" s="7">
        <f t="shared" si="103"/>
        <v>18</v>
      </c>
      <c r="K2152" s="18" t="e">
        <f t="shared" si="102"/>
        <v>#DIV/0!</v>
      </c>
    </row>
    <row r="2153" spans="1:11" x14ac:dyDescent="0.3">
      <c r="A2153" s="14">
        <v>2024</v>
      </c>
      <c r="B2153" s="14">
        <f t="shared" si="101"/>
        <v>48</v>
      </c>
      <c r="C2153" s="9">
        <v>45621</v>
      </c>
      <c r="D2153" s="9">
        <v>45626</v>
      </c>
      <c r="E2153" s="14">
        <f>VLOOKUP(F2153,CarrierID!A:B,2,0)</f>
        <v>7</v>
      </c>
      <c r="F2153" s="15" t="s">
        <v>4</v>
      </c>
      <c r="G2153" t="str">
        <f>VLOOKUP(F2153,Carrier_Category!A:B,2,0)</f>
        <v>Commuter</v>
      </c>
      <c r="I2153" s="7">
        <f t="shared" si="103"/>
        <v>2442</v>
      </c>
      <c r="K2153" s="18" t="e">
        <f t="shared" si="102"/>
        <v>#DIV/0!</v>
      </c>
    </row>
    <row r="2154" spans="1:11" x14ac:dyDescent="0.3">
      <c r="A2154" s="14">
        <v>2024</v>
      </c>
      <c r="B2154" s="14">
        <f t="shared" si="101"/>
        <v>48</v>
      </c>
      <c r="C2154" s="9">
        <v>45621</v>
      </c>
      <c r="D2154" s="9">
        <v>45626</v>
      </c>
      <c r="E2154" s="14">
        <f>VLOOKUP(F2154,CarrierID!A:B,2,0)</f>
        <v>11</v>
      </c>
      <c r="F2154" s="15" t="s">
        <v>5</v>
      </c>
      <c r="G2154" t="str">
        <f>VLOOKUP(F2154,Carrier_Category!A:B,2,0)</f>
        <v>Intercity</v>
      </c>
      <c r="I2154" s="7">
        <f t="shared" si="103"/>
        <v>42</v>
      </c>
      <c r="K2154" s="18" t="e">
        <f t="shared" si="102"/>
        <v>#DIV/0!</v>
      </c>
    </row>
    <row r="2155" spans="1:11" x14ac:dyDescent="0.3">
      <c r="A2155" s="14">
        <v>2024</v>
      </c>
      <c r="B2155" s="14">
        <f t="shared" si="101"/>
        <v>48</v>
      </c>
      <c r="C2155" s="9">
        <v>45621</v>
      </c>
      <c r="D2155" s="9">
        <v>45626</v>
      </c>
      <c r="E2155" s="14">
        <f>VLOOKUP(F2155,CarrierID!A:B,2,0)</f>
        <v>3</v>
      </c>
      <c r="F2155" s="15" t="s">
        <v>6</v>
      </c>
      <c r="G2155" t="str">
        <f>VLOOKUP(F2155,Carrier_Category!A:B,2,0)</f>
        <v>Commuter</v>
      </c>
      <c r="I2155" s="7">
        <f t="shared" si="103"/>
        <v>20</v>
      </c>
      <c r="K2155" s="18" t="e">
        <f t="shared" si="102"/>
        <v>#DIV/0!</v>
      </c>
    </row>
    <row r="2156" spans="1:11" x14ac:dyDescent="0.3">
      <c r="A2156" s="14">
        <v>2024</v>
      </c>
      <c r="B2156" s="14">
        <f t="shared" si="101"/>
        <v>48</v>
      </c>
      <c r="C2156" s="9">
        <v>45621</v>
      </c>
      <c r="D2156" s="9">
        <v>45626</v>
      </c>
      <c r="E2156" s="14">
        <f>VLOOKUP(F2156,CarrierID!A:B,2,0)</f>
        <v>12</v>
      </c>
      <c r="F2156" s="15" t="s">
        <v>25</v>
      </c>
      <c r="G2156" t="str">
        <f>VLOOKUP(F2156,Carrier_Category!A:B,2,0)</f>
        <v>Commuter</v>
      </c>
      <c r="I2156" s="7">
        <f t="shared" si="103"/>
        <v>186</v>
      </c>
      <c r="K2156" s="18" t="e">
        <f t="shared" si="102"/>
        <v>#DIV/0!</v>
      </c>
    </row>
    <row r="2157" spans="1:11" x14ac:dyDescent="0.3">
      <c r="A2157" s="14">
        <v>2024</v>
      </c>
      <c r="B2157" s="14">
        <f t="shared" si="101"/>
        <v>48</v>
      </c>
      <c r="C2157" s="9">
        <v>45621</v>
      </c>
      <c r="D2157" s="9">
        <v>45626</v>
      </c>
      <c r="E2157" s="14">
        <f>VLOOKUP(F2157,CarrierID!A:B,2,0)</f>
        <v>10</v>
      </c>
      <c r="F2157" s="15" t="s">
        <v>8</v>
      </c>
      <c r="G2157" t="str">
        <f>VLOOKUP(F2157,Carrier_Category!A:B,2,0)</f>
        <v>Intercity</v>
      </c>
      <c r="I2157" s="7">
        <f t="shared" si="103"/>
        <v>23</v>
      </c>
      <c r="K2157" s="18" t="e">
        <f t="shared" si="102"/>
        <v>#DIV/0!</v>
      </c>
    </row>
    <row r="2158" spans="1:11" x14ac:dyDescent="0.3">
      <c r="A2158" s="14">
        <v>2024</v>
      </c>
      <c r="B2158" s="14">
        <f t="shared" si="101"/>
        <v>48</v>
      </c>
      <c r="C2158" s="9">
        <v>45621</v>
      </c>
      <c r="D2158" s="9">
        <v>45626</v>
      </c>
      <c r="E2158" s="14">
        <f>VLOOKUP(F2158,CarrierID!A:B,2,0)</f>
        <v>6</v>
      </c>
      <c r="F2158" s="15" t="s">
        <v>9</v>
      </c>
      <c r="G2158" t="str">
        <f>VLOOKUP(F2158,Carrier_Category!A:B,2,0)</f>
        <v>Commuter</v>
      </c>
      <c r="I2158" s="7">
        <f t="shared" si="103"/>
        <v>45</v>
      </c>
      <c r="K2158" s="18" t="e">
        <f t="shared" si="102"/>
        <v>#DIV/0!</v>
      </c>
    </row>
    <row r="2159" spans="1:11" x14ac:dyDescent="0.3">
      <c r="A2159" s="14">
        <v>2024</v>
      </c>
      <c r="B2159" s="14">
        <f t="shared" si="101"/>
        <v>49</v>
      </c>
      <c r="C2159" s="9">
        <v>45628</v>
      </c>
      <c r="D2159" s="9">
        <v>45633</v>
      </c>
      <c r="E2159" s="14">
        <f>VLOOKUP(F2159,CarrierID!A:B,2,0)</f>
        <v>1</v>
      </c>
      <c r="F2159" s="15" t="s">
        <v>0</v>
      </c>
      <c r="G2159" t="str">
        <f>VLOOKUP(F2159,Carrier_Category!A:B,2,0)</f>
        <v>Commuter</v>
      </c>
      <c r="H2159" s="5">
        <v>49</v>
      </c>
      <c r="I2159" s="7">
        <f t="shared" si="103"/>
        <v>88</v>
      </c>
      <c r="J2159" s="5">
        <v>1577</v>
      </c>
      <c r="K2159" s="18">
        <f t="shared" si="102"/>
        <v>32.183673469387756</v>
      </c>
    </row>
    <row r="2160" spans="1:11" x14ac:dyDescent="0.3">
      <c r="A2160" s="14">
        <v>2024</v>
      </c>
      <c r="B2160" s="14">
        <f t="shared" si="101"/>
        <v>49</v>
      </c>
      <c r="C2160" s="9">
        <v>45628</v>
      </c>
      <c r="D2160" s="9">
        <v>45633</v>
      </c>
      <c r="E2160" s="14">
        <f>VLOOKUP(F2160,CarrierID!A:B,2,0)</f>
        <v>5</v>
      </c>
      <c r="F2160" s="15" t="s">
        <v>1</v>
      </c>
      <c r="G2160" t="str">
        <f>VLOOKUP(F2160,Carrier_Category!A:B,2,0)</f>
        <v>Intercity</v>
      </c>
      <c r="H2160" s="5">
        <v>59</v>
      </c>
      <c r="I2160" s="7">
        <f t="shared" si="103"/>
        <v>0</v>
      </c>
      <c r="J2160" s="5">
        <v>1125</v>
      </c>
      <c r="K2160" s="18">
        <f t="shared" si="102"/>
        <v>19.067796610169491</v>
      </c>
    </row>
    <row r="2161" spans="1:11" x14ac:dyDescent="0.3">
      <c r="A2161" s="14">
        <v>2024</v>
      </c>
      <c r="B2161" s="14">
        <f t="shared" si="101"/>
        <v>49</v>
      </c>
      <c r="C2161" s="9">
        <v>45628</v>
      </c>
      <c r="D2161" s="9">
        <v>45633</v>
      </c>
      <c r="E2161" s="14">
        <f>VLOOKUP(F2161,CarrierID!A:B,2,0)</f>
        <v>8</v>
      </c>
      <c r="F2161" s="15" t="s">
        <v>2</v>
      </c>
      <c r="G2161" t="str">
        <f>VLOOKUP(F2161,Carrier_Category!A:B,2,0)</f>
        <v>Commuter</v>
      </c>
      <c r="H2161" s="5">
        <v>18</v>
      </c>
      <c r="I2161" s="7">
        <f t="shared" si="103"/>
        <v>0</v>
      </c>
      <c r="J2161" s="5">
        <v>746</v>
      </c>
      <c r="K2161" s="18">
        <f t="shared" si="102"/>
        <v>41.444444444444443</v>
      </c>
    </row>
    <row r="2162" spans="1:11" x14ac:dyDescent="0.3">
      <c r="A2162" s="14">
        <v>2024</v>
      </c>
      <c r="B2162" s="14">
        <f t="shared" si="101"/>
        <v>49</v>
      </c>
      <c r="C2162" s="9">
        <v>45628</v>
      </c>
      <c r="D2162" s="9">
        <v>45633</v>
      </c>
      <c r="E2162" s="14">
        <f>VLOOKUP(F2162,CarrierID!A:B,2,0)</f>
        <v>9</v>
      </c>
      <c r="F2162" s="15" t="s">
        <v>3</v>
      </c>
      <c r="G2162" t="str">
        <f>VLOOKUP(F2162,Carrier_Category!A:B,2,0)</f>
        <v>NJT</v>
      </c>
      <c r="H2162" s="5">
        <v>2405</v>
      </c>
      <c r="I2162" s="7">
        <f t="shared" si="103"/>
        <v>0</v>
      </c>
      <c r="J2162" s="5">
        <v>86272</v>
      </c>
      <c r="K2162" s="18">
        <f t="shared" si="102"/>
        <v>35.871933471933474</v>
      </c>
    </row>
    <row r="2163" spans="1:11" x14ac:dyDescent="0.3">
      <c r="A2163" s="14">
        <v>2024</v>
      </c>
      <c r="B2163" s="14">
        <f t="shared" si="101"/>
        <v>49</v>
      </c>
      <c r="C2163" s="9">
        <v>45628</v>
      </c>
      <c r="D2163" s="9">
        <v>45633</v>
      </c>
      <c r="E2163" s="14">
        <f>VLOOKUP(F2163,CarrierID!A:B,2,0)</f>
        <v>7</v>
      </c>
      <c r="F2163" s="15" t="s">
        <v>4</v>
      </c>
      <c r="G2163" t="str">
        <f>VLOOKUP(F2163,Carrier_Category!A:B,2,0)</f>
        <v>Commuter</v>
      </c>
      <c r="H2163" s="5">
        <v>45</v>
      </c>
      <c r="I2163" s="7">
        <f t="shared" si="103"/>
        <v>0</v>
      </c>
      <c r="J2163" s="5">
        <v>1518</v>
      </c>
      <c r="K2163" s="18">
        <f t="shared" si="102"/>
        <v>33.733333333333334</v>
      </c>
    </row>
    <row r="2164" spans="1:11" x14ac:dyDescent="0.3">
      <c r="A2164" s="14">
        <v>2024</v>
      </c>
      <c r="B2164" s="14">
        <f t="shared" si="101"/>
        <v>49</v>
      </c>
      <c r="C2164" s="9">
        <v>45628</v>
      </c>
      <c r="D2164" s="9">
        <v>45633</v>
      </c>
      <c r="E2164" s="14">
        <f>VLOOKUP(F2164,CarrierID!A:B,2,0)</f>
        <v>11</v>
      </c>
      <c r="F2164" s="15" t="s">
        <v>5</v>
      </c>
      <c r="G2164" t="str">
        <f>VLOOKUP(F2164,Carrier_Category!A:B,2,0)</f>
        <v>Intercity</v>
      </c>
      <c r="H2164" s="5">
        <v>22</v>
      </c>
      <c r="I2164" s="7">
        <f t="shared" si="103"/>
        <v>0</v>
      </c>
      <c r="J2164" s="5">
        <v>530</v>
      </c>
      <c r="K2164" s="18">
        <f t="shared" si="102"/>
        <v>24.09090909090909</v>
      </c>
    </row>
    <row r="2165" spans="1:11" x14ac:dyDescent="0.3">
      <c r="A2165" s="14">
        <v>2024</v>
      </c>
      <c r="B2165" s="14">
        <f t="shared" si="101"/>
        <v>49</v>
      </c>
      <c r="C2165" s="9">
        <v>45628</v>
      </c>
      <c r="D2165" s="9">
        <v>45633</v>
      </c>
      <c r="E2165" s="14">
        <f>VLOOKUP(F2165,CarrierID!A:B,2,0)</f>
        <v>3</v>
      </c>
      <c r="F2165" s="15" t="s">
        <v>6</v>
      </c>
      <c r="G2165" t="str">
        <f>VLOOKUP(F2165,Carrier_Category!A:B,2,0)</f>
        <v>Commuter</v>
      </c>
      <c r="H2165" s="5">
        <v>193</v>
      </c>
      <c r="I2165" s="7">
        <f t="shared" si="103"/>
        <v>0</v>
      </c>
      <c r="J2165" s="5">
        <v>5864</v>
      </c>
      <c r="K2165" s="18">
        <f t="shared" si="102"/>
        <v>30.383419689119172</v>
      </c>
    </row>
    <row r="2166" spans="1:11" x14ac:dyDescent="0.3">
      <c r="A2166" s="14">
        <v>2024</v>
      </c>
      <c r="B2166" s="14">
        <f t="shared" si="101"/>
        <v>49</v>
      </c>
      <c r="C2166" s="9">
        <v>45628</v>
      </c>
      <c r="D2166" s="9">
        <v>45633</v>
      </c>
      <c r="E2166" s="14">
        <f>VLOOKUP(F2166,CarrierID!A:B,2,0)</f>
        <v>12</v>
      </c>
      <c r="F2166" s="15" t="s">
        <v>25</v>
      </c>
      <c r="G2166" t="str">
        <f>VLOOKUP(F2166,Carrier_Category!A:B,2,0)</f>
        <v>Commuter</v>
      </c>
      <c r="H2166" s="5">
        <v>21</v>
      </c>
      <c r="I2166" s="7">
        <f t="shared" si="103"/>
        <v>0</v>
      </c>
      <c r="J2166" s="5">
        <v>631</v>
      </c>
      <c r="K2166" s="18">
        <f t="shared" si="102"/>
        <v>30.047619047619047</v>
      </c>
    </row>
    <row r="2167" spans="1:11" x14ac:dyDescent="0.3">
      <c r="A2167" s="14">
        <v>2024</v>
      </c>
      <c r="B2167" s="14">
        <f t="shared" si="101"/>
        <v>49</v>
      </c>
      <c r="C2167" s="9">
        <v>45628</v>
      </c>
      <c r="D2167" s="9">
        <v>45633</v>
      </c>
      <c r="E2167" s="14">
        <f>VLOOKUP(F2167,CarrierID!A:B,2,0)</f>
        <v>10</v>
      </c>
      <c r="F2167" s="15" t="s">
        <v>8</v>
      </c>
      <c r="G2167" t="str">
        <f>VLOOKUP(F2167,Carrier_Category!A:B,2,0)</f>
        <v>Intercity</v>
      </c>
      <c r="H2167" s="5">
        <v>45</v>
      </c>
      <c r="I2167" s="7">
        <f t="shared" si="103"/>
        <v>0</v>
      </c>
      <c r="J2167" s="5">
        <v>1875</v>
      </c>
      <c r="K2167" s="18">
        <f t="shared" si="102"/>
        <v>41.666666666666664</v>
      </c>
    </row>
    <row r="2168" spans="1:11" x14ac:dyDescent="0.3">
      <c r="A2168" s="14">
        <v>2024</v>
      </c>
      <c r="B2168" s="14">
        <f t="shared" si="101"/>
        <v>49</v>
      </c>
      <c r="C2168" s="9">
        <v>45628</v>
      </c>
      <c r="D2168" s="9">
        <v>45633</v>
      </c>
      <c r="E2168" s="14">
        <f>VLOOKUP(F2168,CarrierID!A:B,2,0)</f>
        <v>6</v>
      </c>
      <c r="F2168" s="15" t="s">
        <v>9</v>
      </c>
      <c r="G2168" t="str">
        <f>VLOOKUP(F2168,Carrier_Category!A:B,2,0)</f>
        <v>Commuter</v>
      </c>
      <c r="H2168" s="5">
        <v>85</v>
      </c>
      <c r="I2168" s="7">
        <f t="shared" si="103"/>
        <v>0</v>
      </c>
      <c r="J2168" s="5">
        <v>1778</v>
      </c>
      <c r="K2168" s="18">
        <f t="shared" si="102"/>
        <v>20.91764705882353</v>
      </c>
    </row>
    <row r="2169" spans="1:11" x14ac:dyDescent="0.3">
      <c r="A2169" s="14">
        <v>2024</v>
      </c>
      <c r="B2169" s="14">
        <f t="shared" si="101"/>
        <v>50</v>
      </c>
      <c r="C2169" s="9">
        <v>45635</v>
      </c>
      <c r="D2169" s="9">
        <v>45630</v>
      </c>
      <c r="E2169" s="14">
        <f>VLOOKUP(F2169,CarrierID!A:B,2,0)</f>
        <v>1</v>
      </c>
      <c r="F2169" s="15" t="s">
        <v>0</v>
      </c>
      <c r="G2169" t="str">
        <f>VLOOKUP(F2169,Carrier_Category!A:B,2,0)</f>
        <v>Commuter</v>
      </c>
      <c r="H2169" s="5">
        <v>46</v>
      </c>
      <c r="I2169" s="7">
        <f t="shared" si="103"/>
        <v>0</v>
      </c>
      <c r="J2169" s="5">
        <v>1408</v>
      </c>
      <c r="K2169" s="18">
        <f t="shared" si="102"/>
        <v>30.608695652173914</v>
      </c>
    </row>
    <row r="2170" spans="1:11" x14ac:dyDescent="0.3">
      <c r="A2170" s="14">
        <v>2024</v>
      </c>
      <c r="B2170" s="14">
        <f t="shared" si="101"/>
        <v>50</v>
      </c>
      <c r="C2170" s="9">
        <v>45635</v>
      </c>
      <c r="D2170" s="9">
        <v>45630</v>
      </c>
      <c r="E2170" s="14">
        <f>VLOOKUP(F2170,CarrierID!A:B,2,0)</f>
        <v>5</v>
      </c>
      <c r="F2170" s="15" t="s">
        <v>1</v>
      </c>
      <c r="G2170" t="str">
        <f>VLOOKUP(F2170,Carrier_Category!A:B,2,0)</f>
        <v>Intercity</v>
      </c>
      <c r="H2170" s="5">
        <v>59</v>
      </c>
      <c r="I2170" s="7">
        <f t="shared" si="103"/>
        <v>49</v>
      </c>
      <c r="J2170" s="5">
        <v>1125</v>
      </c>
      <c r="K2170" s="18">
        <f t="shared" si="102"/>
        <v>19.067796610169491</v>
      </c>
    </row>
    <row r="2171" spans="1:11" x14ac:dyDescent="0.3">
      <c r="A2171" s="14">
        <v>2024</v>
      </c>
      <c r="B2171" s="14">
        <f t="shared" si="101"/>
        <v>50</v>
      </c>
      <c r="C2171" s="9">
        <v>45635</v>
      </c>
      <c r="D2171" s="9">
        <v>45630</v>
      </c>
      <c r="E2171" s="14">
        <f>VLOOKUP(F2171,CarrierID!A:B,2,0)</f>
        <v>8</v>
      </c>
      <c r="F2171" s="15" t="s">
        <v>2</v>
      </c>
      <c r="G2171" t="str">
        <f>VLOOKUP(F2171,Carrier_Category!A:B,2,0)</f>
        <v>Commuter</v>
      </c>
      <c r="H2171" s="5">
        <v>18</v>
      </c>
      <c r="I2171" s="7">
        <f t="shared" si="103"/>
        <v>59</v>
      </c>
      <c r="J2171" s="5">
        <v>746</v>
      </c>
      <c r="K2171" s="18">
        <f t="shared" si="102"/>
        <v>41.444444444444443</v>
      </c>
    </row>
    <row r="2172" spans="1:11" x14ac:dyDescent="0.3">
      <c r="A2172" s="14">
        <v>2024</v>
      </c>
      <c r="B2172" s="14">
        <f t="shared" si="101"/>
        <v>50</v>
      </c>
      <c r="C2172" s="9">
        <v>45635</v>
      </c>
      <c r="D2172" s="9">
        <v>45630</v>
      </c>
      <c r="E2172" s="14">
        <f>VLOOKUP(F2172,CarrierID!A:B,2,0)</f>
        <v>9</v>
      </c>
      <c r="F2172" s="15" t="s">
        <v>3</v>
      </c>
      <c r="G2172" t="str">
        <f>VLOOKUP(F2172,Carrier_Category!A:B,2,0)</f>
        <v>NJT</v>
      </c>
      <c r="H2172" s="5">
        <v>2447</v>
      </c>
      <c r="I2172" s="7">
        <f t="shared" si="103"/>
        <v>18</v>
      </c>
      <c r="J2172" s="5">
        <v>84180</v>
      </c>
      <c r="K2172" s="18">
        <f t="shared" si="102"/>
        <v>34.401307723743358</v>
      </c>
    </row>
    <row r="2173" spans="1:11" x14ac:dyDescent="0.3">
      <c r="A2173" s="14">
        <v>2024</v>
      </c>
      <c r="B2173" s="14">
        <f t="shared" si="101"/>
        <v>50</v>
      </c>
      <c r="C2173" s="9">
        <v>45635</v>
      </c>
      <c r="D2173" s="9">
        <v>45630</v>
      </c>
      <c r="E2173" s="14">
        <f>VLOOKUP(F2173,CarrierID!A:B,2,0)</f>
        <v>7</v>
      </c>
      <c r="F2173" s="15" t="s">
        <v>4</v>
      </c>
      <c r="G2173" t="str">
        <f>VLOOKUP(F2173,Carrier_Category!A:B,2,0)</f>
        <v>Commuter</v>
      </c>
      <c r="H2173" s="5">
        <v>42</v>
      </c>
      <c r="I2173" s="7">
        <f t="shared" si="103"/>
        <v>2405</v>
      </c>
      <c r="J2173" s="5">
        <v>1362</v>
      </c>
      <c r="K2173" s="18">
        <f t="shared" si="102"/>
        <v>32.428571428571431</v>
      </c>
    </row>
    <row r="2174" spans="1:11" x14ac:dyDescent="0.3">
      <c r="A2174" s="14">
        <v>2024</v>
      </c>
      <c r="B2174" s="14">
        <f t="shared" si="101"/>
        <v>50</v>
      </c>
      <c r="C2174" s="9">
        <v>45635</v>
      </c>
      <c r="D2174" s="9">
        <v>45630</v>
      </c>
      <c r="E2174" s="14">
        <f>VLOOKUP(F2174,CarrierID!A:B,2,0)</f>
        <v>11</v>
      </c>
      <c r="F2174" s="15" t="s">
        <v>5</v>
      </c>
      <c r="G2174" t="str">
        <f>VLOOKUP(F2174,Carrier_Category!A:B,2,0)</f>
        <v>Intercity</v>
      </c>
      <c r="H2174" s="5">
        <v>23</v>
      </c>
      <c r="I2174" s="7">
        <f t="shared" si="103"/>
        <v>45</v>
      </c>
      <c r="J2174" s="5">
        <v>454</v>
      </c>
      <c r="K2174" s="18">
        <f t="shared" si="102"/>
        <v>19.739130434782609</v>
      </c>
    </row>
    <row r="2175" spans="1:11" x14ac:dyDescent="0.3">
      <c r="A2175" s="14">
        <v>2024</v>
      </c>
      <c r="B2175" s="14">
        <f t="shared" si="101"/>
        <v>50</v>
      </c>
      <c r="C2175" s="9">
        <v>45635</v>
      </c>
      <c r="D2175" s="9">
        <v>45630</v>
      </c>
      <c r="E2175" s="14">
        <f>VLOOKUP(F2175,CarrierID!A:B,2,0)</f>
        <v>3</v>
      </c>
      <c r="F2175" s="15" t="s">
        <v>6</v>
      </c>
      <c r="G2175" t="str">
        <f>VLOOKUP(F2175,Carrier_Category!A:B,2,0)</f>
        <v>Commuter</v>
      </c>
      <c r="H2175" s="5">
        <v>188</v>
      </c>
      <c r="I2175" s="7">
        <f t="shared" si="103"/>
        <v>22</v>
      </c>
      <c r="J2175" s="5">
        <v>5256</v>
      </c>
      <c r="K2175" s="18">
        <f t="shared" si="102"/>
        <v>27.957446808510639</v>
      </c>
    </row>
    <row r="2176" spans="1:11" x14ac:dyDescent="0.3">
      <c r="A2176" s="14">
        <v>2024</v>
      </c>
      <c r="B2176" s="14">
        <f t="shared" si="101"/>
        <v>50</v>
      </c>
      <c r="C2176" s="9">
        <v>45635</v>
      </c>
      <c r="D2176" s="9">
        <v>45630</v>
      </c>
      <c r="E2176" s="14">
        <f>VLOOKUP(F2176,CarrierID!A:B,2,0)</f>
        <v>12</v>
      </c>
      <c r="F2176" s="15" t="s">
        <v>25</v>
      </c>
      <c r="G2176" t="str">
        <f>VLOOKUP(F2176,Carrier_Category!A:B,2,0)</f>
        <v>Commuter</v>
      </c>
      <c r="H2176" s="5">
        <v>23</v>
      </c>
      <c r="I2176" s="7">
        <f t="shared" si="103"/>
        <v>193</v>
      </c>
      <c r="J2176" s="5">
        <v>726</v>
      </c>
      <c r="K2176" s="18">
        <f t="shared" si="102"/>
        <v>31.565217391304348</v>
      </c>
    </row>
    <row r="2177" spans="1:11" x14ac:dyDescent="0.3">
      <c r="A2177" s="14">
        <v>2024</v>
      </c>
      <c r="B2177" s="14">
        <f t="shared" si="101"/>
        <v>50</v>
      </c>
      <c r="C2177" s="9">
        <v>45635</v>
      </c>
      <c r="D2177" s="9">
        <v>45630</v>
      </c>
      <c r="E2177" s="14">
        <f>VLOOKUP(F2177,CarrierID!A:B,2,0)</f>
        <v>10</v>
      </c>
      <c r="F2177" s="15" t="s">
        <v>8</v>
      </c>
      <c r="G2177" t="str">
        <f>VLOOKUP(F2177,Carrier_Category!A:B,2,0)</f>
        <v>Intercity</v>
      </c>
      <c r="H2177" s="5">
        <v>45</v>
      </c>
      <c r="I2177" s="7">
        <f t="shared" si="103"/>
        <v>21</v>
      </c>
      <c r="J2177" s="5">
        <v>1875</v>
      </c>
      <c r="K2177" s="18">
        <f t="shared" si="102"/>
        <v>41.666666666666664</v>
      </c>
    </row>
    <row r="2178" spans="1:11" x14ac:dyDescent="0.3">
      <c r="A2178" s="14">
        <v>2024</v>
      </c>
      <c r="B2178" s="14">
        <f t="shared" si="101"/>
        <v>50</v>
      </c>
      <c r="C2178" s="9">
        <v>45635</v>
      </c>
      <c r="D2178" s="9">
        <v>45630</v>
      </c>
      <c r="E2178" s="14">
        <f>VLOOKUP(F2178,CarrierID!A:B,2,0)</f>
        <v>6</v>
      </c>
      <c r="F2178" s="15" t="s">
        <v>9</v>
      </c>
      <c r="G2178" t="str">
        <f>VLOOKUP(F2178,Carrier_Category!A:B,2,0)</f>
        <v>Commuter</v>
      </c>
      <c r="H2178" s="5">
        <v>87</v>
      </c>
      <c r="I2178" s="7">
        <f t="shared" si="103"/>
        <v>45</v>
      </c>
      <c r="J2178" s="5">
        <v>1779</v>
      </c>
      <c r="K2178" s="18">
        <f t="shared" si="102"/>
        <v>20.448275862068964</v>
      </c>
    </row>
    <row r="2179" spans="1:11" x14ac:dyDescent="0.3">
      <c r="A2179" s="14">
        <v>2024</v>
      </c>
      <c r="B2179" s="14">
        <f t="shared" si="101"/>
        <v>51</v>
      </c>
      <c r="C2179" s="9">
        <v>45642</v>
      </c>
      <c r="D2179" s="9">
        <v>45627</v>
      </c>
      <c r="E2179" s="14">
        <f>VLOOKUP(F2179,CarrierID!A:B,2,0)</f>
        <v>1</v>
      </c>
      <c r="F2179" s="15" t="s">
        <v>0</v>
      </c>
      <c r="G2179" t="str">
        <f>VLOOKUP(F2179,Carrier_Category!A:B,2,0)</f>
        <v>Commuter</v>
      </c>
      <c r="H2179" s="5">
        <v>46</v>
      </c>
      <c r="I2179" s="7">
        <f t="shared" si="103"/>
        <v>85</v>
      </c>
      <c r="J2179" s="5">
        <v>1354</v>
      </c>
      <c r="K2179" s="18">
        <f t="shared" si="102"/>
        <v>29.434782608695652</v>
      </c>
    </row>
    <row r="2180" spans="1:11" x14ac:dyDescent="0.3">
      <c r="A2180" s="14">
        <v>2024</v>
      </c>
      <c r="B2180" s="14">
        <f t="shared" si="101"/>
        <v>51</v>
      </c>
      <c r="C2180" s="9">
        <v>45642</v>
      </c>
      <c r="D2180" s="9">
        <v>45627</v>
      </c>
      <c r="E2180" s="14">
        <f>VLOOKUP(F2180,CarrierID!A:B,2,0)</f>
        <v>5</v>
      </c>
      <c r="F2180" s="15" t="s">
        <v>1</v>
      </c>
      <c r="G2180" t="str">
        <f>VLOOKUP(F2180,Carrier_Category!A:B,2,0)</f>
        <v>Intercity</v>
      </c>
      <c r="H2180" s="5">
        <v>59</v>
      </c>
      <c r="I2180" s="7">
        <f t="shared" si="103"/>
        <v>46</v>
      </c>
      <c r="J2180" s="5">
        <v>1125</v>
      </c>
      <c r="K2180" s="18">
        <f t="shared" si="102"/>
        <v>19.067796610169491</v>
      </c>
    </row>
    <row r="2181" spans="1:11" x14ac:dyDescent="0.3">
      <c r="A2181" s="14">
        <v>2024</v>
      </c>
      <c r="B2181" s="14">
        <f t="shared" ref="B2181:B2244" si="104">_xlfn.ISOWEEKNUM(C2181)</f>
        <v>51</v>
      </c>
      <c r="C2181" s="9">
        <v>45642</v>
      </c>
      <c r="D2181" s="9">
        <v>45627</v>
      </c>
      <c r="E2181" s="14">
        <f>VLOOKUP(F2181,CarrierID!A:B,2,0)</f>
        <v>8</v>
      </c>
      <c r="F2181" s="15" t="s">
        <v>2</v>
      </c>
      <c r="G2181" t="str">
        <f>VLOOKUP(F2181,Carrier_Category!A:B,2,0)</f>
        <v>Commuter</v>
      </c>
      <c r="H2181" s="5">
        <v>18</v>
      </c>
      <c r="I2181" s="7">
        <f t="shared" si="103"/>
        <v>59</v>
      </c>
      <c r="J2181" s="5">
        <v>745</v>
      </c>
      <c r="K2181" s="18">
        <f t="shared" ref="K2181:K2244" si="105">J2181/H2181</f>
        <v>41.388888888888886</v>
      </c>
    </row>
    <row r="2182" spans="1:11" x14ac:dyDescent="0.3">
      <c r="A2182" s="14">
        <v>2024</v>
      </c>
      <c r="B2182" s="14">
        <f t="shared" si="104"/>
        <v>51</v>
      </c>
      <c r="C2182" s="9">
        <v>45642</v>
      </c>
      <c r="D2182" s="9">
        <v>45627</v>
      </c>
      <c r="E2182" s="14">
        <f>VLOOKUP(F2182,CarrierID!A:B,2,0)</f>
        <v>9</v>
      </c>
      <c r="F2182" s="15" t="s">
        <v>3</v>
      </c>
      <c r="G2182" t="str">
        <f>VLOOKUP(F2182,Carrier_Category!A:B,2,0)</f>
        <v>NJT</v>
      </c>
      <c r="H2182" s="5">
        <v>2393</v>
      </c>
      <c r="I2182" s="7">
        <f t="shared" si="103"/>
        <v>18</v>
      </c>
      <c r="J2182" s="5">
        <v>81588</v>
      </c>
      <c r="K2182" s="18">
        <f t="shared" si="105"/>
        <v>34.094442122858339</v>
      </c>
    </row>
    <row r="2183" spans="1:11" x14ac:dyDescent="0.3">
      <c r="A2183" s="14">
        <v>2024</v>
      </c>
      <c r="B2183" s="14">
        <f t="shared" si="104"/>
        <v>51</v>
      </c>
      <c r="C2183" s="9">
        <v>45642</v>
      </c>
      <c r="D2183" s="9">
        <v>45627</v>
      </c>
      <c r="E2183" s="14">
        <f>VLOOKUP(F2183,CarrierID!A:B,2,0)</f>
        <v>7</v>
      </c>
      <c r="F2183" s="15" t="s">
        <v>4</v>
      </c>
      <c r="G2183" t="str">
        <f>VLOOKUP(F2183,Carrier_Category!A:B,2,0)</f>
        <v>Commuter</v>
      </c>
      <c r="H2183" s="5">
        <v>42</v>
      </c>
      <c r="I2183" s="7">
        <f t="shared" si="103"/>
        <v>2447</v>
      </c>
      <c r="J2183" s="5">
        <v>1308</v>
      </c>
      <c r="K2183" s="18">
        <f t="shared" si="105"/>
        <v>31.142857142857142</v>
      </c>
    </row>
    <row r="2184" spans="1:11" x14ac:dyDescent="0.3">
      <c r="A2184" s="14">
        <v>2024</v>
      </c>
      <c r="B2184" s="14">
        <f t="shared" si="104"/>
        <v>51</v>
      </c>
      <c r="C2184" s="9">
        <v>45642</v>
      </c>
      <c r="D2184" s="9">
        <v>45627</v>
      </c>
      <c r="E2184" s="14">
        <f>VLOOKUP(F2184,CarrierID!A:B,2,0)</f>
        <v>11</v>
      </c>
      <c r="F2184" s="15" t="s">
        <v>5</v>
      </c>
      <c r="G2184" t="str">
        <f>VLOOKUP(F2184,Carrier_Category!A:B,2,0)</f>
        <v>Intercity</v>
      </c>
      <c r="H2184" s="5">
        <v>23</v>
      </c>
      <c r="I2184" s="7">
        <f t="shared" si="103"/>
        <v>42</v>
      </c>
      <c r="J2184" s="5">
        <v>450</v>
      </c>
      <c r="K2184" s="18">
        <f t="shared" si="105"/>
        <v>19.565217391304348</v>
      </c>
    </row>
    <row r="2185" spans="1:11" x14ac:dyDescent="0.3">
      <c r="A2185" s="14">
        <v>2024</v>
      </c>
      <c r="B2185" s="14">
        <f t="shared" si="104"/>
        <v>51</v>
      </c>
      <c r="C2185" s="9">
        <v>45642</v>
      </c>
      <c r="D2185" s="9">
        <v>45627</v>
      </c>
      <c r="E2185" s="14">
        <f>VLOOKUP(F2185,CarrierID!A:B,2,0)</f>
        <v>3</v>
      </c>
      <c r="F2185" s="15" t="s">
        <v>6</v>
      </c>
      <c r="G2185" t="str">
        <f>VLOOKUP(F2185,Carrier_Category!A:B,2,0)</f>
        <v>Commuter</v>
      </c>
      <c r="H2185" s="5">
        <v>186</v>
      </c>
      <c r="I2185" s="7">
        <f t="shared" si="103"/>
        <v>23</v>
      </c>
      <c r="J2185" s="5">
        <v>5058</v>
      </c>
      <c r="K2185" s="18">
        <f t="shared" si="105"/>
        <v>27.193548387096776</v>
      </c>
    </row>
    <row r="2186" spans="1:11" x14ac:dyDescent="0.3">
      <c r="A2186" s="14">
        <v>2024</v>
      </c>
      <c r="B2186" s="14">
        <f t="shared" si="104"/>
        <v>51</v>
      </c>
      <c r="C2186" s="9">
        <v>45642</v>
      </c>
      <c r="D2186" s="9">
        <v>45627</v>
      </c>
      <c r="E2186" s="14">
        <f>VLOOKUP(F2186,CarrierID!A:B,2,0)</f>
        <v>12</v>
      </c>
      <c r="F2186" s="15" t="s">
        <v>25</v>
      </c>
      <c r="G2186" t="str">
        <f>VLOOKUP(F2186,Carrier_Category!A:B,2,0)</f>
        <v>Commuter</v>
      </c>
      <c r="H2186" s="5">
        <v>23</v>
      </c>
      <c r="I2186" s="7">
        <f t="shared" si="103"/>
        <v>188</v>
      </c>
      <c r="J2186" s="5">
        <v>659</v>
      </c>
      <c r="K2186" s="18">
        <f t="shared" si="105"/>
        <v>28.652173913043477</v>
      </c>
    </row>
    <row r="2187" spans="1:11" x14ac:dyDescent="0.3">
      <c r="A2187" s="14">
        <v>2024</v>
      </c>
      <c r="B2187" s="14">
        <f t="shared" si="104"/>
        <v>51</v>
      </c>
      <c r="C2187" s="9">
        <v>45642</v>
      </c>
      <c r="D2187" s="9">
        <v>45627</v>
      </c>
      <c r="E2187" s="14">
        <f>VLOOKUP(F2187,CarrierID!A:B,2,0)</f>
        <v>10</v>
      </c>
      <c r="F2187" s="15" t="s">
        <v>8</v>
      </c>
      <c r="G2187" t="str">
        <f>VLOOKUP(F2187,Carrier_Category!A:B,2,0)</f>
        <v>Intercity</v>
      </c>
      <c r="H2187" s="5">
        <v>45</v>
      </c>
      <c r="I2187" s="7">
        <f t="shared" si="103"/>
        <v>23</v>
      </c>
      <c r="J2187" s="5">
        <v>1875</v>
      </c>
      <c r="K2187" s="18">
        <f t="shared" si="105"/>
        <v>41.666666666666664</v>
      </c>
    </row>
    <row r="2188" spans="1:11" x14ac:dyDescent="0.3">
      <c r="A2188" s="14">
        <v>2024</v>
      </c>
      <c r="B2188" s="14">
        <f t="shared" si="104"/>
        <v>51</v>
      </c>
      <c r="C2188" s="9">
        <v>45642</v>
      </c>
      <c r="D2188" s="9">
        <v>45627</v>
      </c>
      <c r="E2188" s="14">
        <f>VLOOKUP(F2188,CarrierID!A:B,2,0)</f>
        <v>6</v>
      </c>
      <c r="F2188" s="15" t="s">
        <v>9</v>
      </c>
      <c r="G2188" t="str">
        <f>VLOOKUP(F2188,Carrier_Category!A:B,2,0)</f>
        <v>Commuter</v>
      </c>
      <c r="H2188" s="16">
        <v>87</v>
      </c>
      <c r="I2188" s="17">
        <f t="shared" si="103"/>
        <v>45</v>
      </c>
      <c r="J2188" s="16">
        <v>1698</v>
      </c>
      <c r="K2188" s="18">
        <f t="shared" si="105"/>
        <v>19.517241379310345</v>
      </c>
    </row>
    <row r="2189" spans="1:11" x14ac:dyDescent="0.3">
      <c r="A2189" s="14">
        <v>2024</v>
      </c>
      <c r="B2189" s="14">
        <f t="shared" si="104"/>
        <v>52</v>
      </c>
      <c r="C2189" s="9">
        <v>45649</v>
      </c>
      <c r="D2189" s="9">
        <v>45634</v>
      </c>
      <c r="E2189" s="14">
        <f>VLOOKUP(F2189,CarrierID!A:B,2,0)</f>
        <v>1</v>
      </c>
      <c r="F2189" s="15" t="s">
        <v>0</v>
      </c>
      <c r="G2189" t="str">
        <f>VLOOKUP(F2189,Carrier_Category!A:B,2,0)</f>
        <v>Commuter</v>
      </c>
      <c r="H2189" s="16"/>
      <c r="I2189" s="17">
        <f t="shared" ref="I2189:I2252" si="106">H2178</f>
        <v>87</v>
      </c>
      <c r="J2189" s="16"/>
      <c r="K2189" s="18" t="e">
        <f t="shared" si="105"/>
        <v>#DIV/0!</v>
      </c>
    </row>
    <row r="2190" spans="1:11" x14ac:dyDescent="0.3">
      <c r="A2190" s="14">
        <v>2024</v>
      </c>
      <c r="B2190" s="14">
        <f t="shared" si="104"/>
        <v>52</v>
      </c>
      <c r="C2190" s="9">
        <v>45649</v>
      </c>
      <c r="D2190" s="9">
        <v>45634</v>
      </c>
      <c r="E2190" s="14">
        <f>VLOOKUP(F2190,CarrierID!A:B,2,0)</f>
        <v>5</v>
      </c>
      <c r="F2190" s="15" t="s">
        <v>1</v>
      </c>
      <c r="G2190" t="str">
        <f>VLOOKUP(F2190,Carrier_Category!A:B,2,0)</f>
        <v>Intercity</v>
      </c>
      <c r="H2190" s="16"/>
      <c r="I2190" s="17">
        <f t="shared" si="106"/>
        <v>46</v>
      </c>
      <c r="J2190" s="16"/>
      <c r="K2190" s="18" t="e">
        <f t="shared" si="105"/>
        <v>#DIV/0!</v>
      </c>
    </row>
    <row r="2191" spans="1:11" x14ac:dyDescent="0.3">
      <c r="A2191" s="14">
        <v>2024</v>
      </c>
      <c r="B2191" s="14">
        <f t="shared" si="104"/>
        <v>52</v>
      </c>
      <c r="C2191" s="9">
        <v>45649</v>
      </c>
      <c r="D2191" s="9">
        <v>45634</v>
      </c>
      <c r="E2191" s="14">
        <f>VLOOKUP(F2191,CarrierID!A:B,2,0)</f>
        <v>8</v>
      </c>
      <c r="F2191" s="15" t="s">
        <v>2</v>
      </c>
      <c r="G2191" t="str">
        <f>VLOOKUP(F2191,Carrier_Category!A:B,2,0)</f>
        <v>Commuter</v>
      </c>
      <c r="H2191" s="16"/>
      <c r="I2191" s="17">
        <f t="shared" si="106"/>
        <v>59</v>
      </c>
      <c r="J2191" s="16"/>
      <c r="K2191" s="18" t="e">
        <f t="shared" si="105"/>
        <v>#DIV/0!</v>
      </c>
    </row>
    <row r="2192" spans="1:11" x14ac:dyDescent="0.3">
      <c r="A2192" s="14">
        <v>2024</v>
      </c>
      <c r="B2192" s="14">
        <f t="shared" si="104"/>
        <v>52</v>
      </c>
      <c r="C2192" s="9">
        <v>45649</v>
      </c>
      <c r="D2192" s="9">
        <v>45634</v>
      </c>
      <c r="E2192" s="14">
        <f>VLOOKUP(F2192,CarrierID!A:B,2,0)</f>
        <v>9</v>
      </c>
      <c r="F2192" s="15" t="s">
        <v>3</v>
      </c>
      <c r="G2192" t="str">
        <f>VLOOKUP(F2192,Carrier_Category!A:B,2,0)</f>
        <v>NJT</v>
      </c>
      <c r="H2192" s="16"/>
      <c r="I2192" s="17">
        <f t="shared" si="106"/>
        <v>18</v>
      </c>
      <c r="J2192" s="16"/>
      <c r="K2192" s="18" t="e">
        <f t="shared" si="105"/>
        <v>#DIV/0!</v>
      </c>
    </row>
    <row r="2193" spans="1:11" x14ac:dyDescent="0.3">
      <c r="A2193" s="14">
        <v>2024</v>
      </c>
      <c r="B2193" s="14">
        <f t="shared" si="104"/>
        <v>52</v>
      </c>
      <c r="C2193" s="9">
        <v>45649</v>
      </c>
      <c r="D2193" s="9">
        <v>45634</v>
      </c>
      <c r="E2193" s="14">
        <f>VLOOKUP(F2193,CarrierID!A:B,2,0)</f>
        <v>7</v>
      </c>
      <c r="F2193" s="15" t="s">
        <v>4</v>
      </c>
      <c r="G2193" t="str">
        <f>VLOOKUP(F2193,Carrier_Category!A:B,2,0)</f>
        <v>Commuter</v>
      </c>
      <c r="H2193" s="16"/>
      <c r="I2193" s="17">
        <f t="shared" si="106"/>
        <v>2393</v>
      </c>
      <c r="J2193" s="16"/>
      <c r="K2193" s="18" t="e">
        <f t="shared" si="105"/>
        <v>#DIV/0!</v>
      </c>
    </row>
    <row r="2194" spans="1:11" x14ac:dyDescent="0.3">
      <c r="A2194" s="14">
        <v>2024</v>
      </c>
      <c r="B2194" s="14">
        <f t="shared" si="104"/>
        <v>52</v>
      </c>
      <c r="C2194" s="9">
        <v>45649</v>
      </c>
      <c r="D2194" s="9">
        <v>45634</v>
      </c>
      <c r="E2194" s="14">
        <f>VLOOKUP(F2194,CarrierID!A:B,2,0)</f>
        <v>11</v>
      </c>
      <c r="F2194" s="15" t="s">
        <v>5</v>
      </c>
      <c r="G2194" t="str">
        <f>VLOOKUP(F2194,Carrier_Category!A:B,2,0)</f>
        <v>Intercity</v>
      </c>
      <c r="H2194" s="16"/>
      <c r="I2194" s="17">
        <f t="shared" si="106"/>
        <v>42</v>
      </c>
      <c r="J2194" s="16"/>
      <c r="K2194" s="18" t="e">
        <f t="shared" si="105"/>
        <v>#DIV/0!</v>
      </c>
    </row>
    <row r="2195" spans="1:11" x14ac:dyDescent="0.3">
      <c r="A2195" s="14">
        <v>2024</v>
      </c>
      <c r="B2195" s="14">
        <f t="shared" si="104"/>
        <v>52</v>
      </c>
      <c r="C2195" s="9">
        <v>45649</v>
      </c>
      <c r="D2195" s="9">
        <v>45634</v>
      </c>
      <c r="E2195" s="14">
        <f>VLOOKUP(F2195,CarrierID!A:B,2,0)</f>
        <v>3</v>
      </c>
      <c r="F2195" s="15" t="s">
        <v>6</v>
      </c>
      <c r="G2195" t="str">
        <f>VLOOKUP(F2195,Carrier_Category!A:B,2,0)</f>
        <v>Commuter</v>
      </c>
      <c r="H2195" s="16"/>
      <c r="I2195" s="17">
        <f t="shared" si="106"/>
        <v>23</v>
      </c>
      <c r="J2195" s="16"/>
      <c r="K2195" s="18" t="e">
        <f t="shared" si="105"/>
        <v>#DIV/0!</v>
      </c>
    </row>
    <row r="2196" spans="1:11" x14ac:dyDescent="0.3">
      <c r="A2196" s="14">
        <v>2024</v>
      </c>
      <c r="B2196" s="14">
        <f t="shared" si="104"/>
        <v>52</v>
      </c>
      <c r="C2196" s="9">
        <v>45649</v>
      </c>
      <c r="D2196" s="9">
        <v>45634</v>
      </c>
      <c r="E2196" s="14">
        <f>VLOOKUP(F2196,CarrierID!A:B,2,0)</f>
        <v>12</v>
      </c>
      <c r="F2196" s="15" t="s">
        <v>25</v>
      </c>
      <c r="G2196" t="str">
        <f>VLOOKUP(F2196,Carrier_Category!A:B,2,0)</f>
        <v>Commuter</v>
      </c>
      <c r="H2196" s="16"/>
      <c r="I2196" s="17">
        <f t="shared" si="106"/>
        <v>186</v>
      </c>
      <c r="J2196" s="16"/>
      <c r="K2196" s="18" t="e">
        <f t="shared" si="105"/>
        <v>#DIV/0!</v>
      </c>
    </row>
    <row r="2197" spans="1:11" x14ac:dyDescent="0.3">
      <c r="A2197" s="14">
        <v>2024</v>
      </c>
      <c r="B2197" s="14">
        <f t="shared" si="104"/>
        <v>52</v>
      </c>
      <c r="C2197" s="9">
        <v>45649</v>
      </c>
      <c r="D2197" s="9">
        <v>45634</v>
      </c>
      <c r="E2197" s="14">
        <f>VLOOKUP(F2197,CarrierID!A:B,2,0)</f>
        <v>10</v>
      </c>
      <c r="F2197" s="15" t="s">
        <v>8</v>
      </c>
      <c r="G2197" t="str">
        <f>VLOOKUP(F2197,Carrier_Category!A:B,2,0)</f>
        <v>Intercity</v>
      </c>
      <c r="H2197" s="16"/>
      <c r="I2197" s="17">
        <f t="shared" si="106"/>
        <v>23</v>
      </c>
      <c r="J2197" s="16"/>
      <c r="K2197" s="18" t="e">
        <f t="shared" si="105"/>
        <v>#DIV/0!</v>
      </c>
    </row>
    <row r="2198" spans="1:11" x14ac:dyDescent="0.3">
      <c r="A2198" s="14">
        <v>2024</v>
      </c>
      <c r="B2198" s="14">
        <f t="shared" si="104"/>
        <v>52</v>
      </c>
      <c r="C2198" s="9">
        <v>45649</v>
      </c>
      <c r="D2198" s="9">
        <v>45634</v>
      </c>
      <c r="E2198" s="14">
        <f>VLOOKUP(F2198,CarrierID!A:B,2,0)</f>
        <v>6</v>
      </c>
      <c r="F2198" s="15" t="s">
        <v>9</v>
      </c>
      <c r="G2198" t="str">
        <f>VLOOKUP(F2198,Carrier_Category!A:B,2,0)</f>
        <v>Commuter</v>
      </c>
      <c r="H2198" s="16"/>
      <c r="I2198" s="17">
        <f t="shared" si="106"/>
        <v>45</v>
      </c>
      <c r="J2198" s="16"/>
      <c r="K2198" s="18" t="e">
        <f t="shared" si="105"/>
        <v>#DIV/0!</v>
      </c>
    </row>
    <row r="2199" spans="1:11" x14ac:dyDescent="0.3">
      <c r="A2199" s="14">
        <v>2025</v>
      </c>
      <c r="B2199" s="14">
        <f t="shared" si="104"/>
        <v>2</v>
      </c>
      <c r="C2199" s="9">
        <v>45663</v>
      </c>
      <c r="D2199" s="9">
        <v>45998</v>
      </c>
      <c r="E2199" s="14">
        <f>VLOOKUP(F2199,CarrierID!A:B,2,0)</f>
        <v>1</v>
      </c>
      <c r="F2199" s="15" t="s">
        <v>0</v>
      </c>
      <c r="G2199" t="str">
        <f>VLOOKUP(F2199,Carrier_Category!A:B,2,0)</f>
        <v>Commuter</v>
      </c>
      <c r="H2199" s="16">
        <v>46</v>
      </c>
      <c r="I2199" s="17">
        <f t="shared" si="106"/>
        <v>87</v>
      </c>
      <c r="J2199" s="16">
        <v>1435</v>
      </c>
      <c r="K2199" s="18">
        <f t="shared" si="105"/>
        <v>31.195652173913043</v>
      </c>
    </row>
    <row r="2200" spans="1:11" x14ac:dyDescent="0.3">
      <c r="A2200" s="14">
        <v>2025</v>
      </c>
      <c r="B2200" s="14">
        <f t="shared" si="104"/>
        <v>2</v>
      </c>
      <c r="C2200" s="9">
        <v>45663</v>
      </c>
      <c r="D2200" s="9">
        <v>45998</v>
      </c>
      <c r="E2200" s="14">
        <f>VLOOKUP(F2200,CarrierID!A:B,2,0)</f>
        <v>5</v>
      </c>
      <c r="F2200" s="15" t="s">
        <v>1</v>
      </c>
      <c r="G2200" t="str">
        <f>VLOOKUP(F2200,Carrier_Category!A:B,2,0)</f>
        <v>Intercity</v>
      </c>
      <c r="H2200" s="16">
        <v>59</v>
      </c>
      <c r="I2200" s="17">
        <f t="shared" si="106"/>
        <v>0</v>
      </c>
      <c r="J2200" s="16">
        <v>1125</v>
      </c>
      <c r="K2200" s="18">
        <f t="shared" si="105"/>
        <v>19.067796610169491</v>
      </c>
    </row>
    <row r="2201" spans="1:11" x14ac:dyDescent="0.3">
      <c r="A2201" s="14">
        <v>2025</v>
      </c>
      <c r="B2201" s="14">
        <f t="shared" si="104"/>
        <v>2</v>
      </c>
      <c r="C2201" s="9">
        <v>45663</v>
      </c>
      <c r="D2201" s="9">
        <v>45998</v>
      </c>
      <c r="E2201" s="14">
        <f>VLOOKUP(F2201,CarrierID!A:B,2,0)</f>
        <v>8</v>
      </c>
      <c r="F2201" s="15" t="s">
        <v>2</v>
      </c>
      <c r="G2201" t="str">
        <f>VLOOKUP(F2201,Carrier_Category!A:B,2,0)</f>
        <v>Commuter</v>
      </c>
      <c r="H2201" s="16">
        <v>18</v>
      </c>
      <c r="I2201" s="17">
        <f t="shared" si="106"/>
        <v>0</v>
      </c>
      <c r="J2201" s="16">
        <v>703</v>
      </c>
      <c r="K2201" s="18">
        <f t="shared" si="105"/>
        <v>39.055555555555557</v>
      </c>
    </row>
    <row r="2202" spans="1:11" x14ac:dyDescent="0.3">
      <c r="A2202" s="14">
        <v>2025</v>
      </c>
      <c r="B2202" s="14">
        <f t="shared" si="104"/>
        <v>2</v>
      </c>
      <c r="C2202" s="9">
        <v>45663</v>
      </c>
      <c r="D2202" s="9">
        <v>45998</v>
      </c>
      <c r="E2202" s="14">
        <f>VLOOKUP(F2202,CarrierID!A:B,2,0)</f>
        <v>9</v>
      </c>
      <c r="F2202" s="15" t="s">
        <v>3</v>
      </c>
      <c r="G2202" t="str">
        <f>VLOOKUP(F2202,Carrier_Category!A:B,2,0)</f>
        <v>NJT</v>
      </c>
      <c r="H2202" s="16">
        <v>2376</v>
      </c>
      <c r="I2202" s="17">
        <f t="shared" si="106"/>
        <v>0</v>
      </c>
      <c r="J2202" s="16">
        <v>79281</v>
      </c>
      <c r="K2202" s="18">
        <f t="shared" si="105"/>
        <v>33.367424242424242</v>
      </c>
    </row>
    <row r="2203" spans="1:11" x14ac:dyDescent="0.3">
      <c r="A2203" s="14">
        <v>2025</v>
      </c>
      <c r="B2203" s="14">
        <f t="shared" si="104"/>
        <v>2</v>
      </c>
      <c r="C2203" s="9">
        <v>45663</v>
      </c>
      <c r="D2203" s="9">
        <v>45998</v>
      </c>
      <c r="E2203" s="14">
        <f>VLOOKUP(F2203,CarrierID!A:B,2,0)</f>
        <v>7</v>
      </c>
      <c r="F2203" s="15" t="s">
        <v>4</v>
      </c>
      <c r="G2203" t="str">
        <f>VLOOKUP(F2203,Carrier_Category!A:B,2,0)</f>
        <v>Commuter</v>
      </c>
      <c r="H2203" s="16">
        <v>42</v>
      </c>
      <c r="I2203" s="17">
        <f t="shared" si="106"/>
        <v>0</v>
      </c>
      <c r="J2203" s="16">
        <v>1375</v>
      </c>
      <c r="K2203" s="18">
        <f t="shared" si="105"/>
        <v>32.738095238095241</v>
      </c>
    </row>
    <row r="2204" spans="1:11" x14ac:dyDescent="0.3">
      <c r="A2204" s="14">
        <v>2025</v>
      </c>
      <c r="B2204" s="14">
        <f t="shared" si="104"/>
        <v>2</v>
      </c>
      <c r="C2204" s="9">
        <v>45663</v>
      </c>
      <c r="D2204" s="9">
        <v>45998</v>
      </c>
      <c r="E2204" s="14">
        <f>VLOOKUP(F2204,CarrierID!A:B,2,0)</f>
        <v>11</v>
      </c>
      <c r="F2204" s="15" t="s">
        <v>5</v>
      </c>
      <c r="G2204" t="str">
        <f>VLOOKUP(F2204,Carrier_Category!A:B,2,0)</f>
        <v>Intercity</v>
      </c>
      <c r="H2204" s="16">
        <v>22</v>
      </c>
      <c r="I2204" s="17">
        <f t="shared" si="106"/>
        <v>0</v>
      </c>
      <c r="J2204" s="16">
        <v>426</v>
      </c>
      <c r="K2204" s="18">
        <f t="shared" si="105"/>
        <v>19.363636363636363</v>
      </c>
    </row>
    <row r="2205" spans="1:11" x14ac:dyDescent="0.3">
      <c r="A2205" s="14">
        <v>2025</v>
      </c>
      <c r="B2205" s="14">
        <f t="shared" si="104"/>
        <v>2</v>
      </c>
      <c r="C2205" s="9">
        <v>45663</v>
      </c>
      <c r="D2205" s="9">
        <v>45998</v>
      </c>
      <c r="E2205" s="14">
        <f>VLOOKUP(F2205,CarrierID!A:B,2,0)</f>
        <v>3</v>
      </c>
      <c r="F2205" s="15" t="s">
        <v>6</v>
      </c>
      <c r="G2205" t="str">
        <f>VLOOKUP(F2205,Carrier_Category!A:B,2,0)</f>
        <v>Commuter</v>
      </c>
      <c r="H2205" s="16">
        <v>187</v>
      </c>
      <c r="I2205" s="17">
        <f t="shared" si="106"/>
        <v>0</v>
      </c>
      <c r="J2205" s="16">
        <v>5185</v>
      </c>
      <c r="K2205" s="18">
        <f t="shared" si="105"/>
        <v>27.727272727272727</v>
      </c>
    </row>
    <row r="2206" spans="1:11" x14ac:dyDescent="0.3">
      <c r="A2206" s="14">
        <v>2025</v>
      </c>
      <c r="B2206" s="14">
        <f t="shared" si="104"/>
        <v>2</v>
      </c>
      <c r="C2206" s="9">
        <v>45663</v>
      </c>
      <c r="D2206" s="9">
        <v>45998</v>
      </c>
      <c r="E2206" s="14">
        <f>VLOOKUP(F2206,CarrierID!A:B,2,0)</f>
        <v>12</v>
      </c>
      <c r="F2206" s="15" t="s">
        <v>25</v>
      </c>
      <c r="G2206" t="str">
        <f>VLOOKUP(F2206,Carrier_Category!A:B,2,0)</f>
        <v>Commuter</v>
      </c>
      <c r="H2206" s="16">
        <v>23</v>
      </c>
      <c r="I2206" s="17">
        <f t="shared" si="106"/>
        <v>0</v>
      </c>
      <c r="J2206" s="16">
        <v>622</v>
      </c>
      <c r="K2206" s="18">
        <f t="shared" si="105"/>
        <v>27.043478260869566</v>
      </c>
    </row>
    <row r="2207" spans="1:11" x14ac:dyDescent="0.3">
      <c r="A2207" s="14">
        <v>2025</v>
      </c>
      <c r="B2207" s="14">
        <f t="shared" si="104"/>
        <v>2</v>
      </c>
      <c r="C2207" s="9">
        <v>45663</v>
      </c>
      <c r="D2207" s="9">
        <v>45998</v>
      </c>
      <c r="E2207" s="14">
        <f>VLOOKUP(F2207,CarrierID!A:B,2,0)</f>
        <v>10</v>
      </c>
      <c r="F2207" s="15" t="s">
        <v>8</v>
      </c>
      <c r="G2207" t="str">
        <f>VLOOKUP(F2207,Carrier_Category!A:B,2,0)</f>
        <v>Intercity</v>
      </c>
      <c r="H2207" s="16">
        <v>42</v>
      </c>
      <c r="I2207" s="17">
        <f t="shared" si="106"/>
        <v>0</v>
      </c>
      <c r="J2207" s="16">
        <v>980</v>
      </c>
      <c r="K2207" s="18">
        <f t="shared" si="105"/>
        <v>23.333333333333332</v>
      </c>
    </row>
    <row r="2208" spans="1:11" x14ac:dyDescent="0.3">
      <c r="A2208" s="14">
        <v>2025</v>
      </c>
      <c r="B2208" s="14">
        <f t="shared" si="104"/>
        <v>2</v>
      </c>
      <c r="C2208" s="9">
        <v>45663</v>
      </c>
      <c r="D2208" s="9">
        <v>45998</v>
      </c>
      <c r="E2208" s="14">
        <f>VLOOKUP(F2208,CarrierID!A:B,2,0)</f>
        <v>6</v>
      </c>
      <c r="F2208" s="15" t="s">
        <v>9</v>
      </c>
      <c r="G2208" t="str">
        <f>VLOOKUP(F2208,Carrier_Category!A:B,2,0)</f>
        <v>Commuter</v>
      </c>
      <c r="H2208" s="16">
        <v>85</v>
      </c>
      <c r="I2208" s="17">
        <f t="shared" si="106"/>
        <v>0</v>
      </c>
      <c r="J2208" s="16">
        <v>1643</v>
      </c>
      <c r="K2208" s="18">
        <f t="shared" si="105"/>
        <v>19.329411764705881</v>
      </c>
    </row>
    <row r="2209" spans="1:11" x14ac:dyDescent="0.3">
      <c r="A2209" s="14">
        <v>2025</v>
      </c>
      <c r="B2209" s="14">
        <f t="shared" si="104"/>
        <v>3</v>
      </c>
      <c r="C2209" s="9">
        <v>45670</v>
      </c>
      <c r="D2209" s="9">
        <v>45995</v>
      </c>
      <c r="E2209" s="14">
        <f>VLOOKUP(F2209,CarrierID!A:B,2,0)</f>
        <v>1</v>
      </c>
      <c r="F2209" s="15" t="s">
        <v>0</v>
      </c>
      <c r="G2209" t="str">
        <f>VLOOKUP(F2209,Carrier_Category!A:B,2,0)</f>
        <v>Commuter</v>
      </c>
      <c r="H2209" s="16">
        <v>46</v>
      </c>
      <c r="I2209" s="17">
        <f t="shared" si="106"/>
        <v>0</v>
      </c>
      <c r="J2209" s="16">
        <v>1522</v>
      </c>
      <c r="K2209" s="18">
        <f t="shared" si="105"/>
        <v>33.086956521739133</v>
      </c>
    </row>
    <row r="2210" spans="1:11" x14ac:dyDescent="0.3">
      <c r="A2210" s="14">
        <v>2025</v>
      </c>
      <c r="B2210" s="14">
        <f t="shared" si="104"/>
        <v>3</v>
      </c>
      <c r="C2210" s="9">
        <v>45670</v>
      </c>
      <c r="D2210" s="9">
        <v>45995</v>
      </c>
      <c r="E2210" s="14">
        <f>VLOOKUP(F2210,CarrierID!A:B,2,0)</f>
        <v>5</v>
      </c>
      <c r="F2210" s="15" t="s">
        <v>1</v>
      </c>
      <c r="G2210" t="str">
        <f>VLOOKUP(F2210,Carrier_Category!A:B,2,0)</f>
        <v>Intercity</v>
      </c>
      <c r="H2210" s="16">
        <v>59</v>
      </c>
      <c r="I2210" s="17">
        <f t="shared" si="106"/>
        <v>46</v>
      </c>
      <c r="J2210" s="16">
        <v>1125</v>
      </c>
      <c r="K2210" s="18">
        <f t="shared" si="105"/>
        <v>19.067796610169491</v>
      </c>
    </row>
    <row r="2211" spans="1:11" x14ac:dyDescent="0.3">
      <c r="A2211" s="14">
        <v>2025</v>
      </c>
      <c r="B2211" s="14">
        <f t="shared" si="104"/>
        <v>3</v>
      </c>
      <c r="C2211" s="9">
        <v>45670</v>
      </c>
      <c r="D2211" s="9">
        <v>45995</v>
      </c>
      <c r="E2211" s="14">
        <f>VLOOKUP(F2211,CarrierID!A:B,2,0)</f>
        <v>8</v>
      </c>
      <c r="F2211" s="15" t="s">
        <v>2</v>
      </c>
      <c r="G2211" t="str">
        <f>VLOOKUP(F2211,Carrier_Category!A:B,2,0)</f>
        <v>Commuter</v>
      </c>
      <c r="H2211" s="16">
        <v>18</v>
      </c>
      <c r="I2211" s="17">
        <f t="shared" si="106"/>
        <v>59</v>
      </c>
      <c r="J2211" s="16">
        <v>733</v>
      </c>
      <c r="K2211" s="18">
        <f t="shared" si="105"/>
        <v>40.722222222222221</v>
      </c>
    </row>
    <row r="2212" spans="1:11" x14ac:dyDescent="0.3">
      <c r="A2212" s="14">
        <v>2025</v>
      </c>
      <c r="B2212" s="14">
        <f t="shared" si="104"/>
        <v>3</v>
      </c>
      <c r="C2212" s="9">
        <v>45670</v>
      </c>
      <c r="D2212" s="9">
        <v>45995</v>
      </c>
      <c r="E2212" s="14">
        <f>VLOOKUP(F2212,CarrierID!A:B,2,0)</f>
        <v>9</v>
      </c>
      <c r="F2212" s="15" t="s">
        <v>3</v>
      </c>
      <c r="G2212" t="str">
        <f>VLOOKUP(F2212,Carrier_Category!A:B,2,0)</f>
        <v>NJT</v>
      </c>
      <c r="H2212" s="16">
        <v>2426</v>
      </c>
      <c r="I2212" s="17">
        <f t="shared" si="106"/>
        <v>18</v>
      </c>
      <c r="J2212" s="16">
        <v>79529</v>
      </c>
      <c r="K2212" s="18">
        <f t="shared" si="105"/>
        <v>32.781945589447652</v>
      </c>
    </row>
    <row r="2213" spans="1:11" x14ac:dyDescent="0.3">
      <c r="A2213" s="14">
        <v>2025</v>
      </c>
      <c r="B2213" s="14">
        <f t="shared" si="104"/>
        <v>3</v>
      </c>
      <c r="C2213" s="9">
        <v>45670</v>
      </c>
      <c r="D2213" s="9">
        <v>45995</v>
      </c>
      <c r="E2213" s="14">
        <f>VLOOKUP(F2213,CarrierID!A:B,2,0)</f>
        <v>7</v>
      </c>
      <c r="F2213" s="15" t="s">
        <v>4</v>
      </c>
      <c r="G2213" t="str">
        <f>VLOOKUP(F2213,Carrier_Category!A:B,2,0)</f>
        <v>Commuter</v>
      </c>
      <c r="H2213" s="16">
        <v>42</v>
      </c>
      <c r="I2213" s="17">
        <f t="shared" si="106"/>
        <v>2376</v>
      </c>
      <c r="J2213" s="16">
        <v>1442</v>
      </c>
      <c r="K2213" s="18">
        <f t="shared" si="105"/>
        <v>34.333333333333336</v>
      </c>
    </row>
    <row r="2214" spans="1:11" x14ac:dyDescent="0.3">
      <c r="A2214" s="14">
        <v>2025</v>
      </c>
      <c r="B2214" s="14">
        <f t="shared" si="104"/>
        <v>3</v>
      </c>
      <c r="C2214" s="9">
        <v>45670</v>
      </c>
      <c r="D2214" s="9">
        <v>45995</v>
      </c>
      <c r="E2214" s="14">
        <f>VLOOKUP(F2214,CarrierID!A:B,2,0)</f>
        <v>11</v>
      </c>
      <c r="F2214" s="15" t="s">
        <v>5</v>
      </c>
      <c r="G2214" t="str">
        <f>VLOOKUP(F2214,Carrier_Category!A:B,2,0)</f>
        <v>Intercity</v>
      </c>
      <c r="H2214" s="16">
        <v>22</v>
      </c>
      <c r="I2214" s="17">
        <f t="shared" si="106"/>
        <v>42</v>
      </c>
      <c r="J2214" s="16">
        <v>426</v>
      </c>
      <c r="K2214" s="18">
        <f t="shared" si="105"/>
        <v>19.363636363636363</v>
      </c>
    </row>
    <row r="2215" spans="1:11" x14ac:dyDescent="0.3">
      <c r="A2215" s="14">
        <v>2025</v>
      </c>
      <c r="B2215" s="14">
        <f t="shared" si="104"/>
        <v>3</v>
      </c>
      <c r="C2215" s="9">
        <v>45670</v>
      </c>
      <c r="D2215" s="9">
        <v>45995</v>
      </c>
      <c r="E2215" s="14">
        <f>VLOOKUP(F2215,CarrierID!A:B,2,0)</f>
        <v>3</v>
      </c>
      <c r="F2215" s="15" t="s">
        <v>6</v>
      </c>
      <c r="G2215" t="str">
        <f>VLOOKUP(F2215,Carrier_Category!A:B,2,0)</f>
        <v>Commuter</v>
      </c>
      <c r="H2215" s="16">
        <v>189</v>
      </c>
      <c r="I2215" s="17">
        <f t="shared" si="106"/>
        <v>22</v>
      </c>
      <c r="J2215" s="16">
        <v>5382</v>
      </c>
      <c r="K2215" s="18">
        <f t="shared" si="105"/>
        <v>28.476190476190474</v>
      </c>
    </row>
    <row r="2216" spans="1:11" x14ac:dyDescent="0.3">
      <c r="A2216" s="14">
        <v>2025</v>
      </c>
      <c r="B2216" s="14">
        <f t="shared" si="104"/>
        <v>3</v>
      </c>
      <c r="C2216" s="9">
        <v>45670</v>
      </c>
      <c r="D2216" s="9">
        <v>45995</v>
      </c>
      <c r="E2216" s="14">
        <f>VLOOKUP(F2216,CarrierID!A:B,2,0)</f>
        <v>12</v>
      </c>
      <c r="F2216" s="15" t="s">
        <v>25</v>
      </c>
      <c r="G2216" t="str">
        <f>VLOOKUP(F2216,Carrier_Category!A:B,2,0)</f>
        <v>Commuter</v>
      </c>
      <c r="H2216" s="16">
        <v>23</v>
      </c>
      <c r="I2216" s="17">
        <f t="shared" si="106"/>
        <v>187</v>
      </c>
      <c r="J2216" s="16">
        <v>643</v>
      </c>
      <c r="K2216" s="18">
        <f t="shared" si="105"/>
        <v>27.956521739130434</v>
      </c>
    </row>
    <row r="2217" spans="1:11" x14ac:dyDescent="0.3">
      <c r="A2217" s="14">
        <v>2025</v>
      </c>
      <c r="B2217" s="14">
        <f t="shared" si="104"/>
        <v>3</v>
      </c>
      <c r="C2217" s="9">
        <v>45670</v>
      </c>
      <c r="D2217" s="9">
        <v>45995</v>
      </c>
      <c r="E2217" s="14">
        <f>VLOOKUP(F2217,CarrierID!A:B,2,0)</f>
        <v>10</v>
      </c>
      <c r="F2217" s="15" t="s">
        <v>8</v>
      </c>
      <c r="G2217" t="str">
        <f>VLOOKUP(F2217,Carrier_Category!A:B,2,0)</f>
        <v>Intercity</v>
      </c>
      <c r="H2217" s="16">
        <v>44</v>
      </c>
      <c r="I2217" s="17">
        <f t="shared" si="106"/>
        <v>23</v>
      </c>
      <c r="J2217" s="16">
        <v>927</v>
      </c>
      <c r="K2217" s="18">
        <f t="shared" si="105"/>
        <v>21.068181818181817</v>
      </c>
    </row>
    <row r="2218" spans="1:11" x14ac:dyDescent="0.3">
      <c r="A2218" s="14">
        <v>2025</v>
      </c>
      <c r="B2218" s="14">
        <f t="shared" si="104"/>
        <v>3</v>
      </c>
      <c r="C2218" s="9">
        <v>45670</v>
      </c>
      <c r="D2218" s="9">
        <v>45995</v>
      </c>
      <c r="E2218" s="14">
        <f>VLOOKUP(F2218,CarrierID!A:B,2,0)</f>
        <v>6</v>
      </c>
      <c r="F2218" s="15" t="s">
        <v>9</v>
      </c>
      <c r="G2218" t="str">
        <f>VLOOKUP(F2218,Carrier_Category!A:B,2,0)</f>
        <v>Commuter</v>
      </c>
      <c r="H2218" s="16">
        <v>85</v>
      </c>
      <c r="I2218" s="17">
        <f t="shared" si="106"/>
        <v>42</v>
      </c>
      <c r="J2218" s="16">
        <v>1591</v>
      </c>
      <c r="K2218" s="18">
        <f t="shared" si="105"/>
        <v>18.71764705882353</v>
      </c>
    </row>
    <row r="2219" spans="1:11" x14ac:dyDescent="0.3">
      <c r="A2219" s="14">
        <v>2025</v>
      </c>
      <c r="B2219" s="14">
        <f t="shared" si="104"/>
        <v>4</v>
      </c>
      <c r="C2219" s="9">
        <v>45677</v>
      </c>
      <c r="D2219" s="9">
        <v>45992</v>
      </c>
      <c r="E2219" s="14">
        <f>VLOOKUP(F2219,CarrierID!A:B,2,0)</f>
        <v>1</v>
      </c>
      <c r="F2219" s="15" t="s">
        <v>0</v>
      </c>
      <c r="G2219" t="str">
        <f>VLOOKUP(F2219,Carrier_Category!A:B,2,0)</f>
        <v>Commuter</v>
      </c>
      <c r="H2219" s="16">
        <v>39</v>
      </c>
      <c r="I2219" s="17">
        <f t="shared" si="106"/>
        <v>85</v>
      </c>
      <c r="J2219" s="16">
        <v>1217</v>
      </c>
      <c r="K2219" s="18">
        <f t="shared" si="105"/>
        <v>31.205128205128204</v>
      </c>
    </row>
    <row r="2220" spans="1:11" x14ac:dyDescent="0.3">
      <c r="A2220" s="14">
        <v>2025</v>
      </c>
      <c r="B2220" s="14">
        <f t="shared" si="104"/>
        <v>4</v>
      </c>
      <c r="C2220" s="9">
        <v>45677</v>
      </c>
      <c r="D2220" s="9">
        <v>45992</v>
      </c>
      <c r="E2220" s="14">
        <f>VLOOKUP(F2220,CarrierID!A:B,2,0)</f>
        <v>5</v>
      </c>
      <c r="F2220" s="15" t="s">
        <v>1</v>
      </c>
      <c r="G2220" t="str">
        <f>VLOOKUP(F2220,Carrier_Category!A:B,2,0)</f>
        <v>Intercity</v>
      </c>
      <c r="H2220" s="16">
        <v>59</v>
      </c>
      <c r="I2220" s="17">
        <f t="shared" si="106"/>
        <v>46</v>
      </c>
      <c r="J2220" s="16">
        <v>1125</v>
      </c>
      <c r="K2220" s="18">
        <f t="shared" si="105"/>
        <v>19.067796610169491</v>
      </c>
    </row>
    <row r="2221" spans="1:11" x14ac:dyDescent="0.3">
      <c r="A2221" s="14">
        <v>2025</v>
      </c>
      <c r="B2221" s="14">
        <f t="shared" si="104"/>
        <v>4</v>
      </c>
      <c r="C2221" s="9">
        <v>45677</v>
      </c>
      <c r="D2221" s="9">
        <v>45992</v>
      </c>
      <c r="E2221" s="14">
        <f>VLOOKUP(F2221,CarrierID!A:B,2,0)</f>
        <v>8</v>
      </c>
      <c r="F2221" s="15" t="s">
        <v>2</v>
      </c>
      <c r="G2221" t="str">
        <f>VLOOKUP(F2221,Carrier_Category!A:B,2,0)</f>
        <v>Commuter</v>
      </c>
      <c r="H2221" s="16">
        <v>17</v>
      </c>
      <c r="I2221" s="17">
        <f t="shared" si="106"/>
        <v>59</v>
      </c>
      <c r="J2221" s="16">
        <v>638</v>
      </c>
      <c r="K2221" s="18">
        <f t="shared" si="105"/>
        <v>37.529411764705884</v>
      </c>
    </row>
    <row r="2222" spans="1:11" x14ac:dyDescent="0.3">
      <c r="A2222" s="14">
        <v>2025</v>
      </c>
      <c r="B2222" s="14">
        <f t="shared" si="104"/>
        <v>4</v>
      </c>
      <c r="C2222" s="9">
        <v>45677</v>
      </c>
      <c r="D2222" s="9">
        <v>45992</v>
      </c>
      <c r="E2222" s="14">
        <f>VLOOKUP(F2222,CarrierID!A:B,2,0)</f>
        <v>9</v>
      </c>
      <c r="F2222" s="15" t="s">
        <v>3</v>
      </c>
      <c r="G2222" t="str">
        <f>VLOOKUP(F2222,Carrier_Category!A:B,2,0)</f>
        <v>NJT</v>
      </c>
      <c r="H2222" s="16">
        <v>2368</v>
      </c>
      <c r="I2222" s="17">
        <f t="shared" si="106"/>
        <v>18</v>
      </c>
      <c r="J2222" s="16">
        <v>75942</v>
      </c>
      <c r="K2222" s="18">
        <f t="shared" si="105"/>
        <v>32.070101351351354</v>
      </c>
    </row>
    <row r="2223" spans="1:11" x14ac:dyDescent="0.3">
      <c r="A2223" s="14">
        <v>2025</v>
      </c>
      <c r="B2223" s="14">
        <f t="shared" si="104"/>
        <v>4</v>
      </c>
      <c r="C2223" s="9">
        <v>45677</v>
      </c>
      <c r="D2223" s="9">
        <v>45992</v>
      </c>
      <c r="E2223" s="14">
        <f>VLOOKUP(F2223,CarrierID!A:B,2,0)</f>
        <v>7</v>
      </c>
      <c r="F2223" s="15" t="s">
        <v>4</v>
      </c>
      <c r="G2223" t="str">
        <f>VLOOKUP(F2223,Carrier_Category!A:B,2,0)</f>
        <v>Commuter</v>
      </c>
      <c r="H2223" s="16">
        <v>37</v>
      </c>
      <c r="I2223" s="17">
        <f t="shared" si="106"/>
        <v>2426</v>
      </c>
      <c r="J2223" s="16">
        <v>1112</v>
      </c>
      <c r="K2223" s="18">
        <f t="shared" si="105"/>
        <v>30.054054054054053</v>
      </c>
    </row>
    <row r="2224" spans="1:11" x14ac:dyDescent="0.3">
      <c r="A2224" s="14">
        <v>2025</v>
      </c>
      <c r="B2224" s="14">
        <f t="shared" si="104"/>
        <v>4</v>
      </c>
      <c r="C2224" s="9">
        <v>45677</v>
      </c>
      <c r="D2224" s="9">
        <v>45992</v>
      </c>
      <c r="E2224" s="14">
        <f>VLOOKUP(F2224,CarrierID!A:B,2,0)</f>
        <v>11</v>
      </c>
      <c r="F2224" s="15" t="s">
        <v>5</v>
      </c>
      <c r="G2224" t="str">
        <f>VLOOKUP(F2224,Carrier_Category!A:B,2,0)</f>
        <v>Intercity</v>
      </c>
      <c r="H2224" s="16">
        <v>22</v>
      </c>
      <c r="I2224" s="17">
        <f t="shared" si="106"/>
        <v>42</v>
      </c>
      <c r="J2224" s="16">
        <v>426</v>
      </c>
      <c r="K2224" s="18">
        <f t="shared" si="105"/>
        <v>19.363636363636363</v>
      </c>
    </row>
    <row r="2225" spans="1:11" x14ac:dyDescent="0.3">
      <c r="A2225" s="14">
        <v>2025</v>
      </c>
      <c r="B2225" s="14">
        <f t="shared" si="104"/>
        <v>4</v>
      </c>
      <c r="C2225" s="9">
        <v>45677</v>
      </c>
      <c r="D2225" s="9">
        <v>45992</v>
      </c>
      <c r="E2225" s="14">
        <f>VLOOKUP(F2225,CarrierID!A:B,2,0)</f>
        <v>3</v>
      </c>
      <c r="F2225" s="15" t="s">
        <v>6</v>
      </c>
      <c r="G2225" t="str">
        <f>VLOOKUP(F2225,Carrier_Category!A:B,2,0)</f>
        <v>Commuter</v>
      </c>
      <c r="H2225" s="16">
        <v>189</v>
      </c>
      <c r="I2225" s="17">
        <f t="shared" si="106"/>
        <v>22</v>
      </c>
      <c r="J2225" s="16">
        <v>5382</v>
      </c>
      <c r="K2225" s="18">
        <f t="shared" si="105"/>
        <v>28.476190476190474</v>
      </c>
    </row>
    <row r="2226" spans="1:11" x14ac:dyDescent="0.3">
      <c r="A2226" s="14">
        <v>2025</v>
      </c>
      <c r="B2226" s="14">
        <f t="shared" si="104"/>
        <v>4</v>
      </c>
      <c r="C2226" s="9">
        <v>45677</v>
      </c>
      <c r="D2226" s="9">
        <v>45992</v>
      </c>
      <c r="E2226" s="14">
        <f>VLOOKUP(F2226,CarrierID!A:B,2,0)</f>
        <v>12</v>
      </c>
      <c r="F2226" s="15" t="s">
        <v>25</v>
      </c>
      <c r="G2226" t="str">
        <f>VLOOKUP(F2226,Carrier_Category!A:B,2,0)</f>
        <v>Commuter</v>
      </c>
      <c r="H2226" s="16">
        <v>22</v>
      </c>
      <c r="I2226" s="17">
        <f t="shared" si="106"/>
        <v>189</v>
      </c>
      <c r="J2226" s="16">
        <v>579</v>
      </c>
      <c r="K2226" s="18">
        <f t="shared" si="105"/>
        <v>26.318181818181817</v>
      </c>
    </row>
    <row r="2227" spans="1:11" x14ac:dyDescent="0.3">
      <c r="A2227" s="14">
        <v>2025</v>
      </c>
      <c r="B2227" s="14">
        <f t="shared" si="104"/>
        <v>4</v>
      </c>
      <c r="C2227" s="9">
        <v>45677</v>
      </c>
      <c r="D2227" s="9">
        <v>45992</v>
      </c>
      <c r="E2227" s="14">
        <f>VLOOKUP(F2227,CarrierID!A:B,2,0)</f>
        <v>10</v>
      </c>
      <c r="F2227" s="15" t="s">
        <v>8</v>
      </c>
      <c r="G2227" t="str">
        <f>VLOOKUP(F2227,Carrier_Category!A:B,2,0)</f>
        <v>Intercity</v>
      </c>
      <c r="H2227" s="16">
        <v>41</v>
      </c>
      <c r="I2227" s="17">
        <f t="shared" si="106"/>
        <v>23</v>
      </c>
      <c r="J2227" s="16">
        <v>934</v>
      </c>
      <c r="K2227" s="18">
        <f t="shared" si="105"/>
        <v>22.780487804878049</v>
      </c>
    </row>
    <row r="2228" spans="1:11" x14ac:dyDescent="0.3">
      <c r="A2228" s="14">
        <v>2025</v>
      </c>
      <c r="B2228" s="14">
        <f t="shared" si="104"/>
        <v>4</v>
      </c>
      <c r="C2228" s="9">
        <v>45677</v>
      </c>
      <c r="D2228" s="9">
        <v>45992</v>
      </c>
      <c r="E2228" s="14">
        <f>VLOOKUP(F2228,CarrierID!A:B,2,0)</f>
        <v>6</v>
      </c>
      <c r="F2228" s="15" t="s">
        <v>9</v>
      </c>
      <c r="G2228" t="str">
        <f>VLOOKUP(F2228,Carrier_Category!A:B,2,0)</f>
        <v>Commuter</v>
      </c>
      <c r="H2228" s="16">
        <v>74</v>
      </c>
      <c r="I2228" s="17">
        <f t="shared" si="106"/>
        <v>44</v>
      </c>
      <c r="J2228" s="16">
        <v>1195</v>
      </c>
      <c r="K2228" s="18">
        <f t="shared" si="105"/>
        <v>16.148648648648649</v>
      </c>
    </row>
    <row r="2229" spans="1:11" x14ac:dyDescent="0.3">
      <c r="A2229" s="14">
        <v>2025</v>
      </c>
      <c r="B2229" s="14">
        <f t="shared" si="104"/>
        <v>5</v>
      </c>
      <c r="C2229" s="9">
        <v>45684</v>
      </c>
      <c r="D2229" s="9">
        <v>45999</v>
      </c>
      <c r="E2229" s="14">
        <f>VLOOKUP(F2229,CarrierID!A:B,2,0)</f>
        <v>1</v>
      </c>
      <c r="F2229" s="15" t="s">
        <v>0</v>
      </c>
      <c r="G2229" t="str">
        <f>VLOOKUP(F2229,Carrier_Category!A:B,2,0)</f>
        <v>Commuter</v>
      </c>
      <c r="H2229" s="16">
        <v>39</v>
      </c>
      <c r="I2229" s="17">
        <f t="shared" si="106"/>
        <v>85</v>
      </c>
      <c r="J2229" s="16">
        <v>1217</v>
      </c>
      <c r="K2229" s="18">
        <f t="shared" si="105"/>
        <v>31.205128205128204</v>
      </c>
    </row>
    <row r="2230" spans="1:11" x14ac:dyDescent="0.3">
      <c r="A2230" s="14">
        <v>2025</v>
      </c>
      <c r="B2230" s="14">
        <f t="shared" si="104"/>
        <v>5</v>
      </c>
      <c r="C2230" s="9">
        <v>45684</v>
      </c>
      <c r="D2230" s="9">
        <v>45999</v>
      </c>
      <c r="E2230" s="14">
        <f>VLOOKUP(F2230,CarrierID!A:B,2,0)</f>
        <v>5</v>
      </c>
      <c r="F2230" s="15" t="s">
        <v>1</v>
      </c>
      <c r="G2230" t="str">
        <f>VLOOKUP(F2230,Carrier_Category!A:B,2,0)</f>
        <v>Intercity</v>
      </c>
      <c r="H2230" s="16">
        <v>59</v>
      </c>
      <c r="I2230" s="17">
        <f t="shared" si="106"/>
        <v>39</v>
      </c>
      <c r="J2230" s="16">
        <v>1125</v>
      </c>
      <c r="K2230" s="18">
        <f t="shared" si="105"/>
        <v>19.067796610169491</v>
      </c>
    </row>
    <row r="2231" spans="1:11" x14ac:dyDescent="0.3">
      <c r="A2231" s="14">
        <v>2025</v>
      </c>
      <c r="B2231" s="14">
        <f t="shared" si="104"/>
        <v>5</v>
      </c>
      <c r="C2231" s="9">
        <v>45684</v>
      </c>
      <c r="D2231" s="9">
        <v>45999</v>
      </c>
      <c r="E2231" s="14">
        <f>VLOOKUP(F2231,CarrierID!A:B,2,0)</f>
        <v>8</v>
      </c>
      <c r="F2231" s="15" t="s">
        <v>2</v>
      </c>
      <c r="G2231" t="str">
        <f>VLOOKUP(F2231,Carrier_Category!A:B,2,0)</f>
        <v>Commuter</v>
      </c>
      <c r="H2231" s="16">
        <v>18</v>
      </c>
      <c r="I2231" s="17">
        <f t="shared" si="106"/>
        <v>59</v>
      </c>
      <c r="J2231" s="16">
        <v>708</v>
      </c>
      <c r="K2231" s="18">
        <f t="shared" si="105"/>
        <v>39.333333333333336</v>
      </c>
    </row>
    <row r="2232" spans="1:11" x14ac:dyDescent="0.3">
      <c r="A2232" s="14">
        <v>2025</v>
      </c>
      <c r="B2232" s="14">
        <f t="shared" si="104"/>
        <v>5</v>
      </c>
      <c r="C2232" s="9">
        <v>45684</v>
      </c>
      <c r="D2232" s="9">
        <v>45999</v>
      </c>
      <c r="E2232" s="14">
        <f>VLOOKUP(F2232,CarrierID!A:B,2,0)</f>
        <v>9</v>
      </c>
      <c r="F2232" s="15" t="s">
        <v>3</v>
      </c>
      <c r="G2232" t="str">
        <f>VLOOKUP(F2232,Carrier_Category!A:B,2,0)</f>
        <v>NJT</v>
      </c>
      <c r="H2232" s="16">
        <v>2427</v>
      </c>
      <c r="I2232" s="17">
        <f t="shared" si="106"/>
        <v>17</v>
      </c>
      <c r="J2232" s="16">
        <v>77619</v>
      </c>
      <c r="K2232" s="18">
        <f t="shared" si="105"/>
        <v>31.981458590852906</v>
      </c>
    </row>
    <row r="2233" spans="1:11" x14ac:dyDescent="0.3">
      <c r="A2233" s="14">
        <v>2025</v>
      </c>
      <c r="B2233" s="14">
        <f t="shared" si="104"/>
        <v>5</v>
      </c>
      <c r="C2233" s="9">
        <v>45684</v>
      </c>
      <c r="D2233" s="9">
        <v>45999</v>
      </c>
      <c r="E2233" s="14">
        <f>VLOOKUP(F2233,CarrierID!A:B,2,0)</f>
        <v>7</v>
      </c>
      <c r="F2233" s="15" t="s">
        <v>4</v>
      </c>
      <c r="G2233" t="str">
        <f>VLOOKUP(F2233,Carrier_Category!A:B,2,0)</f>
        <v>Commuter</v>
      </c>
      <c r="H2233" s="16">
        <v>44</v>
      </c>
      <c r="I2233" s="17">
        <f t="shared" si="106"/>
        <v>2368</v>
      </c>
      <c r="J2233" s="16">
        <v>1437</v>
      </c>
      <c r="K2233" s="18">
        <f t="shared" si="105"/>
        <v>32.659090909090907</v>
      </c>
    </row>
    <row r="2234" spans="1:11" x14ac:dyDescent="0.3">
      <c r="A2234" s="14">
        <v>2025</v>
      </c>
      <c r="B2234" s="14">
        <f t="shared" si="104"/>
        <v>5</v>
      </c>
      <c r="C2234" s="9">
        <v>45684</v>
      </c>
      <c r="D2234" s="9">
        <v>45999</v>
      </c>
      <c r="E2234" s="14">
        <f>VLOOKUP(F2234,CarrierID!A:B,2,0)</f>
        <v>11</v>
      </c>
      <c r="F2234" s="15" t="s">
        <v>5</v>
      </c>
      <c r="G2234" t="str">
        <f>VLOOKUP(F2234,Carrier_Category!A:B,2,0)</f>
        <v>Intercity</v>
      </c>
      <c r="H2234" s="16">
        <v>22</v>
      </c>
      <c r="I2234" s="17">
        <f t="shared" si="106"/>
        <v>37</v>
      </c>
      <c r="J2234" s="16">
        <v>426</v>
      </c>
      <c r="K2234" s="18">
        <f t="shared" si="105"/>
        <v>19.363636363636363</v>
      </c>
    </row>
    <row r="2235" spans="1:11" x14ac:dyDescent="0.3">
      <c r="A2235" s="14">
        <v>2025</v>
      </c>
      <c r="B2235" s="14">
        <f t="shared" si="104"/>
        <v>5</v>
      </c>
      <c r="C2235" s="9">
        <v>45684</v>
      </c>
      <c r="D2235" s="9">
        <v>45999</v>
      </c>
      <c r="E2235" s="14">
        <f>VLOOKUP(F2235,CarrierID!A:B,2,0)</f>
        <v>3</v>
      </c>
      <c r="F2235" s="15" t="s">
        <v>6</v>
      </c>
      <c r="G2235" t="str">
        <f>VLOOKUP(F2235,Carrier_Category!A:B,2,0)</f>
        <v>Commuter</v>
      </c>
      <c r="H2235" s="16">
        <v>189</v>
      </c>
      <c r="I2235" s="17">
        <f t="shared" si="106"/>
        <v>22</v>
      </c>
      <c r="J2235" s="16">
        <v>5382</v>
      </c>
      <c r="K2235" s="18">
        <f t="shared" si="105"/>
        <v>28.476190476190474</v>
      </c>
    </row>
    <row r="2236" spans="1:11" x14ac:dyDescent="0.3">
      <c r="A2236" s="14">
        <v>2025</v>
      </c>
      <c r="B2236" s="14">
        <f t="shared" si="104"/>
        <v>5</v>
      </c>
      <c r="C2236" s="9">
        <v>45684</v>
      </c>
      <c r="D2236" s="9">
        <v>45999</v>
      </c>
      <c r="E2236" s="14">
        <f>VLOOKUP(F2236,CarrierID!A:B,2,0)</f>
        <v>12</v>
      </c>
      <c r="F2236" s="15" t="s">
        <v>25</v>
      </c>
      <c r="G2236" t="str">
        <f>VLOOKUP(F2236,Carrier_Category!A:B,2,0)</f>
        <v>Commuter</v>
      </c>
      <c r="H2236" s="16">
        <v>23</v>
      </c>
      <c r="I2236" s="17">
        <f t="shared" si="106"/>
        <v>189</v>
      </c>
      <c r="J2236" s="16">
        <v>613</v>
      </c>
      <c r="K2236" s="18">
        <f t="shared" si="105"/>
        <v>26.652173913043477</v>
      </c>
    </row>
    <row r="2237" spans="1:11" x14ac:dyDescent="0.3">
      <c r="A2237" s="14">
        <v>2025</v>
      </c>
      <c r="B2237" s="14">
        <f t="shared" si="104"/>
        <v>5</v>
      </c>
      <c r="C2237" s="9">
        <v>45684</v>
      </c>
      <c r="D2237" s="9">
        <v>45999</v>
      </c>
      <c r="E2237" s="14">
        <f>VLOOKUP(F2237,CarrierID!A:B,2,0)</f>
        <v>10</v>
      </c>
      <c r="F2237" s="15" t="s">
        <v>8</v>
      </c>
      <c r="G2237" t="str">
        <f>VLOOKUP(F2237,Carrier_Category!A:B,2,0)</f>
        <v>Intercity</v>
      </c>
      <c r="H2237" s="16">
        <v>38</v>
      </c>
      <c r="I2237" s="17">
        <f t="shared" si="106"/>
        <v>22</v>
      </c>
      <c r="J2237" s="16">
        <v>910</v>
      </c>
      <c r="K2237" s="18">
        <f t="shared" si="105"/>
        <v>23.94736842105263</v>
      </c>
    </row>
    <row r="2238" spans="1:11" x14ac:dyDescent="0.3">
      <c r="A2238" s="14">
        <v>2025</v>
      </c>
      <c r="B2238" s="14">
        <f t="shared" si="104"/>
        <v>5</v>
      </c>
      <c r="C2238" s="9">
        <v>45684</v>
      </c>
      <c r="D2238" s="9">
        <v>45999</v>
      </c>
      <c r="E2238" s="14">
        <f>VLOOKUP(F2238,CarrierID!A:B,2,0)</f>
        <v>6</v>
      </c>
      <c r="F2238" s="15" t="s">
        <v>9</v>
      </c>
      <c r="G2238" t="str">
        <f>VLOOKUP(F2238,Carrier_Category!A:B,2,0)</f>
        <v>Commuter</v>
      </c>
      <c r="H2238" s="16">
        <v>87</v>
      </c>
      <c r="I2238" s="17">
        <f t="shared" si="106"/>
        <v>41</v>
      </c>
      <c r="J2238" s="16">
        <v>1628</v>
      </c>
      <c r="K2238" s="18">
        <f t="shared" si="105"/>
        <v>18.712643678160919</v>
      </c>
    </row>
    <row r="2239" spans="1:11" x14ac:dyDescent="0.3">
      <c r="A2239" s="14">
        <v>2025</v>
      </c>
      <c r="B2239" s="14">
        <f t="shared" si="104"/>
        <v>6</v>
      </c>
      <c r="C2239" s="9">
        <v>45691</v>
      </c>
      <c r="D2239" s="9">
        <v>45996</v>
      </c>
      <c r="E2239" s="14">
        <f>VLOOKUP(F2239,CarrierID!A:B,2,0)</f>
        <v>1</v>
      </c>
      <c r="F2239" s="15" t="s">
        <v>0</v>
      </c>
      <c r="G2239" t="str">
        <f>VLOOKUP(F2239,Carrier_Category!A:B,2,0)</f>
        <v>Commuter</v>
      </c>
      <c r="H2239" s="16">
        <v>49</v>
      </c>
      <c r="I2239" s="17">
        <f t="shared" si="106"/>
        <v>74</v>
      </c>
      <c r="J2239" s="16">
        <v>1541</v>
      </c>
      <c r="K2239" s="18">
        <f t="shared" si="105"/>
        <v>31.448979591836736</v>
      </c>
    </row>
    <row r="2240" spans="1:11" x14ac:dyDescent="0.3">
      <c r="A2240" s="14">
        <v>2025</v>
      </c>
      <c r="B2240" s="14">
        <f t="shared" si="104"/>
        <v>6</v>
      </c>
      <c r="C2240" s="9">
        <v>45691</v>
      </c>
      <c r="D2240" s="9">
        <v>45996</v>
      </c>
      <c r="E2240" s="14">
        <f>VLOOKUP(F2240,CarrierID!A:B,2,0)</f>
        <v>5</v>
      </c>
      <c r="F2240" s="15" t="s">
        <v>1</v>
      </c>
      <c r="G2240" t="str">
        <f>VLOOKUP(F2240,Carrier_Category!A:B,2,0)</f>
        <v>Intercity</v>
      </c>
      <c r="H2240" s="16">
        <v>55</v>
      </c>
      <c r="I2240" s="17">
        <f t="shared" si="106"/>
        <v>39</v>
      </c>
      <c r="J2240" s="16">
        <v>724</v>
      </c>
      <c r="K2240" s="18">
        <f t="shared" si="105"/>
        <v>13.163636363636364</v>
      </c>
    </row>
    <row r="2241" spans="1:11" x14ac:dyDescent="0.3">
      <c r="A2241" s="14">
        <v>2025</v>
      </c>
      <c r="B2241" s="14">
        <f t="shared" si="104"/>
        <v>6</v>
      </c>
      <c r="C2241" s="9">
        <v>45691</v>
      </c>
      <c r="D2241" s="9">
        <v>45996</v>
      </c>
      <c r="E2241" s="14">
        <f>VLOOKUP(F2241,CarrierID!A:B,2,0)</f>
        <v>8</v>
      </c>
      <c r="F2241" s="15" t="s">
        <v>2</v>
      </c>
      <c r="G2241" t="str">
        <f>VLOOKUP(F2241,Carrier_Category!A:B,2,0)</f>
        <v>Commuter</v>
      </c>
      <c r="H2241" s="16">
        <v>18</v>
      </c>
      <c r="I2241" s="17">
        <f t="shared" si="106"/>
        <v>59</v>
      </c>
      <c r="J2241" s="16">
        <v>664</v>
      </c>
      <c r="K2241" s="18">
        <f t="shared" si="105"/>
        <v>36.888888888888886</v>
      </c>
    </row>
    <row r="2242" spans="1:11" x14ac:dyDescent="0.3">
      <c r="A2242" s="14">
        <v>2025</v>
      </c>
      <c r="B2242" s="14">
        <f t="shared" si="104"/>
        <v>6</v>
      </c>
      <c r="C2242" s="9">
        <v>45691</v>
      </c>
      <c r="D2242" s="9">
        <v>45996</v>
      </c>
      <c r="E2242" s="14">
        <f>VLOOKUP(F2242,CarrierID!A:B,2,0)</f>
        <v>9</v>
      </c>
      <c r="F2242" s="15" t="s">
        <v>3</v>
      </c>
      <c r="G2242" t="str">
        <f>VLOOKUP(F2242,Carrier_Category!A:B,2,0)</f>
        <v>NJT</v>
      </c>
      <c r="H2242" s="16">
        <v>2542</v>
      </c>
      <c r="I2242" s="17">
        <f t="shared" si="106"/>
        <v>18</v>
      </c>
      <c r="J2242" s="16">
        <v>84605</v>
      </c>
      <c r="K2242" s="18">
        <f t="shared" si="105"/>
        <v>33.282848151062154</v>
      </c>
    </row>
    <row r="2243" spans="1:11" x14ac:dyDescent="0.3">
      <c r="A2243" s="14">
        <v>2025</v>
      </c>
      <c r="B2243" s="14">
        <f t="shared" si="104"/>
        <v>6</v>
      </c>
      <c r="C2243" s="9">
        <v>45691</v>
      </c>
      <c r="D2243" s="9">
        <v>45996</v>
      </c>
      <c r="E2243" s="14">
        <f>VLOOKUP(F2243,CarrierID!A:B,2,0)</f>
        <v>7</v>
      </c>
      <c r="F2243" s="15" t="s">
        <v>4</v>
      </c>
      <c r="G2243" t="str">
        <f>VLOOKUP(F2243,Carrier_Category!A:B,2,0)</f>
        <v>Commuter</v>
      </c>
      <c r="H2243" s="16">
        <v>44</v>
      </c>
      <c r="I2243" s="17">
        <f t="shared" si="106"/>
        <v>2427</v>
      </c>
      <c r="J2243" s="16">
        <v>1420</v>
      </c>
      <c r="K2243" s="18">
        <f t="shared" si="105"/>
        <v>32.272727272727273</v>
      </c>
    </row>
    <row r="2244" spans="1:11" x14ac:dyDescent="0.3">
      <c r="A2244" s="14">
        <v>2025</v>
      </c>
      <c r="B2244" s="14">
        <f t="shared" si="104"/>
        <v>6</v>
      </c>
      <c r="C2244" s="9">
        <v>45691</v>
      </c>
      <c r="D2244" s="9">
        <v>45996</v>
      </c>
      <c r="E2244" s="14">
        <f>VLOOKUP(F2244,CarrierID!A:B,2,0)</f>
        <v>11</v>
      </c>
      <c r="F2244" s="15" t="s">
        <v>5</v>
      </c>
      <c r="G2244" t="str">
        <f>VLOOKUP(F2244,Carrier_Category!A:B,2,0)</f>
        <v>Intercity</v>
      </c>
      <c r="H2244" s="16">
        <v>22</v>
      </c>
      <c r="I2244" s="17">
        <f t="shared" si="106"/>
        <v>44</v>
      </c>
      <c r="J2244" s="16">
        <v>426</v>
      </c>
      <c r="K2244" s="18">
        <f t="shared" si="105"/>
        <v>19.363636363636363</v>
      </c>
    </row>
    <row r="2245" spans="1:11" x14ac:dyDescent="0.3">
      <c r="A2245" s="14">
        <v>2025</v>
      </c>
      <c r="B2245" s="14">
        <f t="shared" ref="B2245:B2308" si="107">_xlfn.ISOWEEKNUM(C2245)</f>
        <v>6</v>
      </c>
      <c r="C2245" s="9">
        <v>45691</v>
      </c>
      <c r="D2245" s="9">
        <v>45996</v>
      </c>
      <c r="E2245" s="14">
        <f>VLOOKUP(F2245,CarrierID!A:B,2,0)</f>
        <v>3</v>
      </c>
      <c r="F2245" s="15" t="s">
        <v>6</v>
      </c>
      <c r="G2245" t="str">
        <f>VLOOKUP(F2245,Carrier_Category!A:B,2,0)</f>
        <v>Commuter</v>
      </c>
      <c r="H2245" s="16">
        <v>189</v>
      </c>
      <c r="I2245" s="17">
        <f t="shared" si="106"/>
        <v>22</v>
      </c>
      <c r="J2245" s="16">
        <v>5382</v>
      </c>
      <c r="K2245" s="18">
        <f t="shared" ref="K2245:K2308" si="108">J2245/H2245</f>
        <v>28.476190476190474</v>
      </c>
    </row>
    <row r="2246" spans="1:11" x14ac:dyDescent="0.3">
      <c r="A2246" s="14">
        <v>2025</v>
      </c>
      <c r="B2246" s="14">
        <f t="shared" si="107"/>
        <v>6</v>
      </c>
      <c r="C2246" s="9">
        <v>45691</v>
      </c>
      <c r="D2246" s="9">
        <v>45996</v>
      </c>
      <c r="E2246" s="14">
        <f>VLOOKUP(F2246,CarrierID!A:B,2,0)</f>
        <v>12</v>
      </c>
      <c r="F2246" s="15" t="s">
        <v>25</v>
      </c>
      <c r="G2246" t="str">
        <f>VLOOKUP(F2246,Carrier_Category!A:B,2,0)</f>
        <v>Commuter</v>
      </c>
      <c r="H2246" s="16">
        <v>18</v>
      </c>
      <c r="I2246" s="17">
        <f t="shared" si="106"/>
        <v>189</v>
      </c>
      <c r="J2246" s="16">
        <v>489</v>
      </c>
      <c r="K2246" s="18">
        <f t="shared" si="108"/>
        <v>27.166666666666668</v>
      </c>
    </row>
    <row r="2247" spans="1:11" x14ac:dyDescent="0.3">
      <c r="A2247" s="14">
        <v>2025</v>
      </c>
      <c r="B2247" s="14">
        <f t="shared" si="107"/>
        <v>6</v>
      </c>
      <c r="C2247" s="9">
        <v>45691</v>
      </c>
      <c r="D2247" s="9">
        <v>45996</v>
      </c>
      <c r="E2247" s="14">
        <f>VLOOKUP(F2247,CarrierID!A:B,2,0)</f>
        <v>10</v>
      </c>
      <c r="F2247" s="15" t="s">
        <v>8</v>
      </c>
      <c r="G2247" t="str">
        <f>VLOOKUP(F2247,Carrier_Category!A:B,2,0)</f>
        <v>Intercity</v>
      </c>
      <c r="H2247" s="16">
        <v>38</v>
      </c>
      <c r="I2247" s="17">
        <f t="shared" si="106"/>
        <v>23</v>
      </c>
      <c r="J2247" s="16">
        <v>910</v>
      </c>
      <c r="K2247" s="18">
        <f t="shared" si="108"/>
        <v>23.94736842105263</v>
      </c>
    </row>
    <row r="2248" spans="1:11" x14ac:dyDescent="0.3">
      <c r="A2248" s="14">
        <v>2025</v>
      </c>
      <c r="B2248" s="14">
        <f t="shared" si="107"/>
        <v>6</v>
      </c>
      <c r="C2248" s="9">
        <v>45691</v>
      </c>
      <c r="D2248" s="9">
        <v>45996</v>
      </c>
      <c r="E2248" s="14">
        <f>VLOOKUP(F2248,CarrierID!A:B,2,0)</f>
        <v>6</v>
      </c>
      <c r="F2248" s="15" t="s">
        <v>9</v>
      </c>
      <c r="G2248" t="str">
        <f>VLOOKUP(F2248,Carrier_Category!A:B,2,0)</f>
        <v>Commuter</v>
      </c>
      <c r="H2248" s="16">
        <v>86</v>
      </c>
      <c r="I2248" s="17">
        <f t="shared" si="106"/>
        <v>38</v>
      </c>
      <c r="J2248" s="16">
        <v>1673</v>
      </c>
      <c r="K2248" s="18">
        <f t="shared" si="108"/>
        <v>19.453488372093023</v>
      </c>
    </row>
    <row r="2249" spans="1:11" x14ac:dyDescent="0.3">
      <c r="A2249" s="14">
        <v>2025</v>
      </c>
      <c r="B2249" s="14">
        <f t="shared" si="107"/>
        <v>7</v>
      </c>
      <c r="C2249" s="9">
        <v>45698</v>
      </c>
      <c r="D2249" s="9">
        <v>45993</v>
      </c>
      <c r="E2249" s="14">
        <f>VLOOKUP(F2249,CarrierID!A:B,2,0)</f>
        <v>1</v>
      </c>
      <c r="F2249" s="15" t="s">
        <v>0</v>
      </c>
      <c r="G2249" t="str">
        <f>VLOOKUP(F2249,Carrier_Category!A:B,2,0)</f>
        <v>Commuter</v>
      </c>
      <c r="H2249" s="16">
        <v>46</v>
      </c>
      <c r="I2249" s="17">
        <f t="shared" si="106"/>
        <v>87</v>
      </c>
      <c r="J2249" s="16">
        <v>1369</v>
      </c>
      <c r="K2249" s="18">
        <f t="shared" si="108"/>
        <v>29.760869565217391</v>
      </c>
    </row>
    <row r="2250" spans="1:11" x14ac:dyDescent="0.3">
      <c r="A2250" s="14">
        <v>2025</v>
      </c>
      <c r="B2250" s="14">
        <f t="shared" si="107"/>
        <v>7</v>
      </c>
      <c r="C2250" s="9">
        <v>45698</v>
      </c>
      <c r="D2250" s="9">
        <v>45993</v>
      </c>
      <c r="E2250" s="14">
        <f>VLOOKUP(F2250,CarrierID!A:B,2,0)</f>
        <v>5</v>
      </c>
      <c r="F2250" s="15" t="s">
        <v>1</v>
      </c>
      <c r="G2250" t="str">
        <f>VLOOKUP(F2250,Carrier_Category!A:B,2,0)</f>
        <v>Intercity</v>
      </c>
      <c r="H2250" s="16">
        <v>56</v>
      </c>
      <c r="I2250" s="17">
        <f t="shared" si="106"/>
        <v>49</v>
      </c>
      <c r="J2250" s="16">
        <v>920</v>
      </c>
      <c r="K2250" s="18">
        <f t="shared" si="108"/>
        <v>16.428571428571427</v>
      </c>
    </row>
    <row r="2251" spans="1:11" x14ac:dyDescent="0.3">
      <c r="A2251" s="14">
        <v>2025</v>
      </c>
      <c r="B2251" s="14">
        <f t="shared" si="107"/>
        <v>7</v>
      </c>
      <c r="C2251" s="9">
        <v>45698</v>
      </c>
      <c r="D2251" s="9">
        <v>45993</v>
      </c>
      <c r="E2251" s="14">
        <f>VLOOKUP(F2251,CarrierID!A:B,2,0)</f>
        <v>8</v>
      </c>
      <c r="F2251" s="15" t="s">
        <v>2</v>
      </c>
      <c r="G2251" t="str">
        <f>VLOOKUP(F2251,Carrier_Category!A:B,2,0)</f>
        <v>Commuter</v>
      </c>
      <c r="H2251" s="16">
        <v>18</v>
      </c>
      <c r="I2251" s="17">
        <f t="shared" si="106"/>
        <v>55</v>
      </c>
      <c r="J2251" s="16">
        <v>693</v>
      </c>
      <c r="K2251" s="18">
        <f t="shared" si="108"/>
        <v>38.5</v>
      </c>
    </row>
    <row r="2252" spans="1:11" x14ac:dyDescent="0.3">
      <c r="A2252" s="14">
        <v>2025</v>
      </c>
      <c r="B2252" s="14">
        <f t="shared" si="107"/>
        <v>7</v>
      </c>
      <c r="C2252" s="9">
        <v>45698</v>
      </c>
      <c r="D2252" s="9">
        <v>45993</v>
      </c>
      <c r="E2252" s="14">
        <f>VLOOKUP(F2252,CarrierID!A:B,2,0)</f>
        <v>9</v>
      </c>
      <c r="F2252" s="15" t="s">
        <v>3</v>
      </c>
      <c r="G2252" t="str">
        <f>VLOOKUP(F2252,Carrier_Category!A:B,2,0)</f>
        <v>NJT</v>
      </c>
      <c r="H2252" s="16">
        <v>2577</v>
      </c>
      <c r="I2252" s="17">
        <f t="shared" si="106"/>
        <v>18</v>
      </c>
      <c r="J2252" s="16">
        <v>77802</v>
      </c>
      <c r="K2252" s="18">
        <f t="shared" si="108"/>
        <v>30.190919674039581</v>
      </c>
    </row>
    <row r="2253" spans="1:11" x14ac:dyDescent="0.3">
      <c r="A2253" s="14">
        <v>2025</v>
      </c>
      <c r="B2253" s="14">
        <f t="shared" si="107"/>
        <v>7</v>
      </c>
      <c r="C2253" s="9">
        <v>45698</v>
      </c>
      <c r="D2253" s="9">
        <v>45993</v>
      </c>
      <c r="E2253" s="14">
        <f>VLOOKUP(F2253,CarrierID!A:B,2,0)</f>
        <v>7</v>
      </c>
      <c r="F2253" s="15" t="s">
        <v>4</v>
      </c>
      <c r="G2253" t="str">
        <f>VLOOKUP(F2253,Carrier_Category!A:B,2,0)</f>
        <v>Commuter</v>
      </c>
      <c r="H2253" s="16">
        <v>42</v>
      </c>
      <c r="I2253" s="17">
        <f t="shared" ref="I2253:I2316" si="109">H2242</f>
        <v>2542</v>
      </c>
      <c r="J2253" s="16">
        <v>1321</v>
      </c>
      <c r="K2253" s="18">
        <f t="shared" si="108"/>
        <v>31.452380952380953</v>
      </c>
    </row>
    <row r="2254" spans="1:11" x14ac:dyDescent="0.3">
      <c r="A2254" s="14">
        <v>2025</v>
      </c>
      <c r="B2254" s="14">
        <f t="shared" si="107"/>
        <v>7</v>
      </c>
      <c r="C2254" s="9">
        <v>45698</v>
      </c>
      <c r="D2254" s="9">
        <v>45993</v>
      </c>
      <c r="E2254" s="14">
        <f>VLOOKUP(F2254,CarrierID!A:B,2,0)</f>
        <v>11</v>
      </c>
      <c r="F2254" s="15" t="s">
        <v>5</v>
      </c>
      <c r="G2254" t="str">
        <f>VLOOKUP(F2254,Carrier_Category!A:B,2,0)</f>
        <v>Intercity</v>
      </c>
      <c r="H2254" s="16">
        <v>22</v>
      </c>
      <c r="I2254" s="17">
        <f t="shared" si="109"/>
        <v>44</v>
      </c>
      <c r="J2254" s="16">
        <v>426</v>
      </c>
      <c r="K2254" s="18">
        <f t="shared" si="108"/>
        <v>19.363636363636363</v>
      </c>
    </row>
    <row r="2255" spans="1:11" x14ac:dyDescent="0.3">
      <c r="A2255" s="14">
        <v>2025</v>
      </c>
      <c r="B2255" s="14">
        <f t="shared" si="107"/>
        <v>7</v>
      </c>
      <c r="C2255" s="9">
        <v>45698</v>
      </c>
      <c r="D2255" s="9">
        <v>45993</v>
      </c>
      <c r="E2255" s="14">
        <f>VLOOKUP(F2255,CarrierID!A:B,2,0)</f>
        <v>3</v>
      </c>
      <c r="F2255" s="15" t="s">
        <v>6</v>
      </c>
      <c r="G2255" t="str">
        <f>VLOOKUP(F2255,Carrier_Category!A:B,2,0)</f>
        <v>Commuter</v>
      </c>
      <c r="H2255" s="16">
        <v>189</v>
      </c>
      <c r="I2255" s="17">
        <f t="shared" si="109"/>
        <v>22</v>
      </c>
      <c r="J2255" s="16">
        <v>5382</v>
      </c>
      <c r="K2255" s="18">
        <f t="shared" si="108"/>
        <v>28.476190476190474</v>
      </c>
    </row>
    <row r="2256" spans="1:11" x14ac:dyDescent="0.3">
      <c r="A2256" s="14">
        <v>2025</v>
      </c>
      <c r="B2256" s="14">
        <f t="shared" si="107"/>
        <v>7</v>
      </c>
      <c r="C2256" s="9">
        <v>45698</v>
      </c>
      <c r="D2256" s="9">
        <v>45993</v>
      </c>
      <c r="E2256" s="14">
        <f>VLOOKUP(F2256,CarrierID!A:B,2,0)</f>
        <v>12</v>
      </c>
      <c r="F2256" s="15" t="s">
        <v>25</v>
      </c>
      <c r="G2256" t="str">
        <f>VLOOKUP(F2256,Carrier_Category!A:B,2,0)</f>
        <v>Commuter</v>
      </c>
      <c r="H2256" s="16">
        <v>23</v>
      </c>
      <c r="I2256" s="17">
        <f t="shared" si="109"/>
        <v>189</v>
      </c>
      <c r="J2256" s="16">
        <v>631</v>
      </c>
      <c r="K2256" s="18">
        <f t="shared" si="108"/>
        <v>27.434782608695652</v>
      </c>
    </row>
    <row r="2257" spans="1:11" x14ac:dyDescent="0.3">
      <c r="A2257" s="14">
        <v>2025</v>
      </c>
      <c r="B2257" s="14">
        <f t="shared" si="107"/>
        <v>7</v>
      </c>
      <c r="C2257" s="9">
        <v>45698</v>
      </c>
      <c r="D2257" s="9">
        <v>45993</v>
      </c>
      <c r="E2257" s="14">
        <f>VLOOKUP(F2257,CarrierID!A:B,2,0)</f>
        <v>10</v>
      </c>
      <c r="F2257" s="15" t="s">
        <v>8</v>
      </c>
      <c r="G2257" t="str">
        <f>VLOOKUP(F2257,Carrier_Category!A:B,2,0)</f>
        <v>Intercity</v>
      </c>
      <c r="H2257" s="16">
        <v>38</v>
      </c>
      <c r="I2257" s="17">
        <f t="shared" si="109"/>
        <v>18</v>
      </c>
      <c r="J2257" s="16">
        <v>910</v>
      </c>
      <c r="K2257" s="18">
        <f t="shared" si="108"/>
        <v>23.94736842105263</v>
      </c>
    </row>
    <row r="2258" spans="1:11" x14ac:dyDescent="0.3">
      <c r="A2258" s="14">
        <v>2025</v>
      </c>
      <c r="B2258" s="14">
        <f t="shared" si="107"/>
        <v>7</v>
      </c>
      <c r="C2258" s="9">
        <v>45698</v>
      </c>
      <c r="D2258" s="9">
        <v>45993</v>
      </c>
      <c r="E2258" s="14">
        <f>VLOOKUP(F2258,CarrierID!A:B,2,0)</f>
        <v>6</v>
      </c>
      <c r="F2258" s="15" t="s">
        <v>9</v>
      </c>
      <c r="G2258" t="str">
        <f>VLOOKUP(F2258,Carrier_Category!A:B,2,0)</f>
        <v>Commuter</v>
      </c>
      <c r="H2258" s="16">
        <v>86</v>
      </c>
      <c r="I2258" s="17">
        <f t="shared" si="109"/>
        <v>38</v>
      </c>
      <c r="J2258" s="16">
        <v>1678</v>
      </c>
      <c r="K2258" s="18">
        <f t="shared" si="108"/>
        <v>19.511627906976745</v>
      </c>
    </row>
    <row r="2259" spans="1:11" x14ac:dyDescent="0.3">
      <c r="A2259" s="14">
        <v>2025</v>
      </c>
      <c r="B2259" s="14">
        <f t="shared" si="107"/>
        <v>8</v>
      </c>
      <c r="C2259" s="9">
        <v>45705</v>
      </c>
      <c r="D2259" s="9">
        <v>46000</v>
      </c>
      <c r="E2259" s="14">
        <f>VLOOKUP(F2259,CarrierID!A:B,2,0)</f>
        <v>1</v>
      </c>
      <c r="F2259" s="15" t="s">
        <v>0</v>
      </c>
      <c r="G2259" t="str">
        <f>VLOOKUP(F2259,Carrier_Category!A:B,2,0)</f>
        <v>Commuter</v>
      </c>
      <c r="H2259" s="16">
        <v>38</v>
      </c>
      <c r="I2259" s="17">
        <f t="shared" si="109"/>
        <v>86</v>
      </c>
      <c r="J2259" s="16">
        <v>1234</v>
      </c>
      <c r="K2259" s="18">
        <f t="shared" si="108"/>
        <v>32.473684210526315</v>
      </c>
    </row>
    <row r="2260" spans="1:11" x14ac:dyDescent="0.3">
      <c r="A2260" s="14">
        <v>2025</v>
      </c>
      <c r="B2260" s="14">
        <f t="shared" si="107"/>
        <v>8</v>
      </c>
      <c r="C2260" s="9">
        <v>45705</v>
      </c>
      <c r="D2260" s="9">
        <v>46000</v>
      </c>
      <c r="E2260" s="14">
        <f>VLOOKUP(F2260,CarrierID!A:B,2,0)</f>
        <v>5</v>
      </c>
      <c r="F2260" s="15" t="s">
        <v>1</v>
      </c>
      <c r="G2260" t="str">
        <f>VLOOKUP(F2260,Carrier_Category!A:B,2,0)</f>
        <v>Intercity</v>
      </c>
      <c r="H2260" s="16">
        <v>55</v>
      </c>
      <c r="I2260" s="17">
        <f t="shared" si="109"/>
        <v>46</v>
      </c>
      <c r="J2260" s="16">
        <v>1261</v>
      </c>
      <c r="K2260" s="18">
        <f t="shared" si="108"/>
        <v>22.927272727272726</v>
      </c>
    </row>
    <row r="2261" spans="1:11" x14ac:dyDescent="0.3">
      <c r="A2261" s="14">
        <v>2025</v>
      </c>
      <c r="B2261" s="14">
        <f t="shared" si="107"/>
        <v>8</v>
      </c>
      <c r="C2261" s="9">
        <v>45705</v>
      </c>
      <c r="D2261" s="9">
        <v>46000</v>
      </c>
      <c r="E2261" s="14">
        <f>VLOOKUP(F2261,CarrierID!A:B,2,0)</f>
        <v>8</v>
      </c>
      <c r="F2261" s="15" t="s">
        <v>2</v>
      </c>
      <c r="G2261" t="str">
        <f>VLOOKUP(F2261,Carrier_Category!A:B,2,0)</f>
        <v>Commuter</v>
      </c>
      <c r="H2261" s="16">
        <v>17</v>
      </c>
      <c r="I2261" s="17">
        <f t="shared" si="109"/>
        <v>56</v>
      </c>
      <c r="J2261" s="16">
        <v>661</v>
      </c>
      <c r="K2261" s="18">
        <f t="shared" si="108"/>
        <v>38.882352941176471</v>
      </c>
    </row>
    <row r="2262" spans="1:11" x14ac:dyDescent="0.3">
      <c r="A2262" s="14">
        <v>2025</v>
      </c>
      <c r="B2262" s="14">
        <f t="shared" si="107"/>
        <v>8</v>
      </c>
      <c r="C2262" s="9">
        <v>45705</v>
      </c>
      <c r="D2262" s="9">
        <v>46000</v>
      </c>
      <c r="E2262" s="14">
        <f>VLOOKUP(F2262,CarrierID!A:B,2,0)</f>
        <v>9</v>
      </c>
      <c r="F2262" s="15" t="s">
        <v>3</v>
      </c>
      <c r="G2262" t="str">
        <f>VLOOKUP(F2262,Carrier_Category!A:B,2,0)</f>
        <v>NJT</v>
      </c>
      <c r="H2262" s="16">
        <v>2524</v>
      </c>
      <c r="I2262" s="17">
        <f t="shared" si="109"/>
        <v>18</v>
      </c>
      <c r="J2262" s="16">
        <v>81729</v>
      </c>
      <c r="K2262" s="18">
        <f t="shared" si="108"/>
        <v>32.380744849445328</v>
      </c>
    </row>
    <row r="2263" spans="1:11" x14ac:dyDescent="0.3">
      <c r="A2263" s="14">
        <v>2025</v>
      </c>
      <c r="B2263" s="14">
        <f t="shared" si="107"/>
        <v>8</v>
      </c>
      <c r="C2263" s="9">
        <v>45705</v>
      </c>
      <c r="D2263" s="9">
        <v>46000</v>
      </c>
      <c r="E2263" s="14">
        <f>VLOOKUP(F2263,CarrierID!A:B,2,0)</f>
        <v>7</v>
      </c>
      <c r="F2263" s="15" t="s">
        <v>4</v>
      </c>
      <c r="G2263" t="str">
        <f>VLOOKUP(F2263,Carrier_Category!A:B,2,0)</f>
        <v>Commuter</v>
      </c>
      <c r="H2263" s="16">
        <v>36</v>
      </c>
      <c r="I2263" s="17">
        <f t="shared" si="109"/>
        <v>2577</v>
      </c>
      <c r="J2263" s="16">
        <v>1185</v>
      </c>
      <c r="K2263" s="18">
        <f t="shared" si="108"/>
        <v>32.916666666666664</v>
      </c>
    </row>
    <row r="2264" spans="1:11" x14ac:dyDescent="0.3">
      <c r="A2264" s="14">
        <v>2025</v>
      </c>
      <c r="B2264" s="14">
        <f t="shared" si="107"/>
        <v>8</v>
      </c>
      <c r="C2264" s="9">
        <v>45705</v>
      </c>
      <c r="D2264" s="9">
        <v>46000</v>
      </c>
      <c r="E2264" s="14">
        <f>VLOOKUP(F2264,CarrierID!A:B,2,0)</f>
        <v>11</v>
      </c>
      <c r="F2264" s="15" t="s">
        <v>5</v>
      </c>
      <c r="G2264" t="str">
        <f>VLOOKUP(F2264,Carrier_Category!A:B,2,0)</f>
        <v>Intercity</v>
      </c>
      <c r="H2264" s="16">
        <v>22</v>
      </c>
      <c r="I2264" s="17">
        <f t="shared" si="109"/>
        <v>42</v>
      </c>
      <c r="J2264" s="16">
        <v>426</v>
      </c>
      <c r="K2264" s="18">
        <f t="shared" si="108"/>
        <v>19.363636363636363</v>
      </c>
    </row>
    <row r="2265" spans="1:11" x14ac:dyDescent="0.3">
      <c r="A2265" s="14">
        <v>2025</v>
      </c>
      <c r="B2265" s="14">
        <f t="shared" si="107"/>
        <v>8</v>
      </c>
      <c r="C2265" s="9">
        <v>45705</v>
      </c>
      <c r="D2265" s="9">
        <v>46000</v>
      </c>
      <c r="E2265" s="14">
        <f>VLOOKUP(F2265,CarrierID!A:B,2,0)</f>
        <v>3</v>
      </c>
      <c r="F2265" s="15" t="s">
        <v>6</v>
      </c>
      <c r="G2265" t="str">
        <f>VLOOKUP(F2265,Carrier_Category!A:B,2,0)</f>
        <v>Commuter</v>
      </c>
      <c r="H2265" s="16">
        <v>189</v>
      </c>
      <c r="I2265" s="17">
        <f t="shared" si="109"/>
        <v>22</v>
      </c>
      <c r="J2265" s="16">
        <v>5382</v>
      </c>
      <c r="K2265" s="18">
        <f t="shared" si="108"/>
        <v>28.476190476190474</v>
      </c>
    </row>
    <row r="2266" spans="1:11" x14ac:dyDescent="0.3">
      <c r="A2266" s="14">
        <v>2025</v>
      </c>
      <c r="B2266" s="14">
        <f t="shared" si="107"/>
        <v>8</v>
      </c>
      <c r="C2266" s="9">
        <v>45705</v>
      </c>
      <c r="D2266" s="9">
        <v>46000</v>
      </c>
      <c r="E2266" s="14">
        <f>VLOOKUP(F2266,CarrierID!A:B,2,0)</f>
        <v>12</v>
      </c>
      <c r="F2266" s="15" t="s">
        <v>25</v>
      </c>
      <c r="G2266" t="str">
        <f>VLOOKUP(F2266,Carrier_Category!A:B,2,0)</f>
        <v>Commuter</v>
      </c>
      <c r="H2266" s="16">
        <v>22</v>
      </c>
      <c r="I2266" s="17">
        <f t="shared" si="109"/>
        <v>189</v>
      </c>
      <c r="J2266" s="16">
        <v>569</v>
      </c>
      <c r="K2266" s="18">
        <f t="shared" si="108"/>
        <v>25.863636363636363</v>
      </c>
    </row>
    <row r="2267" spans="1:11" x14ac:dyDescent="0.3">
      <c r="A2267" s="14">
        <v>2025</v>
      </c>
      <c r="B2267" s="14">
        <f t="shared" si="107"/>
        <v>8</v>
      </c>
      <c r="C2267" s="9">
        <v>45705</v>
      </c>
      <c r="D2267" s="9">
        <v>46000</v>
      </c>
      <c r="E2267" s="14">
        <f>VLOOKUP(F2267,CarrierID!A:B,2,0)</f>
        <v>10</v>
      </c>
      <c r="F2267" s="15" t="s">
        <v>8</v>
      </c>
      <c r="G2267" t="str">
        <f>VLOOKUP(F2267,Carrier_Category!A:B,2,0)</f>
        <v>Intercity</v>
      </c>
      <c r="H2267" s="16">
        <v>38</v>
      </c>
      <c r="I2267" s="17">
        <f t="shared" si="109"/>
        <v>23</v>
      </c>
      <c r="J2267" s="16">
        <v>910</v>
      </c>
      <c r="K2267" s="18">
        <f t="shared" si="108"/>
        <v>23.94736842105263</v>
      </c>
    </row>
    <row r="2268" spans="1:11" x14ac:dyDescent="0.3">
      <c r="A2268" s="14">
        <v>2025</v>
      </c>
      <c r="B2268" s="14">
        <f t="shared" si="107"/>
        <v>8</v>
      </c>
      <c r="C2268" s="9">
        <v>45705</v>
      </c>
      <c r="D2268" s="9">
        <v>46000</v>
      </c>
      <c r="E2268" s="14">
        <f>VLOOKUP(F2268,CarrierID!A:B,2,0)</f>
        <v>6</v>
      </c>
      <c r="F2268" s="15" t="s">
        <v>9</v>
      </c>
      <c r="G2268" t="str">
        <f>VLOOKUP(F2268,Carrier_Category!A:B,2,0)</f>
        <v>Commuter</v>
      </c>
      <c r="H2268" s="16">
        <v>79</v>
      </c>
      <c r="I2268" s="17">
        <f t="shared" si="109"/>
        <v>38</v>
      </c>
      <c r="J2268" s="16">
        <v>1383</v>
      </c>
      <c r="K2268" s="18">
        <f t="shared" si="108"/>
        <v>17.50632911392405</v>
      </c>
    </row>
    <row r="2269" spans="1:11" x14ac:dyDescent="0.3">
      <c r="A2269" s="14">
        <v>2025</v>
      </c>
      <c r="B2269" s="14">
        <f t="shared" si="107"/>
        <v>9</v>
      </c>
      <c r="C2269" s="9">
        <v>45712</v>
      </c>
      <c r="D2269" s="9">
        <v>45997</v>
      </c>
      <c r="E2269" s="14">
        <f>VLOOKUP(F2269,CarrierID!A:B,2,0)</f>
        <v>1</v>
      </c>
      <c r="F2269" s="15" t="s">
        <v>0</v>
      </c>
      <c r="G2269" t="str">
        <f>VLOOKUP(F2269,Carrier_Category!A:B,2,0)</f>
        <v>Commuter</v>
      </c>
      <c r="H2269" s="16">
        <v>46</v>
      </c>
      <c r="I2269" s="17">
        <f t="shared" si="109"/>
        <v>86</v>
      </c>
      <c r="J2269" s="16">
        <v>1499</v>
      </c>
      <c r="K2269" s="18">
        <f t="shared" si="108"/>
        <v>32.586956521739133</v>
      </c>
    </row>
    <row r="2270" spans="1:11" x14ac:dyDescent="0.3">
      <c r="A2270" s="14">
        <v>2025</v>
      </c>
      <c r="B2270" s="14">
        <f t="shared" si="107"/>
        <v>9</v>
      </c>
      <c r="C2270" s="9">
        <v>45712</v>
      </c>
      <c r="D2270" s="9">
        <v>45997</v>
      </c>
      <c r="E2270" s="14">
        <f>VLOOKUP(F2270,CarrierID!A:B,2,0)</f>
        <v>5</v>
      </c>
      <c r="F2270" s="15" t="s">
        <v>1</v>
      </c>
      <c r="G2270" t="str">
        <f>VLOOKUP(F2270,Carrier_Category!A:B,2,0)</f>
        <v>Intercity</v>
      </c>
      <c r="H2270" s="16">
        <v>60</v>
      </c>
      <c r="I2270" s="17">
        <f t="shared" si="109"/>
        <v>38</v>
      </c>
      <c r="J2270" s="16">
        <v>1004</v>
      </c>
      <c r="K2270" s="18">
        <f t="shared" si="108"/>
        <v>16.733333333333334</v>
      </c>
    </row>
    <row r="2271" spans="1:11" x14ac:dyDescent="0.3">
      <c r="A2271" s="14">
        <v>2025</v>
      </c>
      <c r="B2271" s="14">
        <f t="shared" si="107"/>
        <v>9</v>
      </c>
      <c r="C2271" s="9">
        <v>45712</v>
      </c>
      <c r="D2271" s="9">
        <v>45997</v>
      </c>
      <c r="E2271" s="14">
        <f>VLOOKUP(F2271,CarrierID!A:B,2,0)</f>
        <v>8</v>
      </c>
      <c r="F2271" s="15" t="s">
        <v>2</v>
      </c>
      <c r="G2271" t="str">
        <f>VLOOKUP(F2271,Carrier_Category!A:B,2,0)</f>
        <v>Commuter</v>
      </c>
      <c r="H2271" s="16">
        <v>18</v>
      </c>
      <c r="I2271" s="17">
        <f t="shared" si="109"/>
        <v>55</v>
      </c>
      <c r="J2271" s="16">
        <v>712</v>
      </c>
      <c r="K2271" s="18">
        <f t="shared" si="108"/>
        <v>39.555555555555557</v>
      </c>
    </row>
    <row r="2272" spans="1:11" x14ac:dyDescent="0.3">
      <c r="A2272" s="14">
        <v>2025</v>
      </c>
      <c r="B2272" s="14">
        <f t="shared" si="107"/>
        <v>9</v>
      </c>
      <c r="C2272" s="9">
        <v>45712</v>
      </c>
      <c r="D2272" s="9">
        <v>45997</v>
      </c>
      <c r="E2272" s="14">
        <f>VLOOKUP(F2272,CarrierID!A:B,2,0)</f>
        <v>9</v>
      </c>
      <c r="F2272" s="15" t="s">
        <v>3</v>
      </c>
      <c r="G2272" t="str">
        <f>VLOOKUP(F2272,Carrier_Category!A:B,2,0)</f>
        <v>NJT</v>
      </c>
      <c r="H2272" s="16">
        <v>2410</v>
      </c>
      <c r="I2272" s="17">
        <f t="shared" si="109"/>
        <v>17</v>
      </c>
      <c r="J2272" s="16">
        <v>83056</v>
      </c>
      <c r="K2272" s="18">
        <f t="shared" si="108"/>
        <v>34.463070539419085</v>
      </c>
    </row>
    <row r="2273" spans="1:11" x14ac:dyDescent="0.3">
      <c r="A2273" s="14">
        <v>2025</v>
      </c>
      <c r="B2273" s="14">
        <f t="shared" si="107"/>
        <v>9</v>
      </c>
      <c r="C2273" s="9">
        <v>45712</v>
      </c>
      <c r="D2273" s="9">
        <v>45997</v>
      </c>
      <c r="E2273" s="14">
        <f>VLOOKUP(F2273,CarrierID!A:B,2,0)</f>
        <v>7</v>
      </c>
      <c r="F2273" s="15" t="s">
        <v>4</v>
      </c>
      <c r="G2273" t="str">
        <f>VLOOKUP(F2273,Carrier_Category!A:B,2,0)</f>
        <v>Commuter</v>
      </c>
      <c r="H2273" s="16">
        <v>45</v>
      </c>
      <c r="I2273" s="17">
        <f t="shared" si="109"/>
        <v>2524</v>
      </c>
      <c r="J2273" s="16">
        <v>1410</v>
      </c>
      <c r="K2273" s="18">
        <f t="shared" si="108"/>
        <v>31.333333333333332</v>
      </c>
    </row>
    <row r="2274" spans="1:11" x14ac:dyDescent="0.3">
      <c r="A2274" s="14">
        <v>2025</v>
      </c>
      <c r="B2274" s="14">
        <f t="shared" si="107"/>
        <v>9</v>
      </c>
      <c r="C2274" s="9">
        <v>45712</v>
      </c>
      <c r="D2274" s="9">
        <v>45997</v>
      </c>
      <c r="E2274" s="14">
        <f>VLOOKUP(F2274,CarrierID!A:B,2,0)</f>
        <v>11</v>
      </c>
      <c r="F2274" s="15" t="s">
        <v>5</v>
      </c>
      <c r="G2274" t="str">
        <f>VLOOKUP(F2274,Carrier_Category!A:B,2,0)</f>
        <v>Intercity</v>
      </c>
      <c r="H2274" s="16">
        <v>22</v>
      </c>
      <c r="I2274" s="17">
        <f t="shared" si="109"/>
        <v>36</v>
      </c>
      <c r="J2274" s="16">
        <v>426</v>
      </c>
      <c r="K2274" s="18">
        <f t="shared" si="108"/>
        <v>19.363636363636363</v>
      </c>
    </row>
    <row r="2275" spans="1:11" x14ac:dyDescent="0.3">
      <c r="A2275" s="14">
        <v>2025</v>
      </c>
      <c r="B2275" s="14">
        <f t="shared" si="107"/>
        <v>9</v>
      </c>
      <c r="C2275" s="9">
        <v>45712</v>
      </c>
      <c r="D2275" s="9">
        <v>45997</v>
      </c>
      <c r="E2275" s="14">
        <f>VLOOKUP(F2275,CarrierID!A:B,2,0)</f>
        <v>3</v>
      </c>
      <c r="F2275" s="15" t="s">
        <v>6</v>
      </c>
      <c r="G2275" t="str">
        <f>VLOOKUP(F2275,Carrier_Category!A:B,2,0)</f>
        <v>Commuter</v>
      </c>
      <c r="H2275" s="16">
        <v>189</v>
      </c>
      <c r="I2275" s="17">
        <f t="shared" si="109"/>
        <v>22</v>
      </c>
      <c r="J2275" s="16">
        <v>5382</v>
      </c>
      <c r="K2275" s="18">
        <f t="shared" si="108"/>
        <v>28.476190476190474</v>
      </c>
    </row>
    <row r="2276" spans="1:11" x14ac:dyDescent="0.3">
      <c r="A2276" s="14">
        <v>2025</v>
      </c>
      <c r="B2276" s="14">
        <f t="shared" si="107"/>
        <v>9</v>
      </c>
      <c r="C2276" s="9">
        <v>45712</v>
      </c>
      <c r="D2276" s="9">
        <v>45997</v>
      </c>
      <c r="E2276" s="14">
        <f>VLOOKUP(F2276,CarrierID!A:B,2,0)</f>
        <v>12</v>
      </c>
      <c r="F2276" s="15" t="s">
        <v>25</v>
      </c>
      <c r="G2276" t="str">
        <f>VLOOKUP(F2276,Carrier_Category!A:B,2,0)</f>
        <v>Commuter</v>
      </c>
      <c r="H2276" s="16">
        <v>23</v>
      </c>
      <c r="I2276" s="17">
        <f t="shared" si="109"/>
        <v>189</v>
      </c>
      <c r="J2276" s="16">
        <v>680</v>
      </c>
      <c r="K2276" s="18">
        <f t="shared" si="108"/>
        <v>29.565217391304348</v>
      </c>
    </row>
    <row r="2277" spans="1:11" x14ac:dyDescent="0.3">
      <c r="A2277" s="14">
        <v>2025</v>
      </c>
      <c r="B2277" s="14">
        <f t="shared" si="107"/>
        <v>9</v>
      </c>
      <c r="C2277" s="9">
        <v>45712</v>
      </c>
      <c r="D2277" s="9">
        <v>45997</v>
      </c>
      <c r="E2277" s="14">
        <f>VLOOKUP(F2277,CarrierID!A:B,2,0)</f>
        <v>10</v>
      </c>
      <c r="F2277" s="15" t="s">
        <v>8</v>
      </c>
      <c r="G2277" t="str">
        <f>VLOOKUP(F2277,Carrier_Category!A:B,2,0)</f>
        <v>Intercity</v>
      </c>
      <c r="H2277" s="16">
        <v>38</v>
      </c>
      <c r="I2277" s="17">
        <f t="shared" si="109"/>
        <v>22</v>
      </c>
      <c r="J2277" s="16">
        <v>910</v>
      </c>
      <c r="K2277" s="18">
        <f t="shared" si="108"/>
        <v>23.94736842105263</v>
      </c>
    </row>
    <row r="2278" spans="1:11" x14ac:dyDescent="0.3">
      <c r="A2278" s="14">
        <v>2025</v>
      </c>
      <c r="B2278" s="14">
        <f t="shared" si="107"/>
        <v>9</v>
      </c>
      <c r="C2278" s="9">
        <v>45712</v>
      </c>
      <c r="D2278" s="9">
        <v>45997</v>
      </c>
      <c r="E2278" s="14">
        <f>VLOOKUP(F2278,CarrierID!A:B,2,0)</f>
        <v>6</v>
      </c>
      <c r="F2278" s="15" t="s">
        <v>9</v>
      </c>
      <c r="G2278" t="str">
        <f>VLOOKUP(F2278,Carrier_Category!A:B,2,0)</f>
        <v>Commuter</v>
      </c>
      <c r="H2278" s="16">
        <v>88</v>
      </c>
      <c r="I2278" s="17">
        <f t="shared" si="109"/>
        <v>38</v>
      </c>
      <c r="J2278" s="16">
        <v>1750</v>
      </c>
      <c r="K2278" s="18">
        <f t="shared" si="108"/>
        <v>19.886363636363637</v>
      </c>
    </row>
    <row r="2279" spans="1:11" x14ac:dyDescent="0.3">
      <c r="A2279" s="14">
        <v>2025</v>
      </c>
      <c r="B2279" s="14">
        <f t="shared" si="107"/>
        <v>10</v>
      </c>
      <c r="C2279" s="9">
        <v>45719</v>
      </c>
      <c r="D2279" s="9">
        <v>45723</v>
      </c>
      <c r="E2279" s="14">
        <f>VLOOKUP(F2279,CarrierID!A:B,2,0)</f>
        <v>1</v>
      </c>
      <c r="F2279" s="15" t="s">
        <v>0</v>
      </c>
      <c r="G2279" t="str">
        <f>VLOOKUP(F2279,Carrier_Category!A:B,2,0)</f>
        <v>Commuter</v>
      </c>
      <c r="H2279" s="16">
        <v>49</v>
      </c>
      <c r="I2279" s="17">
        <f t="shared" si="109"/>
        <v>79</v>
      </c>
      <c r="J2279" s="16">
        <v>1618</v>
      </c>
      <c r="K2279" s="18">
        <f t="shared" si="108"/>
        <v>33.020408163265309</v>
      </c>
    </row>
    <row r="2280" spans="1:11" x14ac:dyDescent="0.3">
      <c r="A2280" s="14">
        <v>2025</v>
      </c>
      <c r="B2280" s="14">
        <f t="shared" si="107"/>
        <v>10</v>
      </c>
      <c r="C2280" s="9">
        <v>45719</v>
      </c>
      <c r="D2280" s="9">
        <v>45723</v>
      </c>
      <c r="E2280" s="14">
        <f>VLOOKUP(F2280,CarrierID!A:B,2,0)</f>
        <v>5</v>
      </c>
      <c r="F2280" s="15" t="s">
        <v>1</v>
      </c>
      <c r="G2280" t="str">
        <f>VLOOKUP(F2280,Carrier_Category!A:B,2,0)</f>
        <v>Intercity</v>
      </c>
      <c r="H2280" s="16">
        <v>59</v>
      </c>
      <c r="I2280" s="17">
        <f t="shared" si="109"/>
        <v>46</v>
      </c>
      <c r="J2280" s="16">
        <v>958</v>
      </c>
      <c r="K2280" s="18">
        <f t="shared" si="108"/>
        <v>16.237288135593221</v>
      </c>
    </row>
    <row r="2281" spans="1:11" x14ac:dyDescent="0.3">
      <c r="A2281" s="14">
        <v>2025</v>
      </c>
      <c r="B2281" s="14">
        <f t="shared" si="107"/>
        <v>10</v>
      </c>
      <c r="C2281" s="9">
        <v>45719</v>
      </c>
      <c r="D2281" s="9">
        <v>45723</v>
      </c>
      <c r="E2281" s="14">
        <f>VLOOKUP(F2281,CarrierID!A:B,2,0)</f>
        <v>8</v>
      </c>
      <c r="F2281" s="15" t="s">
        <v>2</v>
      </c>
      <c r="G2281" t="str">
        <f>VLOOKUP(F2281,Carrier_Category!A:B,2,0)</f>
        <v>Commuter</v>
      </c>
      <c r="H2281" s="16">
        <v>18</v>
      </c>
      <c r="I2281" s="17">
        <f t="shared" si="109"/>
        <v>60</v>
      </c>
      <c r="J2281" s="16">
        <v>729</v>
      </c>
      <c r="K2281" s="18">
        <f t="shared" si="108"/>
        <v>40.5</v>
      </c>
    </row>
    <row r="2282" spans="1:11" x14ac:dyDescent="0.3">
      <c r="A2282" s="14">
        <v>2025</v>
      </c>
      <c r="B2282" s="14">
        <f t="shared" si="107"/>
        <v>10</v>
      </c>
      <c r="C2282" s="9">
        <v>45719</v>
      </c>
      <c r="D2282" s="9">
        <v>45723</v>
      </c>
      <c r="E2282" s="14">
        <f>VLOOKUP(F2282,CarrierID!A:B,2,0)</f>
        <v>9</v>
      </c>
      <c r="F2282" s="15" t="s">
        <v>3</v>
      </c>
      <c r="G2282" t="str">
        <f>VLOOKUP(F2282,Carrier_Category!A:B,2,0)</f>
        <v>NJT</v>
      </c>
      <c r="H2282" s="16">
        <v>2408</v>
      </c>
      <c r="I2282" s="17">
        <f t="shared" si="109"/>
        <v>18</v>
      </c>
      <c r="J2282" s="16">
        <v>82905</v>
      </c>
      <c r="K2282" s="18">
        <f t="shared" si="108"/>
        <v>34.428986710963457</v>
      </c>
    </row>
    <row r="2283" spans="1:11" x14ac:dyDescent="0.3">
      <c r="A2283" s="14">
        <v>2025</v>
      </c>
      <c r="B2283" s="14">
        <f t="shared" si="107"/>
        <v>10</v>
      </c>
      <c r="C2283" s="9">
        <v>45719</v>
      </c>
      <c r="D2283" s="9">
        <v>45723</v>
      </c>
      <c r="E2283" s="14">
        <f>VLOOKUP(F2283,CarrierID!A:B,2,0)</f>
        <v>7</v>
      </c>
      <c r="F2283" s="15" t="s">
        <v>4</v>
      </c>
      <c r="G2283" t="str">
        <f>VLOOKUP(F2283,Carrier_Category!A:B,2,0)</f>
        <v>Commuter</v>
      </c>
      <c r="H2283" s="16">
        <v>44</v>
      </c>
      <c r="I2283" s="17">
        <f t="shared" si="109"/>
        <v>2410</v>
      </c>
      <c r="J2283" s="16">
        <v>1557</v>
      </c>
      <c r="K2283" s="18">
        <f t="shared" si="108"/>
        <v>35.386363636363633</v>
      </c>
    </row>
    <row r="2284" spans="1:11" x14ac:dyDescent="0.3">
      <c r="A2284" s="14">
        <v>2025</v>
      </c>
      <c r="B2284" s="14">
        <f t="shared" si="107"/>
        <v>10</v>
      </c>
      <c r="C2284" s="9">
        <v>45719</v>
      </c>
      <c r="D2284" s="9">
        <v>45723</v>
      </c>
      <c r="E2284" s="14">
        <f>VLOOKUP(F2284,CarrierID!A:B,2,0)</f>
        <v>11</v>
      </c>
      <c r="F2284" s="15" t="s">
        <v>5</v>
      </c>
      <c r="G2284" t="str">
        <f>VLOOKUP(F2284,Carrier_Category!A:B,2,0)</f>
        <v>Intercity</v>
      </c>
      <c r="H2284" s="16">
        <v>20</v>
      </c>
      <c r="I2284" s="17">
        <f t="shared" si="109"/>
        <v>45</v>
      </c>
      <c r="J2284" s="16">
        <v>389</v>
      </c>
      <c r="K2284" s="18">
        <f t="shared" si="108"/>
        <v>19.45</v>
      </c>
    </row>
    <row r="2285" spans="1:11" x14ac:dyDescent="0.3">
      <c r="A2285" s="14">
        <v>2025</v>
      </c>
      <c r="B2285" s="14">
        <f t="shared" si="107"/>
        <v>10</v>
      </c>
      <c r="C2285" s="9">
        <v>45719</v>
      </c>
      <c r="D2285" s="9">
        <v>45723</v>
      </c>
      <c r="E2285" s="14">
        <f>VLOOKUP(F2285,CarrierID!A:B,2,0)</f>
        <v>3</v>
      </c>
      <c r="F2285" s="15" t="s">
        <v>6</v>
      </c>
      <c r="G2285" t="str">
        <f>VLOOKUP(F2285,Carrier_Category!A:B,2,0)</f>
        <v>Commuter</v>
      </c>
      <c r="H2285" s="16">
        <v>188</v>
      </c>
      <c r="I2285" s="17">
        <f t="shared" si="109"/>
        <v>22</v>
      </c>
      <c r="J2285" s="16">
        <v>5645</v>
      </c>
      <c r="K2285" s="18">
        <f t="shared" si="108"/>
        <v>30.026595744680851</v>
      </c>
    </row>
    <row r="2286" spans="1:11" x14ac:dyDescent="0.3">
      <c r="A2286" s="14">
        <v>2025</v>
      </c>
      <c r="B2286" s="14">
        <f t="shared" si="107"/>
        <v>10</v>
      </c>
      <c r="C2286" s="9">
        <v>45719</v>
      </c>
      <c r="D2286" s="9">
        <v>45723</v>
      </c>
      <c r="E2286" s="14">
        <f>VLOOKUP(F2286,CarrierID!A:B,2,0)</f>
        <v>12</v>
      </c>
      <c r="F2286" s="15" t="s">
        <v>25</v>
      </c>
      <c r="G2286" t="str">
        <f>VLOOKUP(F2286,Carrier_Category!A:B,2,0)</f>
        <v>Commuter</v>
      </c>
      <c r="H2286" s="16">
        <v>23</v>
      </c>
      <c r="I2286" s="17">
        <f t="shared" si="109"/>
        <v>189</v>
      </c>
      <c r="J2286" s="16">
        <v>646</v>
      </c>
      <c r="K2286" s="18">
        <f t="shared" si="108"/>
        <v>28.086956521739129</v>
      </c>
    </row>
    <row r="2287" spans="1:11" x14ac:dyDescent="0.3">
      <c r="A2287" s="14">
        <v>2025</v>
      </c>
      <c r="B2287" s="14">
        <f t="shared" si="107"/>
        <v>10</v>
      </c>
      <c r="C2287" s="9">
        <v>45719</v>
      </c>
      <c r="D2287" s="9">
        <v>45723</v>
      </c>
      <c r="E2287" s="14">
        <f>VLOOKUP(F2287,CarrierID!A:B,2,0)</f>
        <v>10</v>
      </c>
      <c r="F2287" s="15" t="s">
        <v>8</v>
      </c>
      <c r="G2287" t="str">
        <f>VLOOKUP(F2287,Carrier_Category!A:B,2,0)</f>
        <v>Intercity</v>
      </c>
      <c r="H2287" s="16">
        <v>40</v>
      </c>
      <c r="I2287" s="17">
        <f t="shared" si="109"/>
        <v>23</v>
      </c>
      <c r="J2287" s="16">
        <v>1068</v>
      </c>
      <c r="K2287" s="18">
        <f t="shared" si="108"/>
        <v>26.7</v>
      </c>
    </row>
    <row r="2288" spans="1:11" x14ac:dyDescent="0.3">
      <c r="A2288" s="14">
        <v>2025</v>
      </c>
      <c r="B2288" s="14">
        <f t="shared" si="107"/>
        <v>10</v>
      </c>
      <c r="C2288" s="9">
        <v>45719</v>
      </c>
      <c r="D2288" s="9">
        <v>45723</v>
      </c>
      <c r="E2288" s="14">
        <f>VLOOKUP(F2288,CarrierID!A:B,2,0)</f>
        <v>6</v>
      </c>
      <c r="F2288" s="15" t="s">
        <v>9</v>
      </c>
      <c r="G2288" t="str">
        <f>VLOOKUP(F2288,Carrier_Category!A:B,2,0)</f>
        <v>Commuter</v>
      </c>
      <c r="H2288" s="16">
        <v>87</v>
      </c>
      <c r="I2288" s="17">
        <f t="shared" si="109"/>
        <v>38</v>
      </c>
      <c r="J2288" s="16">
        <v>1639</v>
      </c>
      <c r="K2288" s="18">
        <f t="shared" si="108"/>
        <v>18.839080459770116</v>
      </c>
    </row>
    <row r="2289" spans="1:11" x14ac:dyDescent="0.3">
      <c r="A2289" s="14">
        <v>2025</v>
      </c>
      <c r="B2289" s="14">
        <f t="shared" si="107"/>
        <v>11</v>
      </c>
      <c r="C2289" s="9">
        <v>45726</v>
      </c>
      <c r="D2289" s="9">
        <v>45730</v>
      </c>
      <c r="E2289" s="14">
        <f>VLOOKUP(F2289,CarrierID!A:B,2,0)</f>
        <v>1</v>
      </c>
      <c r="F2289" s="15" t="s">
        <v>0</v>
      </c>
      <c r="G2289" t="str">
        <f>VLOOKUP(F2289,Carrier_Category!A:B,2,0)</f>
        <v>Commuter</v>
      </c>
      <c r="H2289" s="16">
        <v>46</v>
      </c>
      <c r="I2289" s="17">
        <f t="shared" si="109"/>
        <v>88</v>
      </c>
      <c r="J2289" s="16">
        <v>1522</v>
      </c>
      <c r="K2289" s="18">
        <f t="shared" si="108"/>
        <v>33.086956521739133</v>
      </c>
    </row>
    <row r="2290" spans="1:11" x14ac:dyDescent="0.3">
      <c r="A2290" s="14">
        <v>2025</v>
      </c>
      <c r="B2290" s="14">
        <f t="shared" si="107"/>
        <v>11</v>
      </c>
      <c r="C2290" s="9">
        <v>45726</v>
      </c>
      <c r="D2290" s="9">
        <v>45730</v>
      </c>
      <c r="E2290" s="14">
        <f>VLOOKUP(F2290,CarrierID!A:B,2,0)</f>
        <v>5</v>
      </c>
      <c r="F2290" s="15" t="s">
        <v>1</v>
      </c>
      <c r="G2290" t="str">
        <f>VLOOKUP(F2290,Carrier_Category!A:B,2,0)</f>
        <v>Intercity</v>
      </c>
      <c r="H2290" s="16">
        <v>61</v>
      </c>
      <c r="I2290" s="17">
        <f t="shared" si="109"/>
        <v>49</v>
      </c>
      <c r="J2290" s="16">
        <v>1133</v>
      </c>
      <c r="K2290" s="18">
        <f t="shared" si="108"/>
        <v>18.57377049180328</v>
      </c>
    </row>
    <row r="2291" spans="1:11" x14ac:dyDescent="0.3">
      <c r="A2291" s="14">
        <v>2025</v>
      </c>
      <c r="B2291" s="14">
        <f t="shared" si="107"/>
        <v>11</v>
      </c>
      <c r="C2291" s="9">
        <v>45726</v>
      </c>
      <c r="D2291" s="9">
        <v>45730</v>
      </c>
      <c r="E2291" s="14">
        <f>VLOOKUP(F2291,CarrierID!A:B,2,0)</f>
        <v>8</v>
      </c>
      <c r="F2291" s="15" t="s">
        <v>2</v>
      </c>
      <c r="G2291" t="str">
        <f>VLOOKUP(F2291,Carrier_Category!A:B,2,0)</f>
        <v>Commuter</v>
      </c>
      <c r="H2291" s="16">
        <v>18</v>
      </c>
      <c r="I2291" s="17">
        <f t="shared" si="109"/>
        <v>59</v>
      </c>
      <c r="J2291" s="16">
        <v>744</v>
      </c>
      <c r="K2291" s="18">
        <f t="shared" si="108"/>
        <v>41.333333333333336</v>
      </c>
    </row>
    <row r="2292" spans="1:11" x14ac:dyDescent="0.3">
      <c r="A2292" s="14">
        <v>2025</v>
      </c>
      <c r="B2292" s="14">
        <f t="shared" si="107"/>
        <v>11</v>
      </c>
      <c r="C2292" s="9">
        <v>45726</v>
      </c>
      <c r="D2292" s="9">
        <v>45730</v>
      </c>
      <c r="E2292" s="14">
        <f>VLOOKUP(F2292,CarrierID!A:B,2,0)</f>
        <v>9</v>
      </c>
      <c r="F2292" s="15" t="s">
        <v>3</v>
      </c>
      <c r="G2292" t="str">
        <f>VLOOKUP(F2292,Carrier_Category!A:B,2,0)</f>
        <v>NJT</v>
      </c>
      <c r="H2292" s="16">
        <v>2433</v>
      </c>
      <c r="I2292" s="17">
        <f t="shared" si="109"/>
        <v>18</v>
      </c>
      <c r="J2292" s="16">
        <v>85733</v>
      </c>
      <c r="K2292" s="18">
        <f t="shared" si="108"/>
        <v>35.237566789971225</v>
      </c>
    </row>
    <row r="2293" spans="1:11" x14ac:dyDescent="0.3">
      <c r="A2293" s="14">
        <v>2025</v>
      </c>
      <c r="B2293" s="14">
        <f t="shared" si="107"/>
        <v>11</v>
      </c>
      <c r="C2293" s="9">
        <v>45726</v>
      </c>
      <c r="D2293" s="9">
        <v>45730</v>
      </c>
      <c r="E2293" s="14">
        <f>VLOOKUP(F2293,CarrierID!A:B,2,0)</f>
        <v>7</v>
      </c>
      <c r="F2293" s="15" t="s">
        <v>4</v>
      </c>
      <c r="G2293" t="str">
        <f>VLOOKUP(F2293,Carrier_Category!A:B,2,0)</f>
        <v>Commuter</v>
      </c>
      <c r="H2293" s="16">
        <v>42</v>
      </c>
      <c r="I2293" s="17">
        <f t="shared" si="109"/>
        <v>2408</v>
      </c>
      <c r="J2293" s="16">
        <v>1439</v>
      </c>
      <c r="K2293" s="18">
        <f t="shared" si="108"/>
        <v>34.261904761904759</v>
      </c>
    </row>
    <row r="2294" spans="1:11" x14ac:dyDescent="0.3">
      <c r="A2294" s="14">
        <v>2025</v>
      </c>
      <c r="B2294" s="14">
        <f t="shared" si="107"/>
        <v>11</v>
      </c>
      <c r="C2294" s="9">
        <v>45726</v>
      </c>
      <c r="D2294" s="9">
        <v>45730</v>
      </c>
      <c r="E2294" s="14">
        <f>VLOOKUP(F2294,CarrierID!A:B,2,0)</f>
        <v>11</v>
      </c>
      <c r="F2294" s="15" t="s">
        <v>5</v>
      </c>
      <c r="G2294" t="str">
        <f>VLOOKUP(F2294,Carrier_Category!A:B,2,0)</f>
        <v>Intercity</v>
      </c>
      <c r="H2294" s="16">
        <v>21</v>
      </c>
      <c r="I2294" s="17">
        <f t="shared" si="109"/>
        <v>44</v>
      </c>
      <c r="J2294" s="16">
        <v>425</v>
      </c>
      <c r="K2294" s="18">
        <f t="shared" si="108"/>
        <v>20.238095238095237</v>
      </c>
    </row>
    <row r="2295" spans="1:11" x14ac:dyDescent="0.3">
      <c r="A2295" s="14">
        <v>2025</v>
      </c>
      <c r="B2295" s="14">
        <f t="shared" si="107"/>
        <v>11</v>
      </c>
      <c r="C2295" s="9">
        <v>45726</v>
      </c>
      <c r="D2295" s="9">
        <v>45730</v>
      </c>
      <c r="E2295" s="14">
        <f>VLOOKUP(F2295,CarrierID!A:B,2,0)</f>
        <v>3</v>
      </c>
      <c r="F2295" s="15" t="s">
        <v>6</v>
      </c>
      <c r="G2295" t="str">
        <f>VLOOKUP(F2295,Carrier_Category!A:B,2,0)</f>
        <v>Commuter</v>
      </c>
      <c r="H2295" s="16">
        <v>188</v>
      </c>
      <c r="I2295" s="17">
        <f t="shared" si="109"/>
        <v>20</v>
      </c>
      <c r="J2295" s="16">
        <v>5645</v>
      </c>
      <c r="K2295" s="18">
        <f t="shared" si="108"/>
        <v>30.026595744680851</v>
      </c>
    </row>
    <row r="2296" spans="1:11" x14ac:dyDescent="0.3">
      <c r="A2296" s="14">
        <v>2025</v>
      </c>
      <c r="B2296" s="14">
        <f t="shared" si="107"/>
        <v>11</v>
      </c>
      <c r="C2296" s="9">
        <v>45726</v>
      </c>
      <c r="D2296" s="9">
        <v>45730</v>
      </c>
      <c r="E2296" s="14">
        <f>VLOOKUP(F2296,CarrierID!A:B,2,0)</f>
        <v>12</v>
      </c>
      <c r="F2296" s="15" t="s">
        <v>25</v>
      </c>
      <c r="G2296" t="str">
        <f>VLOOKUP(F2296,Carrier_Category!A:B,2,0)</f>
        <v>Commuter</v>
      </c>
      <c r="H2296" s="16">
        <v>23</v>
      </c>
      <c r="I2296" s="17">
        <f t="shared" si="109"/>
        <v>188</v>
      </c>
      <c r="J2296" s="16">
        <v>683</v>
      </c>
      <c r="K2296" s="18">
        <f t="shared" si="108"/>
        <v>29.695652173913043</v>
      </c>
    </row>
    <row r="2297" spans="1:11" x14ac:dyDescent="0.3">
      <c r="A2297" s="14">
        <v>2025</v>
      </c>
      <c r="B2297" s="14">
        <f t="shared" si="107"/>
        <v>11</v>
      </c>
      <c r="C2297" s="9">
        <v>45726</v>
      </c>
      <c r="D2297" s="9">
        <v>45730</v>
      </c>
      <c r="E2297" s="14">
        <f>VLOOKUP(F2297,CarrierID!A:B,2,0)</f>
        <v>10</v>
      </c>
      <c r="F2297" s="15" t="s">
        <v>8</v>
      </c>
      <c r="G2297" t="str">
        <f>VLOOKUP(F2297,Carrier_Category!A:B,2,0)</f>
        <v>Intercity</v>
      </c>
      <c r="H2297" s="16">
        <v>45</v>
      </c>
      <c r="I2297" s="17">
        <f t="shared" si="109"/>
        <v>23</v>
      </c>
      <c r="J2297" s="16">
        <v>1443</v>
      </c>
      <c r="K2297" s="18">
        <f t="shared" si="108"/>
        <v>32.06666666666667</v>
      </c>
    </row>
    <row r="2298" spans="1:11" x14ac:dyDescent="0.3">
      <c r="A2298" s="14">
        <v>2025</v>
      </c>
      <c r="B2298" s="14">
        <f t="shared" si="107"/>
        <v>11</v>
      </c>
      <c r="C2298" s="9">
        <v>45726</v>
      </c>
      <c r="D2298" s="9">
        <v>45730</v>
      </c>
      <c r="E2298" s="14">
        <f>VLOOKUP(F2298,CarrierID!A:B,2,0)</f>
        <v>6</v>
      </c>
      <c r="F2298" s="15" t="s">
        <v>9</v>
      </c>
      <c r="G2298" t="str">
        <f>VLOOKUP(F2298,Carrier_Category!A:B,2,0)</f>
        <v>Commuter</v>
      </c>
      <c r="H2298" s="16">
        <v>78</v>
      </c>
      <c r="I2298" s="17">
        <f t="shared" si="109"/>
        <v>40</v>
      </c>
      <c r="J2298" s="16">
        <v>1508</v>
      </c>
      <c r="K2298" s="18">
        <f t="shared" si="108"/>
        <v>19.333333333333332</v>
      </c>
    </row>
    <row r="2299" spans="1:11" x14ac:dyDescent="0.3">
      <c r="A2299" s="14">
        <v>2025</v>
      </c>
      <c r="B2299" s="14">
        <f t="shared" si="107"/>
        <v>12</v>
      </c>
      <c r="C2299" s="9">
        <v>45733</v>
      </c>
      <c r="D2299" s="9">
        <v>45737</v>
      </c>
      <c r="E2299" s="14">
        <f>VLOOKUP(F2299,CarrierID!A:B,2,0)</f>
        <v>1</v>
      </c>
      <c r="F2299" s="15" t="s">
        <v>0</v>
      </c>
      <c r="G2299" t="str">
        <f>VLOOKUP(F2299,Carrier_Category!A:B,2,0)</f>
        <v>Commuter</v>
      </c>
      <c r="H2299" s="16">
        <v>46</v>
      </c>
      <c r="I2299" s="17">
        <f t="shared" si="109"/>
        <v>87</v>
      </c>
      <c r="J2299" s="16">
        <v>1493</v>
      </c>
      <c r="K2299" s="18">
        <f t="shared" si="108"/>
        <v>32.456521739130437</v>
      </c>
    </row>
    <row r="2300" spans="1:11" x14ac:dyDescent="0.3">
      <c r="A2300" s="14">
        <v>2025</v>
      </c>
      <c r="B2300" s="14">
        <f t="shared" si="107"/>
        <v>12</v>
      </c>
      <c r="C2300" s="9">
        <v>45733</v>
      </c>
      <c r="D2300" s="9">
        <v>45737</v>
      </c>
      <c r="E2300" s="14">
        <f>VLOOKUP(F2300,CarrierID!A:B,2,0)</f>
        <v>5</v>
      </c>
      <c r="F2300" s="15" t="s">
        <v>1</v>
      </c>
      <c r="G2300" t="str">
        <f>VLOOKUP(F2300,Carrier_Category!A:B,2,0)</f>
        <v>Intercity</v>
      </c>
      <c r="H2300" s="16">
        <v>61</v>
      </c>
      <c r="I2300" s="17">
        <f t="shared" si="109"/>
        <v>46</v>
      </c>
      <c r="J2300" s="16">
        <v>1288</v>
      </c>
      <c r="K2300" s="18">
        <f t="shared" si="108"/>
        <v>21.114754098360656</v>
      </c>
    </row>
    <row r="2301" spans="1:11" x14ac:dyDescent="0.3">
      <c r="A2301" s="14">
        <v>2025</v>
      </c>
      <c r="B2301" s="14">
        <f t="shared" si="107"/>
        <v>12</v>
      </c>
      <c r="C2301" s="9">
        <v>45733</v>
      </c>
      <c r="D2301" s="9">
        <v>45737</v>
      </c>
      <c r="E2301" s="14">
        <f>VLOOKUP(F2301,CarrierID!A:B,2,0)</f>
        <v>8</v>
      </c>
      <c r="F2301" s="15" t="s">
        <v>2</v>
      </c>
      <c r="G2301" t="str">
        <f>VLOOKUP(F2301,Carrier_Category!A:B,2,0)</f>
        <v>Commuter</v>
      </c>
      <c r="H2301" s="16">
        <v>18</v>
      </c>
      <c r="I2301" s="17">
        <f t="shared" si="109"/>
        <v>61</v>
      </c>
      <c r="J2301" s="16">
        <v>722</v>
      </c>
      <c r="K2301" s="18">
        <f t="shared" si="108"/>
        <v>40.111111111111114</v>
      </c>
    </row>
    <row r="2302" spans="1:11" x14ac:dyDescent="0.3">
      <c r="A2302" s="14">
        <v>2025</v>
      </c>
      <c r="B2302" s="14">
        <f t="shared" si="107"/>
        <v>12</v>
      </c>
      <c r="C2302" s="9">
        <v>45733</v>
      </c>
      <c r="D2302" s="9">
        <v>45737</v>
      </c>
      <c r="E2302" s="14">
        <f>VLOOKUP(F2302,CarrierID!A:B,2,0)</f>
        <v>9</v>
      </c>
      <c r="F2302" s="15" t="s">
        <v>3</v>
      </c>
      <c r="G2302" t="str">
        <f>VLOOKUP(F2302,Carrier_Category!A:B,2,0)</f>
        <v>NJT</v>
      </c>
      <c r="H2302" s="16">
        <v>2427</v>
      </c>
      <c r="I2302" s="17">
        <f t="shared" si="109"/>
        <v>18</v>
      </c>
      <c r="J2302" s="16">
        <v>85026</v>
      </c>
      <c r="K2302" s="18">
        <f t="shared" si="108"/>
        <v>35.03337453646477</v>
      </c>
    </row>
    <row r="2303" spans="1:11" x14ac:dyDescent="0.3">
      <c r="A2303" s="14">
        <v>2025</v>
      </c>
      <c r="B2303" s="14">
        <f t="shared" si="107"/>
        <v>12</v>
      </c>
      <c r="C2303" s="9">
        <v>45733</v>
      </c>
      <c r="D2303" s="9">
        <v>45737</v>
      </c>
      <c r="E2303" s="14">
        <f>VLOOKUP(F2303,CarrierID!A:B,2,0)</f>
        <v>7</v>
      </c>
      <c r="F2303" s="15" t="s">
        <v>4</v>
      </c>
      <c r="G2303" t="str">
        <f>VLOOKUP(F2303,Carrier_Category!A:B,2,0)</f>
        <v>Commuter</v>
      </c>
      <c r="H2303" s="16">
        <v>42</v>
      </c>
      <c r="I2303" s="17">
        <f t="shared" si="109"/>
        <v>2433</v>
      </c>
      <c r="J2303" s="16">
        <v>1420</v>
      </c>
      <c r="K2303" s="18">
        <f t="shared" si="108"/>
        <v>33.80952380952381</v>
      </c>
    </row>
    <row r="2304" spans="1:11" x14ac:dyDescent="0.3">
      <c r="A2304" s="14">
        <v>2025</v>
      </c>
      <c r="B2304" s="14">
        <f t="shared" si="107"/>
        <v>12</v>
      </c>
      <c r="C2304" s="9">
        <v>45733</v>
      </c>
      <c r="D2304" s="9">
        <v>45737</v>
      </c>
      <c r="E2304" s="14">
        <f>VLOOKUP(F2304,CarrierID!A:B,2,0)</f>
        <v>11</v>
      </c>
      <c r="F2304" s="15" t="s">
        <v>5</v>
      </c>
      <c r="G2304" t="str">
        <f>VLOOKUP(F2304,Carrier_Category!A:B,2,0)</f>
        <v>Intercity</v>
      </c>
      <c r="H2304" s="16">
        <v>21</v>
      </c>
      <c r="I2304" s="17">
        <f t="shared" si="109"/>
        <v>42</v>
      </c>
      <c r="J2304" s="16">
        <v>425</v>
      </c>
      <c r="K2304" s="18">
        <f t="shared" si="108"/>
        <v>20.238095238095237</v>
      </c>
    </row>
    <row r="2305" spans="1:11" x14ac:dyDescent="0.3">
      <c r="A2305" s="14">
        <v>2025</v>
      </c>
      <c r="B2305" s="14">
        <f t="shared" si="107"/>
        <v>12</v>
      </c>
      <c r="C2305" s="9">
        <v>45733</v>
      </c>
      <c r="D2305" s="9">
        <v>45737</v>
      </c>
      <c r="E2305" s="14">
        <f>VLOOKUP(F2305,CarrierID!A:B,2,0)</f>
        <v>3</v>
      </c>
      <c r="F2305" s="15" t="s">
        <v>6</v>
      </c>
      <c r="G2305" t="str">
        <f>VLOOKUP(F2305,Carrier_Category!A:B,2,0)</f>
        <v>Commuter</v>
      </c>
      <c r="H2305" s="16">
        <v>188</v>
      </c>
      <c r="I2305" s="17">
        <f t="shared" si="109"/>
        <v>21</v>
      </c>
      <c r="J2305" s="16">
        <v>5645</v>
      </c>
      <c r="K2305" s="18">
        <f t="shared" si="108"/>
        <v>30.026595744680851</v>
      </c>
    </row>
    <row r="2306" spans="1:11" x14ac:dyDescent="0.3">
      <c r="A2306" s="14">
        <v>2025</v>
      </c>
      <c r="B2306" s="14">
        <f t="shared" si="107"/>
        <v>12</v>
      </c>
      <c r="C2306" s="9">
        <v>45733</v>
      </c>
      <c r="D2306" s="9">
        <v>45737</v>
      </c>
      <c r="E2306" s="14">
        <f>VLOOKUP(F2306,CarrierID!A:B,2,0)</f>
        <v>12</v>
      </c>
      <c r="F2306" s="15" t="s">
        <v>25</v>
      </c>
      <c r="G2306" t="str">
        <f>VLOOKUP(F2306,Carrier_Category!A:B,2,0)</f>
        <v>Commuter</v>
      </c>
      <c r="H2306" s="16">
        <v>22</v>
      </c>
      <c r="I2306" s="17">
        <f t="shared" si="109"/>
        <v>188</v>
      </c>
      <c r="J2306" s="16">
        <v>663</v>
      </c>
      <c r="K2306" s="18">
        <f t="shared" si="108"/>
        <v>30.136363636363637</v>
      </c>
    </row>
    <row r="2307" spans="1:11" x14ac:dyDescent="0.3">
      <c r="A2307" s="14">
        <v>2025</v>
      </c>
      <c r="B2307" s="14">
        <f t="shared" si="107"/>
        <v>12</v>
      </c>
      <c r="C2307" s="9">
        <v>45733</v>
      </c>
      <c r="D2307" s="9">
        <v>45737</v>
      </c>
      <c r="E2307" s="14">
        <f>VLOOKUP(F2307,CarrierID!A:B,2,0)</f>
        <v>10</v>
      </c>
      <c r="F2307" s="15" t="s">
        <v>8</v>
      </c>
      <c r="G2307" t="str">
        <f>VLOOKUP(F2307,Carrier_Category!A:B,2,0)</f>
        <v>Intercity</v>
      </c>
      <c r="H2307" s="16">
        <v>43</v>
      </c>
      <c r="I2307" s="17">
        <f t="shared" si="109"/>
        <v>23</v>
      </c>
      <c r="J2307" s="16">
        <v>1480</v>
      </c>
      <c r="K2307" s="18">
        <f t="shared" si="108"/>
        <v>34.418604651162788</v>
      </c>
    </row>
    <row r="2308" spans="1:11" x14ac:dyDescent="0.3">
      <c r="A2308" s="14">
        <v>2025</v>
      </c>
      <c r="B2308" s="14">
        <f t="shared" si="107"/>
        <v>12</v>
      </c>
      <c r="C2308" s="9">
        <v>45733</v>
      </c>
      <c r="D2308" s="9">
        <v>45737</v>
      </c>
      <c r="E2308" s="14">
        <f>VLOOKUP(F2308,CarrierID!A:B,2,0)</f>
        <v>6</v>
      </c>
      <c r="F2308" s="15" t="s">
        <v>9</v>
      </c>
      <c r="G2308" t="str">
        <f>VLOOKUP(F2308,Carrier_Category!A:B,2,0)</f>
        <v>Commuter</v>
      </c>
      <c r="H2308" s="16">
        <v>77</v>
      </c>
      <c r="I2308" s="17">
        <f t="shared" si="109"/>
        <v>45</v>
      </c>
      <c r="J2308" s="16">
        <v>1554</v>
      </c>
      <c r="K2308" s="18">
        <f t="shared" si="108"/>
        <v>20.181818181818183</v>
      </c>
    </row>
    <row r="2309" spans="1:11" x14ac:dyDescent="0.3">
      <c r="A2309" s="14">
        <v>2025</v>
      </c>
      <c r="B2309" s="14">
        <f t="shared" ref="B2309:B2372" si="110">_xlfn.ISOWEEKNUM(C2309)</f>
        <v>13</v>
      </c>
      <c r="C2309" s="9">
        <v>45740</v>
      </c>
      <c r="D2309" s="9">
        <v>45744</v>
      </c>
      <c r="E2309" s="14">
        <f>VLOOKUP(F2309,CarrierID!A:B,2,0)</f>
        <v>1</v>
      </c>
      <c r="F2309" s="15" t="s">
        <v>0</v>
      </c>
      <c r="G2309" t="str">
        <f>VLOOKUP(F2309,Carrier_Category!A:B,2,0)</f>
        <v>Commuter</v>
      </c>
      <c r="H2309" s="16">
        <v>46</v>
      </c>
      <c r="I2309" s="17">
        <f t="shared" si="109"/>
        <v>78</v>
      </c>
      <c r="J2309" s="16">
        <v>1495</v>
      </c>
      <c r="K2309" s="18">
        <f t="shared" ref="K2309:K2372" si="111">J2309/H2309</f>
        <v>32.5</v>
      </c>
    </row>
    <row r="2310" spans="1:11" x14ac:dyDescent="0.3">
      <c r="A2310" s="14">
        <v>2025</v>
      </c>
      <c r="B2310" s="14">
        <f t="shared" si="110"/>
        <v>13</v>
      </c>
      <c r="C2310" s="9">
        <v>45740</v>
      </c>
      <c r="D2310" s="9">
        <v>45744</v>
      </c>
      <c r="E2310" s="14">
        <f>VLOOKUP(F2310,CarrierID!A:B,2,0)</f>
        <v>5</v>
      </c>
      <c r="F2310" s="15" t="s">
        <v>1</v>
      </c>
      <c r="G2310" t="str">
        <f>VLOOKUP(F2310,Carrier_Category!A:B,2,0)</f>
        <v>Intercity</v>
      </c>
      <c r="H2310" s="16">
        <v>62</v>
      </c>
      <c r="I2310" s="17">
        <f t="shared" si="109"/>
        <v>46</v>
      </c>
      <c r="J2310" s="16">
        <v>1277</v>
      </c>
      <c r="K2310" s="18">
        <f t="shared" si="111"/>
        <v>20.596774193548388</v>
      </c>
    </row>
    <row r="2311" spans="1:11" x14ac:dyDescent="0.3">
      <c r="A2311" s="14">
        <v>2025</v>
      </c>
      <c r="B2311" s="14">
        <f t="shared" si="110"/>
        <v>13</v>
      </c>
      <c r="C2311" s="9">
        <v>45740</v>
      </c>
      <c r="D2311" s="9">
        <v>45744</v>
      </c>
      <c r="E2311" s="14">
        <f>VLOOKUP(F2311,CarrierID!A:B,2,0)</f>
        <v>8</v>
      </c>
      <c r="F2311" s="15" t="s">
        <v>2</v>
      </c>
      <c r="G2311" t="str">
        <f>VLOOKUP(F2311,Carrier_Category!A:B,2,0)</f>
        <v>Commuter</v>
      </c>
      <c r="H2311" s="16">
        <v>18</v>
      </c>
      <c r="I2311" s="17">
        <f t="shared" si="109"/>
        <v>61</v>
      </c>
      <c r="J2311" s="16">
        <v>717</v>
      </c>
      <c r="K2311" s="18">
        <f t="shared" si="111"/>
        <v>39.833333333333336</v>
      </c>
    </row>
    <row r="2312" spans="1:11" x14ac:dyDescent="0.3">
      <c r="A2312" s="14">
        <v>2025</v>
      </c>
      <c r="B2312" s="14">
        <f t="shared" si="110"/>
        <v>13</v>
      </c>
      <c r="C2312" s="9">
        <v>45740</v>
      </c>
      <c r="D2312" s="9">
        <v>45744</v>
      </c>
      <c r="E2312" s="14">
        <f>VLOOKUP(F2312,CarrierID!A:B,2,0)</f>
        <v>9</v>
      </c>
      <c r="F2312" s="15" t="s">
        <v>3</v>
      </c>
      <c r="G2312" t="str">
        <f>VLOOKUP(F2312,Carrier_Category!A:B,2,0)</f>
        <v>NJT</v>
      </c>
      <c r="H2312" s="16">
        <v>2443</v>
      </c>
      <c r="I2312" s="17">
        <f t="shared" si="109"/>
        <v>18</v>
      </c>
      <c r="J2312" s="16">
        <v>84280</v>
      </c>
      <c r="K2312" s="18">
        <f t="shared" si="111"/>
        <v>34.49856733524355</v>
      </c>
    </row>
    <row r="2313" spans="1:11" x14ac:dyDescent="0.3">
      <c r="A2313" s="14">
        <v>2025</v>
      </c>
      <c r="B2313" s="14">
        <f t="shared" si="110"/>
        <v>13</v>
      </c>
      <c r="C2313" s="9">
        <v>45740</v>
      </c>
      <c r="D2313" s="9">
        <v>45744</v>
      </c>
      <c r="E2313" s="14">
        <f>VLOOKUP(F2313,CarrierID!A:B,2,0)</f>
        <v>7</v>
      </c>
      <c r="F2313" s="15" t="s">
        <v>4</v>
      </c>
      <c r="G2313" t="str">
        <f>VLOOKUP(F2313,Carrier_Category!A:B,2,0)</f>
        <v>Commuter</v>
      </c>
      <c r="H2313" s="16">
        <v>42</v>
      </c>
      <c r="I2313" s="17">
        <f t="shared" si="109"/>
        <v>2427</v>
      </c>
      <c r="J2313" s="16">
        <v>1396</v>
      </c>
      <c r="K2313" s="18">
        <f t="shared" si="111"/>
        <v>33.238095238095241</v>
      </c>
    </row>
    <row r="2314" spans="1:11" x14ac:dyDescent="0.3">
      <c r="A2314" s="14">
        <v>2025</v>
      </c>
      <c r="B2314" s="14">
        <f t="shared" si="110"/>
        <v>13</v>
      </c>
      <c r="C2314" s="9">
        <v>45740</v>
      </c>
      <c r="D2314" s="9">
        <v>45744</v>
      </c>
      <c r="E2314" s="14">
        <f>VLOOKUP(F2314,CarrierID!A:B,2,0)</f>
        <v>11</v>
      </c>
      <c r="F2314" s="15" t="s">
        <v>5</v>
      </c>
      <c r="G2314" t="str">
        <f>VLOOKUP(F2314,Carrier_Category!A:B,2,0)</f>
        <v>Intercity</v>
      </c>
      <c r="H2314" s="16">
        <v>21</v>
      </c>
      <c r="I2314" s="17">
        <f t="shared" si="109"/>
        <v>42</v>
      </c>
      <c r="J2314" s="16">
        <v>425</v>
      </c>
      <c r="K2314" s="18">
        <f t="shared" si="111"/>
        <v>20.238095238095237</v>
      </c>
    </row>
    <row r="2315" spans="1:11" x14ac:dyDescent="0.3">
      <c r="A2315" s="14">
        <v>2025</v>
      </c>
      <c r="B2315" s="14">
        <f t="shared" si="110"/>
        <v>13</v>
      </c>
      <c r="C2315" s="9">
        <v>45740</v>
      </c>
      <c r="D2315" s="9">
        <v>45744</v>
      </c>
      <c r="E2315" s="14">
        <f>VLOOKUP(F2315,CarrierID!A:B,2,0)</f>
        <v>3</v>
      </c>
      <c r="F2315" s="15" t="s">
        <v>6</v>
      </c>
      <c r="G2315" t="str">
        <f>VLOOKUP(F2315,Carrier_Category!A:B,2,0)</f>
        <v>Commuter</v>
      </c>
      <c r="H2315" s="16">
        <v>188</v>
      </c>
      <c r="I2315" s="17">
        <f t="shared" si="109"/>
        <v>21</v>
      </c>
      <c r="J2315" s="16">
        <v>5645</v>
      </c>
      <c r="K2315" s="18">
        <f t="shared" si="111"/>
        <v>30.026595744680851</v>
      </c>
    </row>
    <row r="2316" spans="1:11" x14ac:dyDescent="0.3">
      <c r="A2316" s="14">
        <v>2025</v>
      </c>
      <c r="B2316" s="14">
        <f t="shared" si="110"/>
        <v>13</v>
      </c>
      <c r="C2316" s="9">
        <v>45740</v>
      </c>
      <c r="D2316" s="9">
        <v>45744</v>
      </c>
      <c r="E2316" s="14">
        <f>VLOOKUP(F2316,CarrierID!A:B,2,0)</f>
        <v>12</v>
      </c>
      <c r="F2316" s="15" t="s">
        <v>25</v>
      </c>
      <c r="G2316" t="str">
        <f>VLOOKUP(F2316,Carrier_Category!A:B,2,0)</f>
        <v>Commuter</v>
      </c>
      <c r="H2316" s="16">
        <v>23</v>
      </c>
      <c r="I2316" s="17">
        <f t="shared" si="109"/>
        <v>188</v>
      </c>
      <c r="J2316" s="16">
        <v>702</v>
      </c>
      <c r="K2316" s="18">
        <f t="shared" si="111"/>
        <v>30.521739130434781</v>
      </c>
    </row>
    <row r="2317" spans="1:11" x14ac:dyDescent="0.3">
      <c r="A2317" s="14">
        <v>2025</v>
      </c>
      <c r="B2317" s="14">
        <f t="shared" si="110"/>
        <v>13</v>
      </c>
      <c r="C2317" s="9">
        <v>45740</v>
      </c>
      <c r="D2317" s="9">
        <v>45744</v>
      </c>
      <c r="E2317" s="14">
        <f>VLOOKUP(F2317,CarrierID!A:B,2,0)</f>
        <v>10</v>
      </c>
      <c r="F2317" s="15" t="s">
        <v>8</v>
      </c>
      <c r="G2317" t="str">
        <f>VLOOKUP(F2317,Carrier_Category!A:B,2,0)</f>
        <v>Intercity</v>
      </c>
      <c r="H2317" s="16">
        <v>44</v>
      </c>
      <c r="I2317" s="17">
        <f t="shared" ref="I2317:I2380" si="112">H2306</f>
        <v>22</v>
      </c>
      <c r="J2317" s="16">
        <v>1430</v>
      </c>
      <c r="K2317" s="18">
        <f t="shared" si="111"/>
        <v>32.5</v>
      </c>
    </row>
    <row r="2318" spans="1:11" x14ac:dyDescent="0.3">
      <c r="A2318" s="14">
        <v>2025</v>
      </c>
      <c r="B2318" s="14">
        <f t="shared" si="110"/>
        <v>13</v>
      </c>
      <c r="C2318" s="9">
        <v>45740</v>
      </c>
      <c r="D2318" s="9">
        <v>45744</v>
      </c>
      <c r="E2318" s="14">
        <f>VLOOKUP(F2318,CarrierID!A:B,2,0)</f>
        <v>6</v>
      </c>
      <c r="F2318" s="15" t="s">
        <v>9</v>
      </c>
      <c r="G2318" t="str">
        <f>VLOOKUP(F2318,Carrier_Category!A:B,2,0)</f>
        <v>Commuter</v>
      </c>
      <c r="H2318" s="16">
        <v>77</v>
      </c>
      <c r="I2318" s="17">
        <f t="shared" si="112"/>
        <v>43</v>
      </c>
      <c r="J2318" s="16">
        <v>1554</v>
      </c>
      <c r="K2318" s="18">
        <f t="shared" si="111"/>
        <v>20.181818181818183</v>
      </c>
    </row>
    <row r="2319" spans="1:11" x14ac:dyDescent="0.3">
      <c r="A2319" s="14">
        <v>2025</v>
      </c>
      <c r="B2319" s="14">
        <f t="shared" si="110"/>
        <v>14</v>
      </c>
      <c r="C2319" s="9">
        <v>45747</v>
      </c>
      <c r="D2319" s="9">
        <v>45751</v>
      </c>
      <c r="E2319" s="14">
        <f>VLOOKUP(F2319,CarrierID!A:B,2,0)</f>
        <v>1</v>
      </c>
      <c r="F2319" s="15" t="s">
        <v>0</v>
      </c>
      <c r="G2319" t="str">
        <f>VLOOKUP(F2319,Carrier_Category!A:B,2,0)</f>
        <v>Commuter</v>
      </c>
      <c r="H2319" s="16">
        <v>46</v>
      </c>
      <c r="I2319" s="17">
        <f t="shared" si="112"/>
        <v>77</v>
      </c>
      <c r="J2319" s="16">
        <v>1495</v>
      </c>
      <c r="K2319" s="18">
        <f t="shared" si="111"/>
        <v>32.5</v>
      </c>
    </row>
    <row r="2320" spans="1:11" x14ac:dyDescent="0.3">
      <c r="A2320" s="14">
        <v>2025</v>
      </c>
      <c r="B2320" s="14">
        <f t="shared" si="110"/>
        <v>14</v>
      </c>
      <c r="C2320" s="9">
        <v>45747</v>
      </c>
      <c r="D2320" s="9">
        <v>45751</v>
      </c>
      <c r="E2320" s="14">
        <f>VLOOKUP(F2320,CarrierID!A:B,2,0)</f>
        <v>5</v>
      </c>
      <c r="F2320" s="15" t="s">
        <v>1</v>
      </c>
      <c r="G2320" t="str">
        <f>VLOOKUP(F2320,Carrier_Category!A:B,2,0)</f>
        <v>Intercity</v>
      </c>
      <c r="H2320" s="16">
        <v>61</v>
      </c>
      <c r="I2320" s="17">
        <f t="shared" si="112"/>
        <v>46</v>
      </c>
      <c r="J2320" s="16">
        <v>1230</v>
      </c>
      <c r="K2320" s="18">
        <f t="shared" si="111"/>
        <v>20.16393442622951</v>
      </c>
    </row>
    <row r="2321" spans="1:11" x14ac:dyDescent="0.3">
      <c r="A2321" s="14">
        <v>2025</v>
      </c>
      <c r="B2321" s="14">
        <f t="shared" si="110"/>
        <v>14</v>
      </c>
      <c r="C2321" s="9">
        <v>45747</v>
      </c>
      <c r="D2321" s="9">
        <v>45751</v>
      </c>
      <c r="E2321" s="14">
        <f>VLOOKUP(F2321,CarrierID!A:B,2,0)</f>
        <v>8</v>
      </c>
      <c r="F2321" s="15" t="s">
        <v>2</v>
      </c>
      <c r="G2321" t="str">
        <f>VLOOKUP(F2321,Carrier_Category!A:B,2,0)</f>
        <v>Commuter</v>
      </c>
      <c r="H2321" s="16">
        <v>18</v>
      </c>
      <c r="I2321" s="17">
        <f t="shared" si="112"/>
        <v>62</v>
      </c>
      <c r="J2321" s="16">
        <v>757</v>
      </c>
      <c r="K2321" s="18">
        <f t="shared" si="111"/>
        <v>42.055555555555557</v>
      </c>
    </row>
    <row r="2322" spans="1:11" x14ac:dyDescent="0.3">
      <c r="A2322" s="14">
        <v>2025</v>
      </c>
      <c r="B2322" s="14">
        <f t="shared" si="110"/>
        <v>14</v>
      </c>
      <c r="C2322" s="9">
        <v>45747</v>
      </c>
      <c r="D2322" s="9">
        <v>45751</v>
      </c>
      <c r="E2322" s="14">
        <f>VLOOKUP(F2322,CarrierID!A:B,2,0)</f>
        <v>9</v>
      </c>
      <c r="F2322" s="15" t="s">
        <v>3</v>
      </c>
      <c r="G2322" t="str">
        <f>VLOOKUP(F2322,Carrier_Category!A:B,2,0)</f>
        <v>NJT</v>
      </c>
      <c r="H2322" s="16">
        <v>2430</v>
      </c>
      <c r="I2322" s="17">
        <f t="shared" si="112"/>
        <v>18</v>
      </c>
      <c r="J2322" s="16">
        <v>85657</v>
      </c>
      <c r="K2322" s="18">
        <f t="shared" si="111"/>
        <v>35.24979423868313</v>
      </c>
    </row>
    <row r="2323" spans="1:11" x14ac:dyDescent="0.3">
      <c r="A2323" s="14">
        <v>2025</v>
      </c>
      <c r="B2323" s="14">
        <f t="shared" si="110"/>
        <v>14</v>
      </c>
      <c r="C2323" s="9">
        <v>45747</v>
      </c>
      <c r="D2323" s="9">
        <v>45751</v>
      </c>
      <c r="E2323" s="14">
        <f>VLOOKUP(F2323,CarrierID!A:B,2,0)</f>
        <v>7</v>
      </c>
      <c r="F2323" s="15" t="s">
        <v>4</v>
      </c>
      <c r="G2323" t="str">
        <f>VLOOKUP(F2323,Carrier_Category!A:B,2,0)</f>
        <v>Commuter</v>
      </c>
      <c r="H2323" s="16">
        <v>43</v>
      </c>
      <c r="I2323" s="17">
        <f t="shared" si="112"/>
        <v>2443</v>
      </c>
      <c r="J2323" s="16">
        <v>1360</v>
      </c>
      <c r="K2323" s="18">
        <f t="shared" si="111"/>
        <v>31.627906976744185</v>
      </c>
    </row>
    <row r="2324" spans="1:11" x14ac:dyDescent="0.3">
      <c r="A2324" s="14">
        <v>2025</v>
      </c>
      <c r="B2324" s="14">
        <f t="shared" si="110"/>
        <v>14</v>
      </c>
      <c r="C2324" s="9">
        <v>45747</v>
      </c>
      <c r="D2324" s="9">
        <v>45751</v>
      </c>
      <c r="E2324" s="14">
        <f>VLOOKUP(F2324,CarrierID!A:B,2,0)</f>
        <v>11</v>
      </c>
      <c r="F2324" s="15" t="s">
        <v>5</v>
      </c>
      <c r="G2324" t="str">
        <f>VLOOKUP(F2324,Carrier_Category!A:B,2,0)</f>
        <v>Intercity</v>
      </c>
      <c r="H2324" s="16">
        <v>21</v>
      </c>
      <c r="I2324" s="17">
        <f t="shared" si="112"/>
        <v>42</v>
      </c>
      <c r="J2324" s="16">
        <v>425</v>
      </c>
      <c r="K2324" s="18">
        <f t="shared" si="111"/>
        <v>20.238095238095237</v>
      </c>
    </row>
    <row r="2325" spans="1:11" x14ac:dyDescent="0.3">
      <c r="A2325" s="14">
        <v>2025</v>
      </c>
      <c r="B2325" s="14">
        <f t="shared" si="110"/>
        <v>14</v>
      </c>
      <c r="C2325" s="9">
        <v>45747</v>
      </c>
      <c r="D2325" s="9">
        <v>45751</v>
      </c>
      <c r="E2325" s="14">
        <f>VLOOKUP(F2325,CarrierID!A:B,2,0)</f>
        <v>3</v>
      </c>
      <c r="F2325" s="15" t="s">
        <v>6</v>
      </c>
      <c r="G2325" t="str">
        <f>VLOOKUP(F2325,Carrier_Category!A:B,2,0)</f>
        <v>Commuter</v>
      </c>
      <c r="H2325" s="16">
        <v>188</v>
      </c>
      <c r="I2325" s="17">
        <f t="shared" si="112"/>
        <v>21</v>
      </c>
      <c r="J2325" s="16">
        <v>5645</v>
      </c>
      <c r="K2325" s="18">
        <f t="shared" si="111"/>
        <v>30.026595744680851</v>
      </c>
    </row>
    <row r="2326" spans="1:11" x14ac:dyDescent="0.3">
      <c r="A2326" s="14">
        <v>2025</v>
      </c>
      <c r="B2326" s="14">
        <f t="shared" si="110"/>
        <v>14</v>
      </c>
      <c r="C2326" s="9">
        <v>45747</v>
      </c>
      <c r="D2326" s="9">
        <v>45751</v>
      </c>
      <c r="E2326" s="14">
        <f>VLOOKUP(F2326,CarrierID!A:B,2,0)</f>
        <v>12</v>
      </c>
      <c r="F2326" s="15" t="s">
        <v>25</v>
      </c>
      <c r="G2326" t="str">
        <f>VLOOKUP(F2326,Carrier_Category!A:B,2,0)</f>
        <v>Commuter</v>
      </c>
      <c r="H2326" s="16">
        <v>20</v>
      </c>
      <c r="I2326" s="17">
        <f t="shared" si="112"/>
        <v>188</v>
      </c>
      <c r="J2326" s="16">
        <v>593</v>
      </c>
      <c r="K2326" s="18">
        <f t="shared" si="111"/>
        <v>29.65</v>
      </c>
    </row>
    <row r="2327" spans="1:11" x14ac:dyDescent="0.3">
      <c r="A2327" s="14">
        <v>2025</v>
      </c>
      <c r="B2327" s="14">
        <f t="shared" si="110"/>
        <v>14</v>
      </c>
      <c r="C2327" s="9">
        <v>45747</v>
      </c>
      <c r="D2327" s="9">
        <v>45751</v>
      </c>
      <c r="E2327" s="14">
        <f>VLOOKUP(F2327,CarrierID!A:B,2,0)</f>
        <v>10</v>
      </c>
      <c r="F2327" s="15" t="s">
        <v>8</v>
      </c>
      <c r="G2327" t="str">
        <f>VLOOKUP(F2327,Carrier_Category!A:B,2,0)</f>
        <v>Intercity</v>
      </c>
      <c r="H2327" s="16">
        <v>44</v>
      </c>
      <c r="I2327" s="17">
        <f t="shared" si="112"/>
        <v>23</v>
      </c>
      <c r="J2327" s="16">
        <v>1430</v>
      </c>
      <c r="K2327" s="18">
        <f t="shared" si="111"/>
        <v>32.5</v>
      </c>
    </row>
    <row r="2328" spans="1:11" x14ac:dyDescent="0.3">
      <c r="A2328" s="14">
        <v>2025</v>
      </c>
      <c r="B2328" s="14">
        <f t="shared" si="110"/>
        <v>14</v>
      </c>
      <c r="C2328" s="9">
        <v>45747</v>
      </c>
      <c r="D2328" s="9">
        <v>45751</v>
      </c>
      <c r="E2328" s="14">
        <f>VLOOKUP(F2328,CarrierID!A:B,2,0)</f>
        <v>6</v>
      </c>
      <c r="F2328" s="15" t="s">
        <v>9</v>
      </c>
      <c r="G2328" t="str">
        <f>VLOOKUP(F2328,Carrier_Category!A:B,2,0)</f>
        <v>Commuter</v>
      </c>
      <c r="H2328" s="16">
        <v>77</v>
      </c>
      <c r="I2328" s="17">
        <f t="shared" si="112"/>
        <v>44</v>
      </c>
      <c r="J2328" s="16">
        <v>1554</v>
      </c>
      <c r="K2328" s="18">
        <f t="shared" si="111"/>
        <v>20.181818181818183</v>
      </c>
    </row>
    <row r="2329" spans="1:11" x14ac:dyDescent="0.3">
      <c r="A2329" s="14">
        <v>2025</v>
      </c>
      <c r="B2329" s="14">
        <f t="shared" si="110"/>
        <v>15</v>
      </c>
      <c r="C2329" s="9">
        <v>45754</v>
      </c>
      <c r="D2329" s="9">
        <v>45758</v>
      </c>
      <c r="E2329" s="14">
        <f>VLOOKUP(F2329,CarrierID!A:B,2,0)</f>
        <v>1</v>
      </c>
      <c r="F2329" s="15" t="s">
        <v>0</v>
      </c>
      <c r="G2329" t="str">
        <f>VLOOKUP(F2329,Carrier_Category!A:B,2,0)</f>
        <v>Commuter</v>
      </c>
      <c r="H2329" s="16">
        <v>46</v>
      </c>
      <c r="I2329" s="17">
        <f t="shared" si="112"/>
        <v>77</v>
      </c>
      <c r="J2329" s="16">
        <v>1532</v>
      </c>
      <c r="K2329" s="18">
        <f t="shared" si="111"/>
        <v>33.304347826086953</v>
      </c>
    </row>
    <row r="2330" spans="1:11" x14ac:dyDescent="0.3">
      <c r="A2330" s="14">
        <v>2025</v>
      </c>
      <c r="B2330" s="14">
        <f t="shared" si="110"/>
        <v>15</v>
      </c>
      <c r="C2330" s="9">
        <v>45754</v>
      </c>
      <c r="D2330" s="9">
        <v>45758</v>
      </c>
      <c r="E2330" s="14">
        <f>VLOOKUP(F2330,CarrierID!A:B,2,0)</f>
        <v>5</v>
      </c>
      <c r="F2330" s="15" t="s">
        <v>1</v>
      </c>
      <c r="G2330" t="str">
        <f>VLOOKUP(F2330,Carrier_Category!A:B,2,0)</f>
        <v>Intercity</v>
      </c>
      <c r="H2330" s="16">
        <v>61</v>
      </c>
      <c r="I2330" s="17">
        <f t="shared" si="112"/>
        <v>46</v>
      </c>
      <c r="J2330" s="16">
        <v>1192</v>
      </c>
      <c r="K2330" s="18">
        <f t="shared" si="111"/>
        <v>19.540983606557376</v>
      </c>
    </row>
    <row r="2331" spans="1:11" x14ac:dyDescent="0.3">
      <c r="A2331" s="14">
        <v>2025</v>
      </c>
      <c r="B2331" s="14">
        <f t="shared" si="110"/>
        <v>15</v>
      </c>
      <c r="C2331" s="9">
        <v>45754</v>
      </c>
      <c r="D2331" s="9">
        <v>45758</v>
      </c>
      <c r="E2331" s="14">
        <f>VLOOKUP(F2331,CarrierID!A:B,2,0)</f>
        <v>8</v>
      </c>
      <c r="F2331" s="15" t="s">
        <v>2</v>
      </c>
      <c r="G2331" t="str">
        <f>VLOOKUP(F2331,Carrier_Category!A:B,2,0)</f>
        <v>Commuter</v>
      </c>
      <c r="H2331" s="16">
        <v>18</v>
      </c>
      <c r="I2331" s="17">
        <f t="shared" si="112"/>
        <v>61</v>
      </c>
      <c r="J2331" s="16">
        <v>731</v>
      </c>
      <c r="K2331" s="18">
        <f t="shared" si="111"/>
        <v>40.611111111111114</v>
      </c>
    </row>
    <row r="2332" spans="1:11" x14ac:dyDescent="0.3">
      <c r="A2332" s="14">
        <v>2025</v>
      </c>
      <c r="B2332" s="14">
        <f t="shared" si="110"/>
        <v>15</v>
      </c>
      <c r="C2332" s="9">
        <v>45754</v>
      </c>
      <c r="D2332" s="9">
        <v>45758</v>
      </c>
      <c r="E2332" s="14">
        <f>VLOOKUP(F2332,CarrierID!A:B,2,0)</f>
        <v>9</v>
      </c>
      <c r="F2332" s="15" t="s">
        <v>3</v>
      </c>
      <c r="G2332" t="str">
        <f>VLOOKUP(F2332,Carrier_Category!A:B,2,0)</f>
        <v>NJT</v>
      </c>
      <c r="H2332" s="16">
        <v>2473</v>
      </c>
      <c r="I2332" s="17">
        <f t="shared" si="112"/>
        <v>18</v>
      </c>
      <c r="J2332" s="16">
        <v>86890</v>
      </c>
      <c r="K2332" s="18">
        <f t="shared" si="111"/>
        <v>35.135463000404364</v>
      </c>
    </row>
    <row r="2333" spans="1:11" x14ac:dyDescent="0.3">
      <c r="A2333" s="14">
        <v>2025</v>
      </c>
      <c r="B2333" s="14">
        <f t="shared" si="110"/>
        <v>15</v>
      </c>
      <c r="C2333" s="9">
        <v>45754</v>
      </c>
      <c r="D2333" s="9">
        <v>45758</v>
      </c>
      <c r="E2333" s="14">
        <f>VLOOKUP(F2333,CarrierID!A:B,2,0)</f>
        <v>7</v>
      </c>
      <c r="F2333" s="15" t="s">
        <v>4</v>
      </c>
      <c r="G2333" t="str">
        <f>VLOOKUP(F2333,Carrier_Category!A:B,2,0)</f>
        <v>Commuter</v>
      </c>
      <c r="H2333" s="16">
        <v>42</v>
      </c>
      <c r="I2333" s="17">
        <f t="shared" si="112"/>
        <v>2430</v>
      </c>
      <c r="J2333" s="16">
        <v>1390</v>
      </c>
      <c r="K2333" s="18">
        <f t="shared" si="111"/>
        <v>33.095238095238095</v>
      </c>
    </row>
    <row r="2334" spans="1:11" x14ac:dyDescent="0.3">
      <c r="A2334" s="14">
        <v>2025</v>
      </c>
      <c r="B2334" s="14">
        <f t="shared" si="110"/>
        <v>15</v>
      </c>
      <c r="C2334" s="9">
        <v>45754</v>
      </c>
      <c r="D2334" s="9">
        <v>45758</v>
      </c>
      <c r="E2334" s="14">
        <f>VLOOKUP(F2334,CarrierID!A:B,2,0)</f>
        <v>11</v>
      </c>
      <c r="F2334" s="15" t="s">
        <v>5</v>
      </c>
      <c r="G2334" t="str">
        <f>VLOOKUP(F2334,Carrier_Category!A:B,2,0)</f>
        <v>Intercity</v>
      </c>
      <c r="H2334" s="16">
        <v>21</v>
      </c>
      <c r="I2334" s="17">
        <f t="shared" si="112"/>
        <v>43</v>
      </c>
      <c r="J2334" s="16">
        <v>425</v>
      </c>
      <c r="K2334" s="18">
        <f t="shared" si="111"/>
        <v>20.238095238095237</v>
      </c>
    </row>
    <row r="2335" spans="1:11" x14ac:dyDescent="0.3">
      <c r="A2335" s="14">
        <v>2025</v>
      </c>
      <c r="B2335" s="14">
        <f t="shared" si="110"/>
        <v>15</v>
      </c>
      <c r="C2335" s="9">
        <v>45754</v>
      </c>
      <c r="D2335" s="9">
        <v>45758</v>
      </c>
      <c r="E2335" s="14">
        <f>VLOOKUP(F2335,CarrierID!A:B,2,0)</f>
        <v>3</v>
      </c>
      <c r="F2335" s="15" t="s">
        <v>6</v>
      </c>
      <c r="G2335" t="str">
        <f>VLOOKUP(F2335,Carrier_Category!A:B,2,0)</f>
        <v>Commuter</v>
      </c>
      <c r="H2335" s="16">
        <v>188</v>
      </c>
      <c r="I2335" s="17">
        <f t="shared" si="112"/>
        <v>21</v>
      </c>
      <c r="J2335" s="16">
        <v>5645</v>
      </c>
      <c r="K2335" s="18">
        <f t="shared" si="111"/>
        <v>30.026595744680851</v>
      </c>
    </row>
    <row r="2336" spans="1:11" x14ac:dyDescent="0.3">
      <c r="A2336" s="14">
        <v>2025</v>
      </c>
      <c r="B2336" s="14">
        <f t="shared" si="110"/>
        <v>15</v>
      </c>
      <c r="C2336" s="9">
        <v>45754</v>
      </c>
      <c r="D2336" s="9">
        <v>45758</v>
      </c>
      <c r="E2336" s="14">
        <f>VLOOKUP(F2336,CarrierID!A:B,2,0)</f>
        <v>12</v>
      </c>
      <c r="F2336" s="15" t="s">
        <v>25</v>
      </c>
      <c r="G2336" t="str">
        <f>VLOOKUP(F2336,Carrier_Category!A:B,2,0)</f>
        <v>Commuter</v>
      </c>
      <c r="H2336" s="16">
        <v>22</v>
      </c>
      <c r="I2336" s="17">
        <f t="shared" si="112"/>
        <v>188</v>
      </c>
      <c r="J2336" s="16">
        <v>680</v>
      </c>
      <c r="K2336" s="18">
        <f t="shared" si="111"/>
        <v>30.90909090909091</v>
      </c>
    </row>
    <row r="2337" spans="1:11" x14ac:dyDescent="0.3">
      <c r="A2337" s="14">
        <v>2025</v>
      </c>
      <c r="B2337" s="14">
        <f t="shared" si="110"/>
        <v>15</v>
      </c>
      <c r="C2337" s="9">
        <v>45754</v>
      </c>
      <c r="D2337" s="9">
        <v>45758</v>
      </c>
      <c r="E2337" s="14">
        <f>VLOOKUP(F2337,CarrierID!A:B,2,0)</f>
        <v>10</v>
      </c>
      <c r="F2337" s="15" t="s">
        <v>8</v>
      </c>
      <c r="G2337" t="str">
        <f>VLOOKUP(F2337,Carrier_Category!A:B,2,0)</f>
        <v>Intercity</v>
      </c>
      <c r="H2337" s="16">
        <v>44</v>
      </c>
      <c r="I2337" s="17">
        <f t="shared" si="112"/>
        <v>20</v>
      </c>
      <c r="J2337" s="16">
        <v>1430</v>
      </c>
      <c r="K2337" s="18">
        <f t="shared" si="111"/>
        <v>32.5</v>
      </c>
    </row>
    <row r="2338" spans="1:11" x14ac:dyDescent="0.3">
      <c r="A2338" s="14">
        <v>2025</v>
      </c>
      <c r="B2338" s="14">
        <f t="shared" si="110"/>
        <v>15</v>
      </c>
      <c r="C2338" s="9">
        <v>45754</v>
      </c>
      <c r="D2338" s="9">
        <v>45758</v>
      </c>
      <c r="E2338" s="14">
        <f>VLOOKUP(F2338,CarrierID!A:B,2,0)</f>
        <v>6</v>
      </c>
      <c r="F2338" s="15" t="s">
        <v>9</v>
      </c>
      <c r="G2338" t="str">
        <f>VLOOKUP(F2338,Carrier_Category!A:B,2,0)</f>
        <v>Commuter</v>
      </c>
      <c r="H2338" s="16">
        <v>77</v>
      </c>
      <c r="I2338" s="17">
        <f t="shared" si="112"/>
        <v>44</v>
      </c>
      <c r="J2338" s="16">
        <v>1554</v>
      </c>
      <c r="K2338" s="18">
        <f t="shared" si="111"/>
        <v>20.181818181818183</v>
      </c>
    </row>
    <row r="2339" spans="1:11" x14ac:dyDescent="0.3">
      <c r="A2339" s="14">
        <v>2025</v>
      </c>
      <c r="B2339" s="14">
        <f t="shared" si="110"/>
        <v>16</v>
      </c>
      <c r="C2339" s="9">
        <v>45761</v>
      </c>
      <c r="D2339" s="9">
        <v>45765</v>
      </c>
      <c r="E2339" s="14">
        <f>VLOOKUP(F2339,CarrierID!A:B,2,0)</f>
        <v>1</v>
      </c>
      <c r="F2339" s="15" t="s">
        <v>0</v>
      </c>
      <c r="G2339" t="str">
        <f>VLOOKUP(F2339,Carrier_Category!A:B,2,0)</f>
        <v>Commuter</v>
      </c>
      <c r="H2339" s="16">
        <v>46</v>
      </c>
      <c r="I2339" s="17">
        <f t="shared" si="112"/>
        <v>77</v>
      </c>
      <c r="J2339" s="16">
        <v>1377</v>
      </c>
      <c r="K2339" s="18">
        <f t="shared" si="111"/>
        <v>29.934782608695652</v>
      </c>
    </row>
    <row r="2340" spans="1:11" x14ac:dyDescent="0.3">
      <c r="A2340" s="14">
        <v>2025</v>
      </c>
      <c r="B2340" s="14">
        <f t="shared" si="110"/>
        <v>16</v>
      </c>
      <c r="C2340" s="9">
        <v>45761</v>
      </c>
      <c r="D2340" s="9">
        <v>45765</v>
      </c>
      <c r="E2340" s="14">
        <f>VLOOKUP(F2340,CarrierID!A:B,2,0)</f>
        <v>5</v>
      </c>
      <c r="F2340" s="15" t="s">
        <v>1</v>
      </c>
      <c r="G2340" t="str">
        <f>VLOOKUP(F2340,Carrier_Category!A:B,2,0)</f>
        <v>Intercity</v>
      </c>
      <c r="H2340" s="16">
        <v>62</v>
      </c>
      <c r="I2340" s="17">
        <f t="shared" si="112"/>
        <v>46</v>
      </c>
      <c r="J2340" s="16">
        <v>1671</v>
      </c>
      <c r="K2340" s="18">
        <f t="shared" si="111"/>
        <v>26.951612903225808</v>
      </c>
    </row>
    <row r="2341" spans="1:11" x14ac:dyDescent="0.3">
      <c r="A2341" s="14">
        <v>2025</v>
      </c>
      <c r="B2341" s="14">
        <f t="shared" si="110"/>
        <v>16</v>
      </c>
      <c r="C2341" s="9">
        <v>45761</v>
      </c>
      <c r="D2341" s="9">
        <v>45765</v>
      </c>
      <c r="E2341" s="14">
        <f>VLOOKUP(F2341,CarrierID!A:B,2,0)</f>
        <v>8</v>
      </c>
      <c r="F2341" s="15" t="s">
        <v>2</v>
      </c>
      <c r="G2341" t="str">
        <f>VLOOKUP(F2341,Carrier_Category!A:B,2,0)</f>
        <v>Commuter</v>
      </c>
      <c r="H2341" s="16">
        <v>18</v>
      </c>
      <c r="I2341" s="17">
        <f t="shared" si="112"/>
        <v>61</v>
      </c>
      <c r="J2341" s="16">
        <v>754</v>
      </c>
      <c r="K2341" s="18">
        <f t="shared" si="111"/>
        <v>41.888888888888886</v>
      </c>
    </row>
    <row r="2342" spans="1:11" x14ac:dyDescent="0.3">
      <c r="A2342" s="14">
        <v>2025</v>
      </c>
      <c r="B2342" s="14">
        <f t="shared" si="110"/>
        <v>16</v>
      </c>
      <c r="C2342" s="9">
        <v>45761</v>
      </c>
      <c r="D2342" s="9">
        <v>45765</v>
      </c>
      <c r="E2342" s="14">
        <f>VLOOKUP(F2342,CarrierID!A:B,2,0)</f>
        <v>9</v>
      </c>
      <c r="F2342" s="15" t="s">
        <v>3</v>
      </c>
      <c r="G2342" t="str">
        <f>VLOOKUP(F2342,Carrier_Category!A:B,2,0)</f>
        <v>NJT</v>
      </c>
      <c r="H2342" s="16">
        <v>2445</v>
      </c>
      <c r="I2342" s="17">
        <f t="shared" si="112"/>
        <v>18</v>
      </c>
      <c r="J2342" s="16">
        <v>83919</v>
      </c>
      <c r="K2342" s="18">
        <f t="shared" si="111"/>
        <v>34.322699386503068</v>
      </c>
    </row>
    <row r="2343" spans="1:11" x14ac:dyDescent="0.3">
      <c r="A2343" s="14">
        <v>2025</v>
      </c>
      <c r="B2343" s="14">
        <f t="shared" si="110"/>
        <v>16</v>
      </c>
      <c r="C2343" s="9">
        <v>45761</v>
      </c>
      <c r="D2343" s="9">
        <v>45765</v>
      </c>
      <c r="E2343" s="14">
        <f>VLOOKUP(F2343,CarrierID!A:B,2,0)</f>
        <v>7</v>
      </c>
      <c r="F2343" s="15" t="s">
        <v>4</v>
      </c>
      <c r="G2343" t="str">
        <f>VLOOKUP(F2343,Carrier_Category!A:B,2,0)</f>
        <v>Commuter</v>
      </c>
      <c r="H2343" s="16">
        <v>42</v>
      </c>
      <c r="I2343" s="17">
        <f t="shared" si="112"/>
        <v>2473</v>
      </c>
      <c r="J2343" s="16">
        <v>1295</v>
      </c>
      <c r="K2343" s="18">
        <f t="shared" si="111"/>
        <v>30.833333333333332</v>
      </c>
    </row>
    <row r="2344" spans="1:11" x14ac:dyDescent="0.3">
      <c r="A2344" s="14">
        <v>2025</v>
      </c>
      <c r="B2344" s="14">
        <f t="shared" si="110"/>
        <v>16</v>
      </c>
      <c r="C2344" s="9">
        <v>45761</v>
      </c>
      <c r="D2344" s="9">
        <v>45765</v>
      </c>
      <c r="E2344" s="14">
        <f>VLOOKUP(F2344,CarrierID!A:B,2,0)</f>
        <v>11</v>
      </c>
      <c r="F2344" s="15" t="s">
        <v>5</v>
      </c>
      <c r="G2344" t="str">
        <f>VLOOKUP(F2344,Carrier_Category!A:B,2,0)</f>
        <v>Intercity</v>
      </c>
      <c r="H2344" s="16">
        <v>21</v>
      </c>
      <c r="I2344" s="17">
        <f t="shared" si="112"/>
        <v>42</v>
      </c>
      <c r="J2344" s="16">
        <v>425</v>
      </c>
      <c r="K2344" s="18">
        <f t="shared" si="111"/>
        <v>20.238095238095237</v>
      </c>
    </row>
    <row r="2345" spans="1:11" x14ac:dyDescent="0.3">
      <c r="A2345" s="14">
        <v>2025</v>
      </c>
      <c r="B2345" s="14">
        <f t="shared" si="110"/>
        <v>16</v>
      </c>
      <c r="C2345" s="9">
        <v>45761</v>
      </c>
      <c r="D2345" s="9">
        <v>45765</v>
      </c>
      <c r="E2345" s="14">
        <f>VLOOKUP(F2345,CarrierID!A:B,2,0)</f>
        <v>3</v>
      </c>
      <c r="F2345" s="15" t="s">
        <v>6</v>
      </c>
      <c r="G2345" t="str">
        <f>VLOOKUP(F2345,Carrier_Category!A:B,2,0)</f>
        <v>Commuter</v>
      </c>
      <c r="H2345" s="16">
        <v>188</v>
      </c>
      <c r="I2345" s="17">
        <f t="shared" si="112"/>
        <v>21</v>
      </c>
      <c r="J2345" s="16">
        <v>5645</v>
      </c>
      <c r="K2345" s="18">
        <f t="shared" si="111"/>
        <v>30.026595744680851</v>
      </c>
    </row>
    <row r="2346" spans="1:11" x14ac:dyDescent="0.3">
      <c r="A2346" s="14">
        <v>2025</v>
      </c>
      <c r="B2346" s="14">
        <f t="shared" si="110"/>
        <v>16</v>
      </c>
      <c r="C2346" s="9">
        <v>45761</v>
      </c>
      <c r="D2346" s="9">
        <v>45765</v>
      </c>
      <c r="E2346" s="14">
        <f>VLOOKUP(F2346,CarrierID!A:B,2,0)</f>
        <v>12</v>
      </c>
      <c r="F2346" s="15" t="s">
        <v>25</v>
      </c>
      <c r="G2346" t="str">
        <f>VLOOKUP(F2346,Carrier_Category!A:B,2,0)</f>
        <v>Commuter</v>
      </c>
      <c r="H2346" s="16">
        <v>22</v>
      </c>
      <c r="I2346" s="17">
        <f t="shared" si="112"/>
        <v>188</v>
      </c>
      <c r="J2346" s="16">
        <v>685</v>
      </c>
      <c r="K2346" s="18">
        <f t="shared" si="111"/>
        <v>31.136363636363637</v>
      </c>
    </row>
    <row r="2347" spans="1:11" x14ac:dyDescent="0.3">
      <c r="A2347" s="14">
        <v>2025</v>
      </c>
      <c r="B2347" s="14">
        <f t="shared" si="110"/>
        <v>16</v>
      </c>
      <c r="C2347" s="9">
        <v>45761</v>
      </c>
      <c r="D2347" s="9">
        <v>45765</v>
      </c>
      <c r="E2347" s="14">
        <f>VLOOKUP(F2347,CarrierID!A:B,2,0)</f>
        <v>10</v>
      </c>
      <c r="F2347" s="15" t="s">
        <v>8</v>
      </c>
      <c r="G2347" t="str">
        <f>VLOOKUP(F2347,Carrier_Category!A:B,2,0)</f>
        <v>Intercity</v>
      </c>
      <c r="H2347" s="16">
        <v>44</v>
      </c>
      <c r="I2347" s="17">
        <f t="shared" si="112"/>
        <v>22</v>
      </c>
      <c r="J2347" s="16">
        <v>1430</v>
      </c>
      <c r="K2347" s="18">
        <f t="shared" si="111"/>
        <v>32.5</v>
      </c>
    </row>
    <row r="2348" spans="1:11" x14ac:dyDescent="0.3">
      <c r="A2348" s="14">
        <v>2025</v>
      </c>
      <c r="B2348" s="14">
        <f t="shared" si="110"/>
        <v>16</v>
      </c>
      <c r="C2348" s="9">
        <v>45761</v>
      </c>
      <c r="D2348" s="9">
        <v>45765</v>
      </c>
      <c r="E2348" s="14">
        <f>VLOOKUP(F2348,CarrierID!A:B,2,0)</f>
        <v>6</v>
      </c>
      <c r="F2348" s="15" t="s">
        <v>9</v>
      </c>
      <c r="G2348" t="str">
        <f>VLOOKUP(F2348,Carrier_Category!A:B,2,0)</f>
        <v>Commuter</v>
      </c>
      <c r="H2348" s="16">
        <v>77</v>
      </c>
      <c r="I2348" s="17">
        <f t="shared" si="112"/>
        <v>44</v>
      </c>
      <c r="J2348" s="16">
        <v>1554</v>
      </c>
      <c r="K2348" s="18">
        <f t="shared" si="111"/>
        <v>20.181818181818183</v>
      </c>
    </row>
    <row r="2349" spans="1:11" x14ac:dyDescent="0.3">
      <c r="A2349" s="14">
        <v>2025</v>
      </c>
      <c r="B2349" s="14">
        <f t="shared" si="110"/>
        <v>17</v>
      </c>
      <c r="C2349" s="9">
        <v>45768</v>
      </c>
      <c r="D2349" s="9">
        <v>45772</v>
      </c>
      <c r="E2349" s="14">
        <f>VLOOKUP(F2349,CarrierID!A:B,2,0)</f>
        <v>1</v>
      </c>
      <c r="F2349" s="15" t="s">
        <v>0</v>
      </c>
      <c r="G2349" t="str">
        <f>VLOOKUP(F2349,Carrier_Category!A:B,2,0)</f>
        <v>Commuter</v>
      </c>
      <c r="H2349" s="16">
        <v>44</v>
      </c>
      <c r="I2349" s="17">
        <f t="shared" si="112"/>
        <v>77</v>
      </c>
      <c r="J2349" s="16">
        <v>1354</v>
      </c>
      <c r="K2349" s="18">
        <f t="shared" si="111"/>
        <v>30.772727272727273</v>
      </c>
    </row>
    <row r="2350" spans="1:11" x14ac:dyDescent="0.3">
      <c r="A2350" s="14">
        <v>2025</v>
      </c>
      <c r="B2350" s="14">
        <f t="shared" si="110"/>
        <v>17</v>
      </c>
      <c r="C2350" s="9">
        <v>45768</v>
      </c>
      <c r="D2350" s="9">
        <v>45772</v>
      </c>
      <c r="E2350" s="14">
        <f>VLOOKUP(F2350,CarrierID!A:B,2,0)</f>
        <v>5</v>
      </c>
      <c r="F2350" s="15" t="s">
        <v>1</v>
      </c>
      <c r="G2350" t="str">
        <f>VLOOKUP(F2350,Carrier_Category!A:B,2,0)</f>
        <v>Intercity</v>
      </c>
      <c r="H2350" s="16">
        <v>62</v>
      </c>
      <c r="I2350" s="17">
        <f t="shared" si="112"/>
        <v>46</v>
      </c>
      <c r="J2350" s="16">
        <v>1435</v>
      </c>
      <c r="K2350" s="18">
        <f t="shared" si="111"/>
        <v>23.14516129032258</v>
      </c>
    </row>
    <row r="2351" spans="1:11" x14ac:dyDescent="0.3">
      <c r="A2351" s="14">
        <v>2025</v>
      </c>
      <c r="B2351" s="14">
        <f t="shared" si="110"/>
        <v>17</v>
      </c>
      <c r="C2351" s="9">
        <v>45768</v>
      </c>
      <c r="D2351" s="9">
        <v>45772</v>
      </c>
      <c r="E2351" s="14">
        <f>VLOOKUP(F2351,CarrierID!A:B,2,0)</f>
        <v>8</v>
      </c>
      <c r="F2351" s="15" t="s">
        <v>2</v>
      </c>
      <c r="G2351" t="str">
        <f>VLOOKUP(F2351,Carrier_Category!A:B,2,0)</f>
        <v>Commuter</v>
      </c>
      <c r="H2351" s="16">
        <v>18</v>
      </c>
      <c r="I2351" s="17">
        <f t="shared" si="112"/>
        <v>62</v>
      </c>
      <c r="J2351" s="16">
        <v>731</v>
      </c>
      <c r="K2351" s="18">
        <f t="shared" si="111"/>
        <v>40.611111111111114</v>
      </c>
    </row>
    <row r="2352" spans="1:11" x14ac:dyDescent="0.3">
      <c r="A2352" s="14">
        <v>2025</v>
      </c>
      <c r="B2352" s="14">
        <f t="shared" si="110"/>
        <v>17</v>
      </c>
      <c r="C2352" s="9">
        <v>45768</v>
      </c>
      <c r="D2352" s="9">
        <v>45772</v>
      </c>
      <c r="E2352" s="14">
        <f>VLOOKUP(F2352,CarrierID!A:B,2,0)</f>
        <v>9</v>
      </c>
      <c r="F2352" s="15" t="s">
        <v>3</v>
      </c>
      <c r="G2352" t="str">
        <f>VLOOKUP(F2352,Carrier_Category!A:B,2,0)</f>
        <v>NJT</v>
      </c>
      <c r="H2352" s="16">
        <v>2456</v>
      </c>
      <c r="I2352" s="17">
        <f t="shared" si="112"/>
        <v>18</v>
      </c>
      <c r="J2352" s="16">
        <v>90225</v>
      </c>
      <c r="K2352" s="18">
        <f t="shared" si="111"/>
        <v>36.736563517915307</v>
      </c>
    </row>
    <row r="2353" spans="1:11" x14ac:dyDescent="0.3">
      <c r="A2353" s="14">
        <v>2025</v>
      </c>
      <c r="B2353" s="14">
        <f t="shared" si="110"/>
        <v>17</v>
      </c>
      <c r="C2353" s="9">
        <v>45768</v>
      </c>
      <c r="D2353" s="9">
        <v>45772</v>
      </c>
      <c r="E2353" s="14">
        <f>VLOOKUP(F2353,CarrierID!A:B,2,0)</f>
        <v>7</v>
      </c>
      <c r="F2353" s="15" t="s">
        <v>4</v>
      </c>
      <c r="G2353" t="str">
        <f>VLOOKUP(F2353,Carrier_Category!A:B,2,0)</f>
        <v>Commuter</v>
      </c>
      <c r="H2353" s="16">
        <v>42</v>
      </c>
      <c r="I2353" s="17">
        <f t="shared" si="112"/>
        <v>2445</v>
      </c>
      <c r="J2353" s="16">
        <v>1322</v>
      </c>
      <c r="K2353" s="18">
        <f t="shared" si="111"/>
        <v>31.476190476190474</v>
      </c>
    </row>
    <row r="2354" spans="1:11" x14ac:dyDescent="0.3">
      <c r="A2354" s="14">
        <v>2025</v>
      </c>
      <c r="B2354" s="14">
        <f t="shared" si="110"/>
        <v>17</v>
      </c>
      <c r="C2354" s="9">
        <v>45768</v>
      </c>
      <c r="D2354" s="9">
        <v>45772</v>
      </c>
      <c r="E2354" s="14">
        <f>VLOOKUP(F2354,CarrierID!A:B,2,0)</f>
        <v>11</v>
      </c>
      <c r="F2354" s="15" t="s">
        <v>5</v>
      </c>
      <c r="G2354" t="str">
        <f>VLOOKUP(F2354,Carrier_Category!A:B,2,0)</f>
        <v>Intercity</v>
      </c>
      <c r="H2354" s="16">
        <v>21</v>
      </c>
      <c r="I2354" s="17">
        <f t="shared" si="112"/>
        <v>42</v>
      </c>
      <c r="J2354" s="16">
        <v>425</v>
      </c>
      <c r="K2354" s="18">
        <f t="shared" si="111"/>
        <v>20.238095238095237</v>
      </c>
    </row>
    <row r="2355" spans="1:11" x14ac:dyDescent="0.3">
      <c r="A2355" s="14">
        <v>2025</v>
      </c>
      <c r="B2355" s="14">
        <f t="shared" si="110"/>
        <v>17</v>
      </c>
      <c r="C2355" s="9">
        <v>45768</v>
      </c>
      <c r="D2355" s="9">
        <v>45772</v>
      </c>
      <c r="E2355" s="14">
        <f>VLOOKUP(F2355,CarrierID!A:B,2,0)</f>
        <v>3</v>
      </c>
      <c r="F2355" s="15" t="s">
        <v>6</v>
      </c>
      <c r="G2355" t="str">
        <f>VLOOKUP(F2355,Carrier_Category!A:B,2,0)</f>
        <v>Commuter</v>
      </c>
      <c r="H2355" s="16">
        <v>188</v>
      </c>
      <c r="I2355" s="17">
        <f t="shared" si="112"/>
        <v>21</v>
      </c>
      <c r="J2355" s="16">
        <v>5645</v>
      </c>
      <c r="K2355" s="18">
        <f t="shared" si="111"/>
        <v>30.026595744680851</v>
      </c>
    </row>
    <row r="2356" spans="1:11" x14ac:dyDescent="0.3">
      <c r="A2356" s="14">
        <v>2025</v>
      </c>
      <c r="B2356" s="14">
        <f t="shared" si="110"/>
        <v>17</v>
      </c>
      <c r="C2356" s="9">
        <v>45768</v>
      </c>
      <c r="D2356" s="9">
        <v>45772</v>
      </c>
      <c r="E2356" s="14">
        <f>VLOOKUP(F2356,CarrierID!A:B,2,0)</f>
        <v>12</v>
      </c>
      <c r="F2356" s="15" t="s">
        <v>25</v>
      </c>
      <c r="G2356" t="str">
        <f>VLOOKUP(F2356,Carrier_Category!A:B,2,0)</f>
        <v>Commuter</v>
      </c>
      <c r="H2356" s="16">
        <v>22</v>
      </c>
      <c r="I2356" s="17">
        <f t="shared" si="112"/>
        <v>188</v>
      </c>
      <c r="J2356" s="16">
        <v>692</v>
      </c>
      <c r="K2356" s="18">
        <f t="shared" si="111"/>
        <v>31.454545454545453</v>
      </c>
    </row>
    <row r="2357" spans="1:11" x14ac:dyDescent="0.3">
      <c r="A2357" s="14">
        <v>2025</v>
      </c>
      <c r="B2357" s="14">
        <f t="shared" si="110"/>
        <v>17</v>
      </c>
      <c r="C2357" s="9">
        <v>45768</v>
      </c>
      <c r="D2357" s="9">
        <v>45772</v>
      </c>
      <c r="E2357" s="14">
        <f>VLOOKUP(F2357,CarrierID!A:B,2,0)</f>
        <v>10</v>
      </c>
      <c r="F2357" s="15" t="s">
        <v>8</v>
      </c>
      <c r="G2357" t="str">
        <f>VLOOKUP(F2357,Carrier_Category!A:B,2,0)</f>
        <v>Intercity</v>
      </c>
      <c r="H2357" s="16">
        <v>44</v>
      </c>
      <c r="I2357" s="17">
        <f t="shared" si="112"/>
        <v>22</v>
      </c>
      <c r="J2357" s="16">
        <v>1430</v>
      </c>
      <c r="K2357" s="18">
        <f t="shared" si="111"/>
        <v>32.5</v>
      </c>
    </row>
    <row r="2358" spans="1:11" x14ac:dyDescent="0.3">
      <c r="A2358" s="14">
        <v>2025</v>
      </c>
      <c r="B2358" s="14">
        <f t="shared" si="110"/>
        <v>17</v>
      </c>
      <c r="C2358" s="9">
        <v>45768</v>
      </c>
      <c r="D2358" s="9">
        <v>45772</v>
      </c>
      <c r="E2358" s="14">
        <f>VLOOKUP(F2358,CarrierID!A:B,2,0)</f>
        <v>6</v>
      </c>
      <c r="F2358" s="15" t="s">
        <v>9</v>
      </c>
      <c r="G2358" t="str">
        <f>VLOOKUP(F2358,Carrier_Category!A:B,2,0)</f>
        <v>Commuter</v>
      </c>
      <c r="H2358" s="16">
        <v>77</v>
      </c>
      <c r="I2358" s="17">
        <f t="shared" si="112"/>
        <v>44</v>
      </c>
      <c r="J2358" s="16">
        <v>1554</v>
      </c>
      <c r="K2358" s="18">
        <f t="shared" si="111"/>
        <v>20.181818181818183</v>
      </c>
    </row>
    <row r="2359" spans="1:11" x14ac:dyDescent="0.3">
      <c r="A2359" s="14">
        <v>2025</v>
      </c>
      <c r="B2359" s="14">
        <f t="shared" si="110"/>
        <v>18</v>
      </c>
      <c r="C2359" s="9">
        <v>45775</v>
      </c>
      <c r="D2359" s="9">
        <v>45779</v>
      </c>
      <c r="E2359" s="14">
        <f>VLOOKUP(F2359,CarrierID!A:B,2,0)</f>
        <v>1</v>
      </c>
      <c r="F2359" s="15" t="s">
        <v>0</v>
      </c>
      <c r="G2359" t="str">
        <f>VLOOKUP(F2359,Carrier_Category!A:B,2,0)</f>
        <v>Commuter</v>
      </c>
      <c r="H2359" s="16">
        <v>45</v>
      </c>
      <c r="I2359" s="17">
        <f t="shared" si="112"/>
        <v>77</v>
      </c>
      <c r="J2359" s="16">
        <v>1486</v>
      </c>
      <c r="K2359" s="18">
        <f t="shared" si="111"/>
        <v>33.022222222222226</v>
      </c>
    </row>
    <row r="2360" spans="1:11" x14ac:dyDescent="0.3">
      <c r="A2360" s="14">
        <v>2025</v>
      </c>
      <c r="B2360" s="14">
        <f t="shared" si="110"/>
        <v>18</v>
      </c>
      <c r="C2360" s="9">
        <v>45775</v>
      </c>
      <c r="D2360" s="9">
        <v>45779</v>
      </c>
      <c r="E2360" s="14">
        <f>VLOOKUP(F2360,CarrierID!A:B,2,0)</f>
        <v>5</v>
      </c>
      <c r="F2360" s="15" t="s">
        <v>1</v>
      </c>
      <c r="G2360" t="str">
        <f>VLOOKUP(F2360,Carrier_Category!A:B,2,0)</f>
        <v>Intercity</v>
      </c>
      <c r="H2360" s="16">
        <v>62</v>
      </c>
      <c r="I2360" s="17">
        <f t="shared" si="112"/>
        <v>44</v>
      </c>
      <c r="J2360" s="16">
        <v>1250</v>
      </c>
      <c r="K2360" s="18">
        <f t="shared" si="111"/>
        <v>20.161290322580644</v>
      </c>
    </row>
    <row r="2361" spans="1:11" x14ac:dyDescent="0.3">
      <c r="A2361" s="14">
        <v>2025</v>
      </c>
      <c r="B2361" s="14">
        <f t="shared" si="110"/>
        <v>18</v>
      </c>
      <c r="C2361" s="9">
        <v>45775</v>
      </c>
      <c r="D2361" s="9">
        <v>45779</v>
      </c>
      <c r="E2361" s="14">
        <f>VLOOKUP(F2361,CarrierID!A:B,2,0)</f>
        <v>8</v>
      </c>
      <c r="F2361" s="15" t="s">
        <v>2</v>
      </c>
      <c r="G2361" t="str">
        <f>VLOOKUP(F2361,Carrier_Category!A:B,2,0)</f>
        <v>Commuter</v>
      </c>
      <c r="H2361" s="16">
        <v>18</v>
      </c>
      <c r="I2361" s="17">
        <f t="shared" si="112"/>
        <v>62</v>
      </c>
      <c r="J2361" s="16">
        <v>721</v>
      </c>
      <c r="K2361" s="18">
        <f t="shared" si="111"/>
        <v>40.055555555555557</v>
      </c>
    </row>
    <row r="2362" spans="1:11" x14ac:dyDescent="0.3">
      <c r="A2362" s="14">
        <v>2025</v>
      </c>
      <c r="B2362" s="14">
        <f t="shared" si="110"/>
        <v>18</v>
      </c>
      <c r="C2362" s="9">
        <v>45775</v>
      </c>
      <c r="D2362" s="9">
        <v>45779</v>
      </c>
      <c r="E2362" s="14">
        <f>VLOOKUP(F2362,CarrierID!A:B,2,0)</f>
        <v>9</v>
      </c>
      <c r="F2362" s="15" t="s">
        <v>3</v>
      </c>
      <c r="G2362" t="str">
        <f>VLOOKUP(F2362,Carrier_Category!A:B,2,0)</f>
        <v>NJT</v>
      </c>
      <c r="H2362" s="16">
        <v>2441</v>
      </c>
      <c r="I2362" s="17">
        <f t="shared" si="112"/>
        <v>18</v>
      </c>
      <c r="J2362" s="16">
        <v>88868</v>
      </c>
      <c r="K2362" s="18">
        <f t="shared" si="111"/>
        <v>36.406390823433021</v>
      </c>
    </row>
    <row r="2363" spans="1:11" x14ac:dyDescent="0.3">
      <c r="A2363" s="14">
        <v>2025</v>
      </c>
      <c r="B2363" s="14">
        <f t="shared" si="110"/>
        <v>18</v>
      </c>
      <c r="C2363" s="9">
        <v>45775</v>
      </c>
      <c r="D2363" s="9">
        <v>45779</v>
      </c>
      <c r="E2363" s="14">
        <f>VLOOKUP(F2363,CarrierID!A:B,2,0)</f>
        <v>7</v>
      </c>
      <c r="F2363" s="15" t="s">
        <v>4</v>
      </c>
      <c r="G2363" t="str">
        <f>VLOOKUP(F2363,Carrier_Category!A:B,2,0)</f>
        <v>Commuter</v>
      </c>
      <c r="H2363" s="16">
        <v>43</v>
      </c>
      <c r="I2363" s="17">
        <f t="shared" si="112"/>
        <v>2456</v>
      </c>
      <c r="J2363" s="16">
        <v>1418</v>
      </c>
      <c r="K2363" s="18">
        <f t="shared" si="111"/>
        <v>32.97674418604651</v>
      </c>
    </row>
    <row r="2364" spans="1:11" x14ac:dyDescent="0.3">
      <c r="A2364" s="14">
        <v>2025</v>
      </c>
      <c r="B2364" s="14">
        <f t="shared" si="110"/>
        <v>18</v>
      </c>
      <c r="C2364" s="9">
        <v>45775</v>
      </c>
      <c r="D2364" s="9">
        <v>45779</v>
      </c>
      <c r="E2364" s="14">
        <f>VLOOKUP(F2364,CarrierID!A:B,2,0)</f>
        <v>11</v>
      </c>
      <c r="F2364" s="15" t="s">
        <v>5</v>
      </c>
      <c r="G2364" t="str">
        <f>VLOOKUP(F2364,Carrier_Category!A:B,2,0)</f>
        <v>Intercity</v>
      </c>
      <c r="H2364" s="16">
        <v>21</v>
      </c>
      <c r="I2364" s="17">
        <f t="shared" si="112"/>
        <v>42</v>
      </c>
      <c r="J2364" s="16">
        <v>425</v>
      </c>
      <c r="K2364" s="18">
        <f t="shared" si="111"/>
        <v>20.238095238095237</v>
      </c>
    </row>
    <row r="2365" spans="1:11" x14ac:dyDescent="0.3">
      <c r="A2365" s="14">
        <v>2025</v>
      </c>
      <c r="B2365" s="14">
        <f t="shared" si="110"/>
        <v>18</v>
      </c>
      <c r="C2365" s="9">
        <v>45775</v>
      </c>
      <c r="D2365" s="9">
        <v>45779</v>
      </c>
      <c r="E2365" s="14">
        <f>VLOOKUP(F2365,CarrierID!A:B,2,0)</f>
        <v>3</v>
      </c>
      <c r="F2365" s="15" t="s">
        <v>6</v>
      </c>
      <c r="G2365" t="str">
        <f>VLOOKUP(F2365,Carrier_Category!A:B,2,0)</f>
        <v>Commuter</v>
      </c>
      <c r="H2365" s="16">
        <v>188</v>
      </c>
      <c r="I2365" s="17">
        <f t="shared" si="112"/>
        <v>21</v>
      </c>
      <c r="J2365" s="16">
        <v>5645</v>
      </c>
      <c r="K2365" s="18">
        <f t="shared" si="111"/>
        <v>30.026595744680851</v>
      </c>
    </row>
    <row r="2366" spans="1:11" x14ac:dyDescent="0.3">
      <c r="A2366" s="14">
        <v>2025</v>
      </c>
      <c r="B2366" s="14">
        <f t="shared" si="110"/>
        <v>18</v>
      </c>
      <c r="C2366" s="9">
        <v>45775</v>
      </c>
      <c r="D2366" s="9">
        <v>45779</v>
      </c>
      <c r="E2366" s="14">
        <f>VLOOKUP(F2366,CarrierID!A:B,2,0)</f>
        <v>12</v>
      </c>
      <c r="F2366" s="15" t="s">
        <v>25</v>
      </c>
      <c r="G2366" t="str">
        <f>VLOOKUP(F2366,Carrier_Category!A:B,2,0)</f>
        <v>Commuter</v>
      </c>
      <c r="H2366" s="16">
        <v>23</v>
      </c>
      <c r="I2366" s="17">
        <f t="shared" si="112"/>
        <v>188</v>
      </c>
      <c r="J2366" s="16">
        <v>675</v>
      </c>
      <c r="K2366" s="18">
        <f t="shared" si="111"/>
        <v>29.347826086956523</v>
      </c>
    </row>
    <row r="2367" spans="1:11" x14ac:dyDescent="0.3">
      <c r="A2367" s="14">
        <v>2025</v>
      </c>
      <c r="B2367" s="14">
        <f t="shared" si="110"/>
        <v>18</v>
      </c>
      <c r="C2367" s="9">
        <v>45775</v>
      </c>
      <c r="D2367" s="9">
        <v>45779</v>
      </c>
      <c r="E2367" s="14">
        <f>VLOOKUP(F2367,CarrierID!A:B,2,0)</f>
        <v>10</v>
      </c>
      <c r="F2367" s="15" t="s">
        <v>8</v>
      </c>
      <c r="G2367" t="str">
        <f>VLOOKUP(F2367,Carrier_Category!A:B,2,0)</f>
        <v>Intercity</v>
      </c>
      <c r="H2367" s="16">
        <v>44</v>
      </c>
      <c r="I2367" s="17">
        <f t="shared" si="112"/>
        <v>22</v>
      </c>
      <c r="J2367" s="16">
        <v>1430</v>
      </c>
      <c r="K2367" s="18">
        <f t="shared" si="111"/>
        <v>32.5</v>
      </c>
    </row>
    <row r="2368" spans="1:11" x14ac:dyDescent="0.3">
      <c r="A2368" s="14">
        <v>2025</v>
      </c>
      <c r="B2368" s="14">
        <f t="shared" si="110"/>
        <v>18</v>
      </c>
      <c r="C2368" s="9">
        <v>45775</v>
      </c>
      <c r="D2368" s="9">
        <v>45779</v>
      </c>
      <c r="E2368" s="14">
        <f>VLOOKUP(F2368,CarrierID!A:B,2,0)</f>
        <v>6</v>
      </c>
      <c r="F2368" s="15" t="s">
        <v>9</v>
      </c>
      <c r="G2368" t="str">
        <f>VLOOKUP(F2368,Carrier_Category!A:B,2,0)</f>
        <v>Commuter</v>
      </c>
      <c r="H2368" s="16">
        <v>77</v>
      </c>
      <c r="I2368" s="17">
        <f t="shared" si="112"/>
        <v>44</v>
      </c>
      <c r="J2368" s="16">
        <v>1554</v>
      </c>
      <c r="K2368" s="18">
        <f t="shared" si="111"/>
        <v>20.181818181818183</v>
      </c>
    </row>
    <row r="2369" spans="1:11" x14ac:dyDescent="0.3">
      <c r="A2369" s="14">
        <v>2025</v>
      </c>
      <c r="B2369" s="14">
        <f t="shared" si="110"/>
        <v>19</v>
      </c>
      <c r="C2369" s="9">
        <v>45782</v>
      </c>
      <c r="D2369" s="9">
        <v>45786</v>
      </c>
      <c r="E2369" s="14">
        <f>VLOOKUP(F2369,CarrierID!A:B,2,0)</f>
        <v>1</v>
      </c>
      <c r="F2369" s="15" t="s">
        <v>0</v>
      </c>
      <c r="G2369" t="str">
        <f>VLOOKUP(F2369,Carrier_Category!A:B,2,0)</f>
        <v>Commuter</v>
      </c>
      <c r="H2369" s="16">
        <v>46</v>
      </c>
      <c r="I2369" s="17">
        <f t="shared" si="112"/>
        <v>77</v>
      </c>
      <c r="J2369" s="16">
        <v>1509</v>
      </c>
      <c r="K2369" s="18">
        <f t="shared" si="111"/>
        <v>32.804347826086953</v>
      </c>
    </row>
    <row r="2370" spans="1:11" x14ac:dyDescent="0.3">
      <c r="A2370" s="14">
        <v>2025</v>
      </c>
      <c r="B2370" s="14">
        <f t="shared" si="110"/>
        <v>19</v>
      </c>
      <c r="C2370" s="9">
        <v>45782</v>
      </c>
      <c r="D2370" s="9">
        <v>45786</v>
      </c>
      <c r="E2370" s="14">
        <f>VLOOKUP(F2370,CarrierID!A:B,2,0)</f>
        <v>5</v>
      </c>
      <c r="F2370" s="15" t="s">
        <v>1</v>
      </c>
      <c r="G2370" t="str">
        <f>VLOOKUP(F2370,Carrier_Category!A:B,2,0)</f>
        <v>Intercity</v>
      </c>
      <c r="H2370" s="16">
        <v>62</v>
      </c>
      <c r="I2370" s="17">
        <f t="shared" si="112"/>
        <v>45</v>
      </c>
      <c r="J2370" s="16">
        <v>1209</v>
      </c>
      <c r="K2370" s="18">
        <f t="shared" si="111"/>
        <v>19.5</v>
      </c>
    </row>
    <row r="2371" spans="1:11" x14ac:dyDescent="0.3">
      <c r="A2371" s="14">
        <v>2025</v>
      </c>
      <c r="B2371" s="14">
        <f t="shared" si="110"/>
        <v>19</v>
      </c>
      <c r="C2371" s="9">
        <v>45782</v>
      </c>
      <c r="D2371" s="9">
        <v>45786</v>
      </c>
      <c r="E2371" s="14">
        <f>VLOOKUP(F2371,CarrierID!A:B,2,0)</f>
        <v>8</v>
      </c>
      <c r="F2371" s="15" t="s">
        <v>2</v>
      </c>
      <c r="G2371" t="str">
        <f>VLOOKUP(F2371,Carrier_Category!A:B,2,0)</f>
        <v>Commuter</v>
      </c>
      <c r="H2371" s="16">
        <v>18</v>
      </c>
      <c r="I2371" s="17">
        <f t="shared" si="112"/>
        <v>62</v>
      </c>
      <c r="J2371" s="16">
        <v>716</v>
      </c>
      <c r="K2371" s="18">
        <f t="shared" si="111"/>
        <v>39.777777777777779</v>
      </c>
    </row>
    <row r="2372" spans="1:11" x14ac:dyDescent="0.3">
      <c r="A2372" s="14">
        <v>2025</v>
      </c>
      <c r="B2372" s="14">
        <f t="shared" si="110"/>
        <v>19</v>
      </c>
      <c r="C2372" s="9">
        <v>45782</v>
      </c>
      <c r="D2372" s="9">
        <v>45786</v>
      </c>
      <c r="E2372" s="14">
        <f>VLOOKUP(F2372,CarrierID!A:B,2,0)</f>
        <v>9</v>
      </c>
      <c r="F2372" s="15" t="s">
        <v>3</v>
      </c>
      <c r="G2372" t="str">
        <f>VLOOKUP(F2372,Carrier_Category!A:B,2,0)</f>
        <v>NJT</v>
      </c>
      <c r="H2372" s="16">
        <v>2389</v>
      </c>
      <c r="I2372" s="17">
        <f t="shared" si="112"/>
        <v>18</v>
      </c>
      <c r="J2372" s="16">
        <v>87138</v>
      </c>
      <c r="K2372" s="18">
        <f t="shared" si="111"/>
        <v>36.474675596483884</v>
      </c>
    </row>
    <row r="2373" spans="1:11" x14ac:dyDescent="0.3">
      <c r="A2373" s="14">
        <v>2025</v>
      </c>
      <c r="B2373" s="14">
        <f t="shared" ref="B2373:B2436" si="113">_xlfn.ISOWEEKNUM(C2373)</f>
        <v>19</v>
      </c>
      <c r="C2373" s="9">
        <v>45782</v>
      </c>
      <c r="D2373" s="9">
        <v>45786</v>
      </c>
      <c r="E2373" s="14">
        <f>VLOOKUP(F2373,CarrierID!A:B,2,0)</f>
        <v>7</v>
      </c>
      <c r="F2373" s="15" t="s">
        <v>4</v>
      </c>
      <c r="G2373" t="str">
        <f>VLOOKUP(F2373,Carrier_Category!A:B,2,0)</f>
        <v>Commuter</v>
      </c>
      <c r="H2373" s="16">
        <v>42</v>
      </c>
      <c r="I2373" s="17">
        <f t="shared" si="112"/>
        <v>2441</v>
      </c>
      <c r="J2373" s="16">
        <v>1421</v>
      </c>
      <c r="K2373" s="18">
        <f t="shared" ref="K2373:K2436" si="114">J2373/H2373</f>
        <v>33.833333333333336</v>
      </c>
    </row>
    <row r="2374" spans="1:11" x14ac:dyDescent="0.3">
      <c r="A2374" s="14">
        <v>2025</v>
      </c>
      <c r="B2374" s="14">
        <f t="shared" si="113"/>
        <v>19</v>
      </c>
      <c r="C2374" s="9">
        <v>45782</v>
      </c>
      <c r="D2374" s="9">
        <v>45786</v>
      </c>
      <c r="E2374" s="14">
        <f>VLOOKUP(F2374,CarrierID!A:B,2,0)</f>
        <v>11</v>
      </c>
      <c r="F2374" s="15" t="s">
        <v>5</v>
      </c>
      <c r="G2374" t="str">
        <f>VLOOKUP(F2374,Carrier_Category!A:B,2,0)</f>
        <v>Intercity</v>
      </c>
      <c r="H2374" s="16">
        <v>21</v>
      </c>
      <c r="I2374" s="17">
        <f t="shared" si="112"/>
        <v>43</v>
      </c>
      <c r="J2374" s="16">
        <v>425</v>
      </c>
      <c r="K2374" s="18">
        <f t="shared" si="114"/>
        <v>20.238095238095237</v>
      </c>
    </row>
    <row r="2375" spans="1:11" x14ac:dyDescent="0.3">
      <c r="A2375" s="14">
        <v>2025</v>
      </c>
      <c r="B2375" s="14">
        <f t="shared" si="113"/>
        <v>19</v>
      </c>
      <c r="C2375" s="9">
        <v>45782</v>
      </c>
      <c r="D2375" s="9">
        <v>45786</v>
      </c>
      <c r="E2375" s="14">
        <f>VLOOKUP(F2375,CarrierID!A:B,2,0)</f>
        <v>3</v>
      </c>
      <c r="F2375" s="15" t="s">
        <v>6</v>
      </c>
      <c r="G2375" t="str">
        <f>VLOOKUP(F2375,Carrier_Category!A:B,2,0)</f>
        <v>Commuter</v>
      </c>
      <c r="H2375" s="16">
        <v>188</v>
      </c>
      <c r="I2375" s="17">
        <f t="shared" si="112"/>
        <v>21</v>
      </c>
      <c r="J2375" s="16">
        <v>5645</v>
      </c>
      <c r="K2375" s="18">
        <f t="shared" si="114"/>
        <v>30.026595744680851</v>
      </c>
    </row>
    <row r="2376" spans="1:11" x14ac:dyDescent="0.3">
      <c r="A2376" s="14">
        <v>2025</v>
      </c>
      <c r="B2376" s="14">
        <f t="shared" si="113"/>
        <v>19</v>
      </c>
      <c r="C2376" s="9">
        <v>45782</v>
      </c>
      <c r="D2376" s="9">
        <v>45786</v>
      </c>
      <c r="E2376" s="14">
        <f>VLOOKUP(F2376,CarrierID!A:B,2,0)</f>
        <v>12</v>
      </c>
      <c r="F2376" s="15" t="s">
        <v>25</v>
      </c>
      <c r="G2376" t="str">
        <f>VLOOKUP(F2376,Carrier_Category!A:B,2,0)</f>
        <v>Commuter</v>
      </c>
      <c r="H2376" s="16">
        <v>23</v>
      </c>
      <c r="I2376" s="17">
        <f t="shared" si="112"/>
        <v>188</v>
      </c>
      <c r="J2376" s="16">
        <v>688</v>
      </c>
      <c r="K2376" s="18">
        <f t="shared" si="114"/>
        <v>29.913043478260871</v>
      </c>
    </row>
    <row r="2377" spans="1:11" x14ac:dyDescent="0.3">
      <c r="A2377" s="14">
        <v>2025</v>
      </c>
      <c r="B2377" s="14">
        <f t="shared" si="113"/>
        <v>19</v>
      </c>
      <c r="C2377" s="9">
        <v>45782</v>
      </c>
      <c r="D2377" s="9">
        <v>45786</v>
      </c>
      <c r="E2377" s="14">
        <f>VLOOKUP(F2377,CarrierID!A:B,2,0)</f>
        <v>10</v>
      </c>
      <c r="F2377" s="15" t="s">
        <v>8</v>
      </c>
      <c r="G2377" t="str">
        <f>VLOOKUP(F2377,Carrier_Category!A:B,2,0)</f>
        <v>Intercity</v>
      </c>
      <c r="H2377" s="16">
        <v>44</v>
      </c>
      <c r="I2377" s="17">
        <f t="shared" si="112"/>
        <v>23</v>
      </c>
      <c r="J2377" s="16">
        <v>1430</v>
      </c>
      <c r="K2377" s="18">
        <f t="shared" si="114"/>
        <v>32.5</v>
      </c>
    </row>
    <row r="2378" spans="1:11" x14ac:dyDescent="0.3">
      <c r="A2378" s="14">
        <v>2025</v>
      </c>
      <c r="B2378" s="14">
        <f t="shared" si="113"/>
        <v>19</v>
      </c>
      <c r="C2378" s="9">
        <v>45782</v>
      </c>
      <c r="D2378" s="9">
        <v>45786</v>
      </c>
      <c r="E2378" s="14">
        <f>VLOOKUP(F2378,CarrierID!A:B,2,0)</f>
        <v>6</v>
      </c>
      <c r="F2378" s="15" t="s">
        <v>9</v>
      </c>
      <c r="G2378" t="str">
        <f>VLOOKUP(F2378,Carrier_Category!A:B,2,0)</f>
        <v>Commuter</v>
      </c>
      <c r="H2378" s="16">
        <v>87</v>
      </c>
      <c r="I2378" s="17">
        <f t="shared" si="112"/>
        <v>44</v>
      </c>
      <c r="J2378" s="16">
        <v>1875</v>
      </c>
      <c r="K2378" s="18">
        <f t="shared" si="114"/>
        <v>21.551724137931036</v>
      </c>
    </row>
    <row r="2379" spans="1:11" x14ac:dyDescent="0.3">
      <c r="A2379" s="14">
        <v>2025</v>
      </c>
      <c r="B2379" s="14">
        <f t="shared" si="113"/>
        <v>20</v>
      </c>
      <c r="C2379" s="9">
        <v>45789</v>
      </c>
      <c r="D2379" s="9">
        <v>45793</v>
      </c>
      <c r="E2379" s="14">
        <f>VLOOKUP(F2379,CarrierID!A:B,2,0)</f>
        <v>1</v>
      </c>
      <c r="F2379" s="15" t="s">
        <v>0</v>
      </c>
      <c r="G2379" t="str">
        <f>VLOOKUP(F2379,Carrier_Category!A:B,2,0)</f>
        <v>Commuter</v>
      </c>
      <c r="H2379" s="16">
        <v>46</v>
      </c>
      <c r="I2379" s="17">
        <f t="shared" si="112"/>
        <v>77</v>
      </c>
      <c r="J2379" s="16">
        <v>1507</v>
      </c>
      <c r="K2379" s="18">
        <f t="shared" si="114"/>
        <v>32.760869565217391</v>
      </c>
    </row>
    <row r="2380" spans="1:11" x14ac:dyDescent="0.3">
      <c r="A2380" s="14">
        <v>2025</v>
      </c>
      <c r="B2380" s="14">
        <f t="shared" si="113"/>
        <v>20</v>
      </c>
      <c r="C2380" s="9">
        <v>45789</v>
      </c>
      <c r="D2380" s="9">
        <v>45793</v>
      </c>
      <c r="E2380" s="14">
        <f>VLOOKUP(F2380,CarrierID!A:B,2,0)</f>
        <v>5</v>
      </c>
      <c r="F2380" s="15" t="s">
        <v>1</v>
      </c>
      <c r="G2380" t="str">
        <f>VLOOKUP(F2380,Carrier_Category!A:B,2,0)</f>
        <v>Intercity</v>
      </c>
      <c r="H2380" s="16">
        <v>62</v>
      </c>
      <c r="I2380" s="17">
        <f t="shared" si="112"/>
        <v>46</v>
      </c>
      <c r="J2380" s="16">
        <v>1474</v>
      </c>
      <c r="K2380" s="18">
        <f t="shared" si="114"/>
        <v>23.774193548387096</v>
      </c>
    </row>
    <row r="2381" spans="1:11" x14ac:dyDescent="0.3">
      <c r="A2381" s="14">
        <v>2025</v>
      </c>
      <c r="B2381" s="14">
        <f t="shared" si="113"/>
        <v>20</v>
      </c>
      <c r="C2381" s="9">
        <v>45789</v>
      </c>
      <c r="D2381" s="9">
        <v>45793</v>
      </c>
      <c r="E2381" s="14">
        <f>VLOOKUP(F2381,CarrierID!A:B,2,0)</f>
        <v>8</v>
      </c>
      <c r="F2381" s="15" t="s">
        <v>2</v>
      </c>
      <c r="G2381" t="str">
        <f>VLOOKUP(F2381,Carrier_Category!A:B,2,0)</f>
        <v>Commuter</v>
      </c>
      <c r="H2381" s="16">
        <v>18</v>
      </c>
      <c r="I2381" s="17">
        <f t="shared" ref="I2381:I2444" si="115">H2370</f>
        <v>62</v>
      </c>
      <c r="J2381" s="16">
        <v>751</v>
      </c>
      <c r="K2381" s="18">
        <f t="shared" si="114"/>
        <v>41.722222222222221</v>
      </c>
    </row>
    <row r="2382" spans="1:11" x14ac:dyDescent="0.3">
      <c r="A2382" s="14">
        <v>2025</v>
      </c>
      <c r="B2382" s="14">
        <f t="shared" si="113"/>
        <v>20</v>
      </c>
      <c r="C2382" s="9">
        <v>45789</v>
      </c>
      <c r="D2382" s="9">
        <v>45793</v>
      </c>
      <c r="E2382" s="14">
        <f>VLOOKUP(F2382,CarrierID!A:B,2,0)</f>
        <v>9</v>
      </c>
      <c r="F2382" s="15" t="s">
        <v>3</v>
      </c>
      <c r="G2382" t="str">
        <f>VLOOKUP(F2382,Carrier_Category!A:B,2,0)</f>
        <v>NJT</v>
      </c>
      <c r="H2382" s="16">
        <v>2418</v>
      </c>
      <c r="I2382" s="17">
        <f t="shared" si="115"/>
        <v>18</v>
      </c>
      <c r="J2382" s="16">
        <v>87711</v>
      </c>
      <c r="K2382" s="18">
        <f t="shared" si="114"/>
        <v>36.274193548387096</v>
      </c>
    </row>
    <row r="2383" spans="1:11" x14ac:dyDescent="0.3">
      <c r="A2383" s="14">
        <v>2025</v>
      </c>
      <c r="B2383" s="14">
        <f t="shared" si="113"/>
        <v>20</v>
      </c>
      <c r="C2383" s="9">
        <v>45789</v>
      </c>
      <c r="D2383" s="9">
        <v>45793</v>
      </c>
      <c r="E2383" s="14">
        <f>VLOOKUP(F2383,CarrierID!A:B,2,0)</f>
        <v>7</v>
      </c>
      <c r="F2383" s="15" t="s">
        <v>4</v>
      </c>
      <c r="G2383" t="str">
        <f>VLOOKUP(F2383,Carrier_Category!A:B,2,0)</f>
        <v>Commuter</v>
      </c>
      <c r="H2383" s="16">
        <v>42</v>
      </c>
      <c r="I2383" s="17">
        <f t="shared" si="115"/>
        <v>2389</v>
      </c>
      <c r="J2383" s="16">
        <v>1403</v>
      </c>
      <c r="K2383" s="18">
        <f t="shared" si="114"/>
        <v>33.404761904761905</v>
      </c>
    </row>
    <row r="2384" spans="1:11" x14ac:dyDescent="0.3">
      <c r="A2384" s="14">
        <v>2025</v>
      </c>
      <c r="B2384" s="14">
        <f t="shared" si="113"/>
        <v>20</v>
      </c>
      <c r="C2384" s="9">
        <v>45789</v>
      </c>
      <c r="D2384" s="9">
        <v>45793</v>
      </c>
      <c r="E2384" s="14">
        <f>VLOOKUP(F2384,CarrierID!A:B,2,0)</f>
        <v>11</v>
      </c>
      <c r="F2384" s="15" t="s">
        <v>5</v>
      </c>
      <c r="G2384" t="str">
        <f>VLOOKUP(F2384,Carrier_Category!A:B,2,0)</f>
        <v>Intercity</v>
      </c>
      <c r="H2384" s="16">
        <v>21</v>
      </c>
      <c r="I2384" s="17">
        <f t="shared" si="115"/>
        <v>42</v>
      </c>
      <c r="J2384" s="16">
        <v>425</v>
      </c>
      <c r="K2384" s="18">
        <f t="shared" si="114"/>
        <v>20.238095238095237</v>
      </c>
    </row>
    <row r="2385" spans="1:11" x14ac:dyDescent="0.3">
      <c r="A2385" s="14">
        <v>2025</v>
      </c>
      <c r="B2385" s="14">
        <f t="shared" si="113"/>
        <v>20</v>
      </c>
      <c r="C2385" s="9">
        <v>45789</v>
      </c>
      <c r="D2385" s="9">
        <v>45793</v>
      </c>
      <c r="E2385" s="14">
        <f>VLOOKUP(F2385,CarrierID!A:B,2,0)</f>
        <v>3</v>
      </c>
      <c r="F2385" s="15" t="s">
        <v>6</v>
      </c>
      <c r="G2385" t="str">
        <f>VLOOKUP(F2385,Carrier_Category!A:B,2,0)</f>
        <v>Commuter</v>
      </c>
      <c r="H2385" s="16">
        <v>188</v>
      </c>
      <c r="I2385" s="17">
        <f t="shared" si="115"/>
        <v>21</v>
      </c>
      <c r="J2385" s="16">
        <v>5645</v>
      </c>
      <c r="K2385" s="18">
        <f t="shared" si="114"/>
        <v>30.026595744680851</v>
      </c>
    </row>
    <row r="2386" spans="1:11" x14ac:dyDescent="0.3">
      <c r="A2386" s="14">
        <v>2025</v>
      </c>
      <c r="B2386" s="14">
        <f t="shared" si="113"/>
        <v>20</v>
      </c>
      <c r="C2386" s="9">
        <v>45789</v>
      </c>
      <c r="D2386" s="9">
        <v>45793</v>
      </c>
      <c r="E2386" s="14">
        <f>VLOOKUP(F2386,CarrierID!A:B,2,0)</f>
        <v>12</v>
      </c>
      <c r="F2386" s="15" t="s">
        <v>25</v>
      </c>
      <c r="G2386" t="str">
        <f>VLOOKUP(F2386,Carrier_Category!A:B,2,0)</f>
        <v>Commuter</v>
      </c>
      <c r="H2386" s="16">
        <v>22</v>
      </c>
      <c r="I2386" s="17">
        <f t="shared" si="115"/>
        <v>188</v>
      </c>
      <c r="J2386" s="16">
        <v>685</v>
      </c>
      <c r="K2386" s="18">
        <f t="shared" si="114"/>
        <v>31.136363636363637</v>
      </c>
    </row>
    <row r="2387" spans="1:11" x14ac:dyDescent="0.3">
      <c r="A2387" s="14">
        <v>2025</v>
      </c>
      <c r="B2387" s="14">
        <f t="shared" si="113"/>
        <v>20</v>
      </c>
      <c r="C2387" s="9">
        <v>45789</v>
      </c>
      <c r="D2387" s="9">
        <v>45793</v>
      </c>
      <c r="E2387" s="14">
        <f>VLOOKUP(F2387,CarrierID!A:B,2,0)</f>
        <v>10</v>
      </c>
      <c r="F2387" s="15" t="s">
        <v>8</v>
      </c>
      <c r="G2387" t="str">
        <f>VLOOKUP(F2387,Carrier_Category!A:B,2,0)</f>
        <v>Intercity</v>
      </c>
      <c r="H2387" s="16">
        <v>44</v>
      </c>
      <c r="I2387" s="17">
        <f t="shared" si="115"/>
        <v>23</v>
      </c>
      <c r="J2387" s="16">
        <v>1430</v>
      </c>
      <c r="K2387" s="18">
        <f t="shared" si="114"/>
        <v>32.5</v>
      </c>
    </row>
    <row r="2388" spans="1:11" x14ac:dyDescent="0.3">
      <c r="A2388" s="14">
        <v>2025</v>
      </c>
      <c r="B2388" s="14">
        <f t="shared" si="113"/>
        <v>20</v>
      </c>
      <c r="C2388" s="9">
        <v>45789</v>
      </c>
      <c r="D2388" s="9">
        <v>45793</v>
      </c>
      <c r="E2388" s="14">
        <f>VLOOKUP(F2388,CarrierID!A:B,2,0)</f>
        <v>6</v>
      </c>
      <c r="F2388" s="15" t="s">
        <v>9</v>
      </c>
      <c r="G2388" t="str">
        <f>VLOOKUP(F2388,Carrier_Category!A:B,2,0)</f>
        <v>Commuter</v>
      </c>
      <c r="H2388" s="16">
        <v>77</v>
      </c>
      <c r="I2388" s="17">
        <f t="shared" si="115"/>
        <v>44</v>
      </c>
      <c r="J2388" s="16">
        <v>1586</v>
      </c>
      <c r="K2388" s="18">
        <f t="shared" si="114"/>
        <v>20.597402597402599</v>
      </c>
    </row>
    <row r="2389" spans="1:11" x14ac:dyDescent="0.3">
      <c r="A2389" s="14">
        <v>2025</v>
      </c>
      <c r="B2389" s="14">
        <f t="shared" si="113"/>
        <v>21</v>
      </c>
      <c r="C2389" s="9">
        <v>45796</v>
      </c>
      <c r="D2389" s="9">
        <v>45800</v>
      </c>
      <c r="E2389" s="14">
        <f>VLOOKUP(F2389,CarrierID!A:B,2,0)</f>
        <v>1</v>
      </c>
      <c r="F2389" s="15" t="s">
        <v>0</v>
      </c>
      <c r="G2389" t="str">
        <f>VLOOKUP(F2389,Carrier_Category!A:B,2,0)</f>
        <v>Commuter</v>
      </c>
      <c r="H2389" s="16">
        <v>46</v>
      </c>
      <c r="I2389" s="17">
        <f t="shared" si="115"/>
        <v>87</v>
      </c>
      <c r="J2389" s="16">
        <v>1551</v>
      </c>
      <c r="K2389" s="18">
        <f t="shared" si="114"/>
        <v>33.717391304347828</v>
      </c>
    </row>
    <row r="2390" spans="1:11" x14ac:dyDescent="0.3">
      <c r="A2390" s="14">
        <v>2025</v>
      </c>
      <c r="B2390" s="14">
        <f t="shared" si="113"/>
        <v>21</v>
      </c>
      <c r="C2390" s="9">
        <v>45796</v>
      </c>
      <c r="D2390" s="9">
        <v>45800</v>
      </c>
      <c r="E2390" s="14">
        <f>VLOOKUP(F2390,CarrierID!A:B,2,0)</f>
        <v>5</v>
      </c>
      <c r="F2390" s="15" t="s">
        <v>1</v>
      </c>
      <c r="G2390" t="str">
        <f>VLOOKUP(F2390,Carrier_Category!A:B,2,0)</f>
        <v>Intercity</v>
      </c>
      <c r="H2390" s="16">
        <v>63</v>
      </c>
      <c r="I2390" s="17">
        <f t="shared" si="115"/>
        <v>46</v>
      </c>
      <c r="J2390" s="16">
        <v>1821</v>
      </c>
      <c r="K2390" s="18">
        <f t="shared" si="114"/>
        <v>28.904761904761905</v>
      </c>
    </row>
    <row r="2391" spans="1:11" x14ac:dyDescent="0.3">
      <c r="A2391" s="14">
        <v>2025</v>
      </c>
      <c r="B2391" s="14">
        <f t="shared" si="113"/>
        <v>21</v>
      </c>
      <c r="C2391" s="9">
        <v>45796</v>
      </c>
      <c r="D2391" s="9">
        <v>45800</v>
      </c>
      <c r="E2391" s="14">
        <f>VLOOKUP(F2391,CarrierID!A:B,2,0)</f>
        <v>8</v>
      </c>
      <c r="F2391" s="15" t="s">
        <v>2</v>
      </c>
      <c r="G2391" t="str">
        <f>VLOOKUP(F2391,Carrier_Category!A:B,2,0)</f>
        <v>Commuter</v>
      </c>
      <c r="H2391" s="16">
        <v>18</v>
      </c>
      <c r="I2391" s="17">
        <f t="shared" si="115"/>
        <v>62</v>
      </c>
      <c r="J2391" s="16">
        <v>745</v>
      </c>
      <c r="K2391" s="18">
        <f t="shared" si="114"/>
        <v>41.388888888888886</v>
      </c>
    </row>
    <row r="2392" spans="1:11" x14ac:dyDescent="0.3">
      <c r="A2392" s="14">
        <v>2025</v>
      </c>
      <c r="B2392" s="14">
        <f t="shared" si="113"/>
        <v>21</v>
      </c>
      <c r="C2392" s="9">
        <v>45796</v>
      </c>
      <c r="D2392" s="9">
        <v>45800</v>
      </c>
      <c r="E2392" s="14">
        <f>VLOOKUP(F2392,CarrierID!A:B,2,0)</f>
        <v>9</v>
      </c>
      <c r="F2392" s="15" t="s">
        <v>3</v>
      </c>
      <c r="G2392" t="str">
        <f>VLOOKUP(F2392,Carrier_Category!A:B,2,0)</f>
        <v>NJT</v>
      </c>
      <c r="H2392" s="16">
        <v>2446</v>
      </c>
      <c r="I2392" s="17">
        <f t="shared" si="115"/>
        <v>18</v>
      </c>
      <c r="J2392" s="16">
        <v>86789</v>
      </c>
      <c r="K2392" s="18">
        <f t="shared" si="114"/>
        <v>35.482011447260831</v>
      </c>
    </row>
    <row r="2393" spans="1:11" x14ac:dyDescent="0.3">
      <c r="A2393" s="14">
        <v>2025</v>
      </c>
      <c r="B2393" s="14">
        <f t="shared" si="113"/>
        <v>21</v>
      </c>
      <c r="C2393" s="9">
        <v>45796</v>
      </c>
      <c r="D2393" s="9">
        <v>45800</v>
      </c>
      <c r="E2393" s="14">
        <f>VLOOKUP(F2393,CarrierID!A:B,2,0)</f>
        <v>7</v>
      </c>
      <c r="F2393" s="15" t="s">
        <v>4</v>
      </c>
      <c r="G2393" t="str">
        <f>VLOOKUP(F2393,Carrier_Category!A:B,2,0)</f>
        <v>Commuter</v>
      </c>
      <c r="H2393" s="16">
        <v>42</v>
      </c>
      <c r="I2393" s="17">
        <f t="shared" si="115"/>
        <v>2418</v>
      </c>
      <c r="J2393" s="16">
        <v>1498</v>
      </c>
      <c r="K2393" s="18">
        <f t="shared" si="114"/>
        <v>35.666666666666664</v>
      </c>
    </row>
    <row r="2394" spans="1:11" x14ac:dyDescent="0.3">
      <c r="A2394" s="14">
        <v>2025</v>
      </c>
      <c r="B2394" s="14">
        <f t="shared" si="113"/>
        <v>21</v>
      </c>
      <c r="C2394" s="9">
        <v>45796</v>
      </c>
      <c r="D2394" s="9">
        <v>45800</v>
      </c>
      <c r="E2394" s="14">
        <f>VLOOKUP(F2394,CarrierID!A:B,2,0)</f>
        <v>11</v>
      </c>
      <c r="F2394" s="15" t="s">
        <v>5</v>
      </c>
      <c r="G2394" t="str">
        <f>VLOOKUP(F2394,Carrier_Category!A:B,2,0)</f>
        <v>Intercity</v>
      </c>
      <c r="H2394" s="16">
        <v>21</v>
      </c>
      <c r="I2394" s="17">
        <f t="shared" si="115"/>
        <v>42</v>
      </c>
      <c r="J2394" s="16">
        <v>425</v>
      </c>
      <c r="K2394" s="18">
        <f t="shared" si="114"/>
        <v>20.238095238095237</v>
      </c>
    </row>
    <row r="2395" spans="1:11" x14ac:dyDescent="0.3">
      <c r="A2395" s="14">
        <v>2025</v>
      </c>
      <c r="B2395" s="14">
        <f t="shared" si="113"/>
        <v>21</v>
      </c>
      <c r="C2395" s="9">
        <v>45796</v>
      </c>
      <c r="D2395" s="9">
        <v>45800</v>
      </c>
      <c r="E2395" s="14">
        <f>VLOOKUP(F2395,CarrierID!A:B,2,0)</f>
        <v>3</v>
      </c>
      <c r="F2395" s="15" t="s">
        <v>6</v>
      </c>
      <c r="G2395" t="str">
        <f>VLOOKUP(F2395,Carrier_Category!A:B,2,0)</f>
        <v>Commuter</v>
      </c>
      <c r="H2395" s="16">
        <v>188</v>
      </c>
      <c r="I2395" s="17">
        <f t="shared" si="115"/>
        <v>21</v>
      </c>
      <c r="J2395" s="16">
        <v>5645</v>
      </c>
      <c r="K2395" s="18">
        <f t="shared" si="114"/>
        <v>30.026595744680851</v>
      </c>
    </row>
    <row r="2396" spans="1:11" x14ac:dyDescent="0.3">
      <c r="A2396" s="14">
        <v>2025</v>
      </c>
      <c r="B2396" s="14">
        <f t="shared" si="113"/>
        <v>21</v>
      </c>
      <c r="C2396" s="9">
        <v>45796</v>
      </c>
      <c r="D2396" s="9">
        <v>45800</v>
      </c>
      <c r="E2396" s="14">
        <f>VLOOKUP(F2396,CarrierID!A:B,2,0)</f>
        <v>12</v>
      </c>
      <c r="F2396" s="15" t="s">
        <v>25</v>
      </c>
      <c r="G2396" t="str">
        <f>VLOOKUP(F2396,Carrier_Category!A:B,2,0)</f>
        <v>Commuter</v>
      </c>
      <c r="H2396" s="16">
        <v>22</v>
      </c>
      <c r="I2396" s="17">
        <f t="shared" si="115"/>
        <v>188</v>
      </c>
      <c r="J2396" s="16">
        <v>734</v>
      </c>
      <c r="K2396" s="18">
        <f t="shared" si="114"/>
        <v>33.363636363636367</v>
      </c>
    </row>
    <row r="2397" spans="1:11" x14ac:dyDescent="0.3">
      <c r="A2397" s="14">
        <v>2025</v>
      </c>
      <c r="B2397" s="14">
        <f t="shared" si="113"/>
        <v>21</v>
      </c>
      <c r="C2397" s="9">
        <v>45796</v>
      </c>
      <c r="D2397" s="9">
        <v>45800</v>
      </c>
      <c r="E2397" s="14">
        <f>VLOOKUP(F2397,CarrierID!A:B,2,0)</f>
        <v>10</v>
      </c>
      <c r="F2397" s="15" t="s">
        <v>8</v>
      </c>
      <c r="G2397" t="str">
        <f>VLOOKUP(F2397,Carrier_Category!A:B,2,0)</f>
        <v>Intercity</v>
      </c>
      <c r="H2397" s="16">
        <v>44</v>
      </c>
      <c r="I2397" s="17">
        <f t="shared" si="115"/>
        <v>22</v>
      </c>
      <c r="J2397" s="16">
        <v>1430</v>
      </c>
      <c r="K2397" s="18">
        <f t="shared" si="114"/>
        <v>32.5</v>
      </c>
    </row>
    <row r="2398" spans="1:11" x14ac:dyDescent="0.3">
      <c r="A2398" s="14">
        <v>2025</v>
      </c>
      <c r="B2398" s="14">
        <f t="shared" si="113"/>
        <v>21</v>
      </c>
      <c r="C2398" s="9">
        <v>45796</v>
      </c>
      <c r="D2398" s="9">
        <v>45800</v>
      </c>
      <c r="E2398" s="14">
        <f>VLOOKUP(F2398,CarrierID!A:B,2,0)</f>
        <v>6</v>
      </c>
      <c r="F2398" s="15" t="s">
        <v>9</v>
      </c>
      <c r="G2398" t="str">
        <f>VLOOKUP(F2398,Carrier_Category!A:B,2,0)</f>
        <v>Commuter</v>
      </c>
      <c r="H2398" s="16">
        <v>87</v>
      </c>
      <c r="I2398" s="17">
        <f t="shared" si="115"/>
        <v>44</v>
      </c>
      <c r="J2398" s="16">
        <v>1735</v>
      </c>
      <c r="K2398" s="18">
        <f t="shared" si="114"/>
        <v>19.942528735632184</v>
      </c>
    </row>
    <row r="2399" spans="1:11" x14ac:dyDescent="0.3">
      <c r="A2399" s="14">
        <v>2025</v>
      </c>
      <c r="B2399" s="14">
        <f t="shared" si="113"/>
        <v>22</v>
      </c>
      <c r="C2399" s="9">
        <v>45803</v>
      </c>
      <c r="D2399" s="9">
        <v>45807</v>
      </c>
      <c r="E2399" s="14">
        <f>VLOOKUP(F2399,CarrierID!A:B,2,0)</f>
        <v>1</v>
      </c>
      <c r="F2399" s="15" t="s">
        <v>0</v>
      </c>
      <c r="G2399" t="str">
        <f>VLOOKUP(F2399,Carrier_Category!A:B,2,0)</f>
        <v>Commuter</v>
      </c>
      <c r="H2399" s="16">
        <v>43</v>
      </c>
      <c r="I2399" s="17">
        <f t="shared" si="115"/>
        <v>77</v>
      </c>
      <c r="J2399" s="16">
        <v>1491</v>
      </c>
      <c r="K2399" s="18">
        <f t="shared" si="114"/>
        <v>34.674418604651166</v>
      </c>
    </row>
    <row r="2400" spans="1:11" x14ac:dyDescent="0.3">
      <c r="A2400" s="14">
        <v>2025</v>
      </c>
      <c r="B2400" s="14">
        <f t="shared" si="113"/>
        <v>22</v>
      </c>
      <c r="C2400" s="9">
        <v>45803</v>
      </c>
      <c r="D2400" s="9">
        <v>45807</v>
      </c>
      <c r="E2400" s="14">
        <f>VLOOKUP(F2400,CarrierID!A:B,2,0)</f>
        <v>5</v>
      </c>
      <c r="F2400" s="15" t="s">
        <v>1</v>
      </c>
      <c r="G2400" t="str">
        <f>VLOOKUP(F2400,Carrier_Category!A:B,2,0)</f>
        <v>Intercity</v>
      </c>
      <c r="H2400" s="16">
        <v>63</v>
      </c>
      <c r="I2400" s="17">
        <f t="shared" si="115"/>
        <v>46</v>
      </c>
      <c r="J2400" s="16">
        <v>1652</v>
      </c>
      <c r="K2400" s="18">
        <f t="shared" si="114"/>
        <v>26.222222222222221</v>
      </c>
    </row>
    <row r="2401" spans="1:11" x14ac:dyDescent="0.3">
      <c r="A2401" s="14">
        <v>2025</v>
      </c>
      <c r="B2401" s="14">
        <f t="shared" si="113"/>
        <v>22</v>
      </c>
      <c r="C2401" s="9">
        <v>45803</v>
      </c>
      <c r="D2401" s="9">
        <v>45807</v>
      </c>
      <c r="E2401" s="14">
        <f>VLOOKUP(F2401,CarrierID!A:B,2,0)</f>
        <v>8</v>
      </c>
      <c r="F2401" s="15" t="s">
        <v>2</v>
      </c>
      <c r="G2401" t="str">
        <f>VLOOKUP(F2401,Carrier_Category!A:B,2,0)</f>
        <v>Commuter</v>
      </c>
      <c r="H2401" s="16">
        <v>16</v>
      </c>
      <c r="I2401" s="17">
        <f t="shared" si="115"/>
        <v>63</v>
      </c>
      <c r="J2401" s="16">
        <v>655</v>
      </c>
      <c r="K2401" s="18">
        <f t="shared" si="114"/>
        <v>40.9375</v>
      </c>
    </row>
    <row r="2402" spans="1:11" x14ac:dyDescent="0.3">
      <c r="A2402" s="14">
        <v>2025</v>
      </c>
      <c r="B2402" s="14">
        <f t="shared" si="113"/>
        <v>22</v>
      </c>
      <c r="C2402" s="9">
        <v>45803</v>
      </c>
      <c r="D2402" s="9">
        <v>45807</v>
      </c>
      <c r="E2402" s="14">
        <f>VLOOKUP(F2402,CarrierID!A:B,2,0)</f>
        <v>9</v>
      </c>
      <c r="F2402" s="15" t="s">
        <v>3</v>
      </c>
      <c r="G2402" t="str">
        <f>VLOOKUP(F2402,Carrier_Category!A:B,2,0)</f>
        <v>NJT</v>
      </c>
      <c r="H2402" s="16">
        <v>2477</v>
      </c>
      <c r="I2402" s="17">
        <f t="shared" si="115"/>
        <v>18</v>
      </c>
      <c r="J2402" s="16">
        <v>89842</v>
      </c>
      <c r="K2402" s="18">
        <f t="shared" si="114"/>
        <v>36.270488494146143</v>
      </c>
    </row>
    <row r="2403" spans="1:11" x14ac:dyDescent="0.3">
      <c r="A2403" s="14">
        <v>2025</v>
      </c>
      <c r="B2403" s="14">
        <f t="shared" si="113"/>
        <v>22</v>
      </c>
      <c r="C2403" s="9">
        <v>45803</v>
      </c>
      <c r="D2403" s="9">
        <v>45807</v>
      </c>
      <c r="E2403" s="14">
        <f>VLOOKUP(F2403,CarrierID!A:B,2,0)</f>
        <v>7</v>
      </c>
      <c r="F2403" s="15" t="s">
        <v>4</v>
      </c>
      <c r="G2403" t="str">
        <f>VLOOKUP(F2403,Carrier_Category!A:B,2,0)</f>
        <v>Commuter</v>
      </c>
      <c r="H2403" s="16">
        <v>36</v>
      </c>
      <c r="I2403" s="17">
        <f t="shared" si="115"/>
        <v>2446</v>
      </c>
      <c r="J2403" s="16">
        <v>1175</v>
      </c>
      <c r="K2403" s="18">
        <f t="shared" si="114"/>
        <v>32.638888888888886</v>
      </c>
    </row>
    <row r="2404" spans="1:11" x14ac:dyDescent="0.3">
      <c r="A2404" s="14">
        <v>2025</v>
      </c>
      <c r="B2404" s="14">
        <f t="shared" si="113"/>
        <v>22</v>
      </c>
      <c r="C2404" s="9">
        <v>45803</v>
      </c>
      <c r="D2404" s="9">
        <v>45807</v>
      </c>
      <c r="E2404" s="14">
        <f>VLOOKUP(F2404,CarrierID!A:B,2,0)</f>
        <v>11</v>
      </c>
      <c r="F2404" s="15" t="s">
        <v>5</v>
      </c>
      <c r="G2404" t="str">
        <f>VLOOKUP(F2404,Carrier_Category!A:B,2,0)</f>
        <v>Intercity</v>
      </c>
      <c r="H2404" s="16">
        <v>21</v>
      </c>
      <c r="I2404" s="17">
        <f t="shared" si="115"/>
        <v>42</v>
      </c>
      <c r="J2404" s="16">
        <v>425</v>
      </c>
      <c r="K2404" s="18">
        <f t="shared" si="114"/>
        <v>20.238095238095237</v>
      </c>
    </row>
    <row r="2405" spans="1:11" x14ac:dyDescent="0.3">
      <c r="A2405" s="14">
        <v>2025</v>
      </c>
      <c r="B2405" s="14">
        <f t="shared" si="113"/>
        <v>22</v>
      </c>
      <c r="C2405" s="9">
        <v>45803</v>
      </c>
      <c r="D2405" s="9">
        <v>45807</v>
      </c>
      <c r="E2405" s="14">
        <f>VLOOKUP(F2405,CarrierID!A:B,2,0)</f>
        <v>3</v>
      </c>
      <c r="F2405" s="15" t="s">
        <v>6</v>
      </c>
      <c r="G2405" t="str">
        <f>VLOOKUP(F2405,Carrier_Category!A:B,2,0)</f>
        <v>Commuter</v>
      </c>
      <c r="H2405" s="16">
        <v>188</v>
      </c>
      <c r="I2405" s="17">
        <f t="shared" si="115"/>
        <v>21</v>
      </c>
      <c r="J2405" s="16">
        <v>5645</v>
      </c>
      <c r="K2405" s="18">
        <f t="shared" si="114"/>
        <v>30.026595744680851</v>
      </c>
    </row>
    <row r="2406" spans="1:11" x14ac:dyDescent="0.3">
      <c r="A2406" s="14">
        <v>2025</v>
      </c>
      <c r="B2406" s="14">
        <f t="shared" si="113"/>
        <v>22</v>
      </c>
      <c r="C2406" s="9">
        <v>45803</v>
      </c>
      <c r="D2406" s="9">
        <v>45807</v>
      </c>
      <c r="E2406" s="14">
        <f>VLOOKUP(F2406,CarrierID!A:B,2,0)</f>
        <v>12</v>
      </c>
      <c r="F2406" s="15" t="s">
        <v>25</v>
      </c>
      <c r="G2406" t="str">
        <f>VLOOKUP(F2406,Carrier_Category!A:B,2,0)</f>
        <v>Commuter</v>
      </c>
      <c r="H2406" s="16">
        <v>20</v>
      </c>
      <c r="I2406" s="17">
        <f t="shared" si="115"/>
        <v>188</v>
      </c>
      <c r="J2406" s="16">
        <v>621</v>
      </c>
      <c r="K2406" s="18">
        <f t="shared" si="114"/>
        <v>31.05</v>
      </c>
    </row>
    <row r="2407" spans="1:11" x14ac:dyDescent="0.3">
      <c r="A2407" s="14">
        <v>2025</v>
      </c>
      <c r="B2407" s="14">
        <f t="shared" si="113"/>
        <v>22</v>
      </c>
      <c r="C2407" s="9">
        <v>45803</v>
      </c>
      <c r="D2407" s="9">
        <v>45807</v>
      </c>
      <c r="E2407" s="14">
        <f>VLOOKUP(F2407,CarrierID!A:B,2,0)</f>
        <v>10</v>
      </c>
      <c r="F2407" s="15" t="s">
        <v>8</v>
      </c>
      <c r="G2407" t="str">
        <f>VLOOKUP(F2407,Carrier_Category!A:B,2,0)</f>
        <v>Intercity</v>
      </c>
      <c r="H2407" s="16">
        <v>44</v>
      </c>
      <c r="I2407" s="17">
        <f t="shared" si="115"/>
        <v>22</v>
      </c>
      <c r="J2407" s="16">
        <v>1430</v>
      </c>
      <c r="K2407" s="18">
        <f t="shared" si="114"/>
        <v>32.5</v>
      </c>
    </row>
    <row r="2408" spans="1:11" x14ac:dyDescent="0.3">
      <c r="A2408" s="14">
        <v>2025</v>
      </c>
      <c r="B2408" s="14">
        <f t="shared" si="113"/>
        <v>22</v>
      </c>
      <c r="C2408" s="9">
        <v>45803</v>
      </c>
      <c r="D2408" s="9">
        <v>45807</v>
      </c>
      <c r="E2408" s="14">
        <f>VLOOKUP(F2408,CarrierID!A:B,2,0)</f>
        <v>6</v>
      </c>
      <c r="F2408" s="15" t="s">
        <v>9</v>
      </c>
      <c r="G2408" t="str">
        <f>VLOOKUP(F2408,Carrier_Category!A:B,2,0)</f>
        <v>Commuter</v>
      </c>
      <c r="H2408" s="16">
        <v>77</v>
      </c>
      <c r="I2408" s="17">
        <f t="shared" si="115"/>
        <v>44</v>
      </c>
      <c r="J2408" s="16">
        <v>1735</v>
      </c>
      <c r="K2408" s="18">
        <f t="shared" si="114"/>
        <v>22.532467532467532</v>
      </c>
    </row>
    <row r="2409" spans="1:11" x14ac:dyDescent="0.3">
      <c r="A2409" s="14">
        <v>2025</v>
      </c>
      <c r="B2409" s="14">
        <f t="shared" si="113"/>
        <v>23</v>
      </c>
      <c r="C2409" s="9">
        <v>45810</v>
      </c>
      <c r="D2409" s="9">
        <v>45814</v>
      </c>
      <c r="E2409" s="14">
        <f>VLOOKUP(F2409,CarrierID!A:B,2,0)</f>
        <v>1</v>
      </c>
      <c r="F2409" s="15" t="s">
        <v>0</v>
      </c>
      <c r="G2409" t="str">
        <f>VLOOKUP(F2409,Carrier_Category!A:B,2,0)</f>
        <v>Commuter</v>
      </c>
      <c r="H2409" s="16">
        <v>48</v>
      </c>
      <c r="I2409" s="17">
        <f t="shared" si="115"/>
        <v>87</v>
      </c>
      <c r="J2409" s="16">
        <v>1638</v>
      </c>
      <c r="K2409" s="18">
        <f t="shared" si="114"/>
        <v>34.125</v>
      </c>
    </row>
    <row r="2410" spans="1:11" x14ac:dyDescent="0.3">
      <c r="A2410" s="14">
        <v>2025</v>
      </c>
      <c r="B2410" s="14">
        <f t="shared" si="113"/>
        <v>23</v>
      </c>
      <c r="C2410" s="9">
        <v>45810</v>
      </c>
      <c r="D2410" s="9">
        <v>45814</v>
      </c>
      <c r="E2410" s="14">
        <f>VLOOKUP(F2410,CarrierID!A:B,2,0)</f>
        <v>5</v>
      </c>
      <c r="F2410" s="15" t="s">
        <v>1</v>
      </c>
      <c r="G2410" t="str">
        <f>VLOOKUP(F2410,Carrier_Category!A:B,2,0)</f>
        <v>Intercity</v>
      </c>
      <c r="H2410" s="16">
        <v>63</v>
      </c>
      <c r="I2410" s="17">
        <f t="shared" si="115"/>
        <v>43</v>
      </c>
      <c r="J2410" s="16">
        <v>1439</v>
      </c>
      <c r="K2410" s="18">
        <f t="shared" si="114"/>
        <v>22.841269841269842</v>
      </c>
    </row>
    <row r="2411" spans="1:11" x14ac:dyDescent="0.3">
      <c r="A2411" s="14">
        <v>2025</v>
      </c>
      <c r="B2411" s="14">
        <f t="shared" si="113"/>
        <v>23</v>
      </c>
      <c r="C2411" s="9">
        <v>45810</v>
      </c>
      <c r="D2411" s="9">
        <v>45814</v>
      </c>
      <c r="E2411" s="14">
        <f>VLOOKUP(F2411,CarrierID!A:B,2,0)</f>
        <v>8</v>
      </c>
      <c r="F2411" s="15" t="s">
        <v>2</v>
      </c>
      <c r="G2411" t="str">
        <f>VLOOKUP(F2411,Carrier_Category!A:B,2,0)</f>
        <v>Commuter</v>
      </c>
      <c r="H2411" s="16">
        <v>18</v>
      </c>
      <c r="I2411" s="17">
        <f t="shared" si="115"/>
        <v>63</v>
      </c>
      <c r="J2411" s="16">
        <v>741</v>
      </c>
      <c r="K2411" s="18">
        <f t="shared" si="114"/>
        <v>41.166666666666664</v>
      </c>
    </row>
    <row r="2412" spans="1:11" x14ac:dyDescent="0.3">
      <c r="A2412" s="14">
        <v>2025</v>
      </c>
      <c r="B2412" s="14">
        <f t="shared" si="113"/>
        <v>23</v>
      </c>
      <c r="C2412" s="9">
        <v>45810</v>
      </c>
      <c r="D2412" s="9">
        <v>45814</v>
      </c>
      <c r="E2412" s="14">
        <f>VLOOKUP(F2412,CarrierID!A:B,2,0)</f>
        <v>9</v>
      </c>
      <c r="F2412" s="15" t="s">
        <v>3</v>
      </c>
      <c r="G2412" t="str">
        <f>VLOOKUP(F2412,Carrier_Category!A:B,2,0)</f>
        <v>NJT</v>
      </c>
      <c r="H2412" s="16">
        <v>2418</v>
      </c>
      <c r="I2412" s="17">
        <f t="shared" si="115"/>
        <v>16</v>
      </c>
      <c r="J2412" s="16">
        <v>87711</v>
      </c>
      <c r="K2412" s="18">
        <f t="shared" si="114"/>
        <v>36.274193548387096</v>
      </c>
    </row>
    <row r="2413" spans="1:11" x14ac:dyDescent="0.3">
      <c r="A2413" s="14">
        <v>2025</v>
      </c>
      <c r="B2413" s="14">
        <f t="shared" si="113"/>
        <v>23</v>
      </c>
      <c r="C2413" s="9">
        <v>45810</v>
      </c>
      <c r="D2413" s="9">
        <v>45814</v>
      </c>
      <c r="E2413" s="14">
        <f>VLOOKUP(F2413,CarrierID!A:B,2,0)</f>
        <v>7</v>
      </c>
      <c r="F2413" s="15" t="s">
        <v>4</v>
      </c>
      <c r="G2413" t="str">
        <f>VLOOKUP(F2413,Carrier_Category!A:B,2,0)</f>
        <v>Commuter</v>
      </c>
      <c r="H2413" s="16">
        <v>42</v>
      </c>
      <c r="I2413" s="17">
        <f t="shared" si="115"/>
        <v>2477</v>
      </c>
      <c r="J2413" s="16">
        <v>1467</v>
      </c>
      <c r="K2413" s="18">
        <f t="shared" si="114"/>
        <v>34.928571428571431</v>
      </c>
    </row>
    <row r="2414" spans="1:11" x14ac:dyDescent="0.3">
      <c r="A2414" s="14">
        <v>2025</v>
      </c>
      <c r="B2414" s="14">
        <f t="shared" si="113"/>
        <v>23</v>
      </c>
      <c r="C2414" s="9">
        <v>45810</v>
      </c>
      <c r="D2414" s="9">
        <v>45814</v>
      </c>
      <c r="E2414" s="14">
        <f>VLOOKUP(F2414,CarrierID!A:B,2,0)</f>
        <v>11</v>
      </c>
      <c r="F2414" s="15" t="s">
        <v>5</v>
      </c>
      <c r="G2414" t="str">
        <f>VLOOKUP(F2414,Carrier_Category!A:B,2,0)</f>
        <v>Intercity</v>
      </c>
      <c r="H2414" s="16">
        <v>21</v>
      </c>
      <c r="I2414" s="17">
        <f t="shared" si="115"/>
        <v>36</v>
      </c>
      <c r="J2414" s="16">
        <v>425</v>
      </c>
      <c r="K2414" s="18">
        <f t="shared" si="114"/>
        <v>20.238095238095237</v>
      </c>
    </row>
    <row r="2415" spans="1:11" x14ac:dyDescent="0.3">
      <c r="A2415" s="14">
        <v>2025</v>
      </c>
      <c r="B2415" s="14">
        <f t="shared" si="113"/>
        <v>23</v>
      </c>
      <c r="C2415" s="9">
        <v>45810</v>
      </c>
      <c r="D2415" s="9">
        <v>45814</v>
      </c>
      <c r="E2415" s="14">
        <f>VLOOKUP(F2415,CarrierID!A:B,2,0)</f>
        <v>3</v>
      </c>
      <c r="F2415" s="15" t="s">
        <v>6</v>
      </c>
      <c r="G2415" t="str">
        <f>VLOOKUP(F2415,Carrier_Category!A:B,2,0)</f>
        <v>Commuter</v>
      </c>
      <c r="H2415" s="16">
        <v>206</v>
      </c>
      <c r="I2415" s="17">
        <f t="shared" si="115"/>
        <v>21</v>
      </c>
      <c r="J2415" s="16">
        <v>6008</v>
      </c>
      <c r="K2415" s="18">
        <f t="shared" si="114"/>
        <v>29.16504854368932</v>
      </c>
    </row>
    <row r="2416" spans="1:11" x14ac:dyDescent="0.3">
      <c r="A2416" s="14">
        <v>2025</v>
      </c>
      <c r="B2416" s="14">
        <f t="shared" si="113"/>
        <v>23</v>
      </c>
      <c r="C2416" s="9">
        <v>45810</v>
      </c>
      <c r="D2416" s="9">
        <v>45814</v>
      </c>
      <c r="E2416" s="14">
        <f>VLOOKUP(F2416,CarrierID!A:B,2,0)</f>
        <v>12</v>
      </c>
      <c r="F2416" s="15" t="s">
        <v>25</v>
      </c>
      <c r="G2416" t="str">
        <f>VLOOKUP(F2416,Carrier_Category!A:B,2,0)</f>
        <v>Commuter</v>
      </c>
      <c r="H2416" s="16">
        <v>22</v>
      </c>
      <c r="I2416" s="17">
        <f t="shared" si="115"/>
        <v>188</v>
      </c>
      <c r="J2416" s="16">
        <v>726</v>
      </c>
      <c r="K2416" s="18">
        <f t="shared" si="114"/>
        <v>33</v>
      </c>
    </row>
    <row r="2417" spans="1:11" x14ac:dyDescent="0.3">
      <c r="A2417" s="14">
        <v>2025</v>
      </c>
      <c r="B2417" s="14">
        <f t="shared" si="113"/>
        <v>23</v>
      </c>
      <c r="C2417" s="9">
        <v>45810</v>
      </c>
      <c r="D2417" s="9">
        <v>45814</v>
      </c>
      <c r="E2417" s="14">
        <f>VLOOKUP(F2417,CarrierID!A:B,2,0)</f>
        <v>10</v>
      </c>
      <c r="F2417" s="15" t="s">
        <v>8</v>
      </c>
      <c r="G2417" t="str">
        <f>VLOOKUP(F2417,Carrier_Category!A:B,2,0)</f>
        <v>Intercity</v>
      </c>
      <c r="H2417" s="16">
        <v>44</v>
      </c>
      <c r="I2417" s="17">
        <f t="shared" si="115"/>
        <v>20</v>
      </c>
      <c r="J2417" s="16">
        <v>1430</v>
      </c>
      <c r="K2417" s="18">
        <f t="shared" si="114"/>
        <v>32.5</v>
      </c>
    </row>
    <row r="2418" spans="1:11" x14ac:dyDescent="0.3">
      <c r="A2418" s="14">
        <v>2025</v>
      </c>
      <c r="B2418" s="14">
        <f t="shared" si="113"/>
        <v>23</v>
      </c>
      <c r="C2418" s="9">
        <v>45810</v>
      </c>
      <c r="D2418" s="9">
        <v>45814</v>
      </c>
      <c r="E2418" s="14">
        <f>VLOOKUP(F2418,CarrierID!A:B,2,0)</f>
        <v>6</v>
      </c>
      <c r="F2418" s="15" t="s">
        <v>9</v>
      </c>
      <c r="G2418" t="str">
        <f>VLOOKUP(F2418,Carrier_Category!A:B,2,0)</f>
        <v>Commuter</v>
      </c>
      <c r="H2418" s="16">
        <v>87</v>
      </c>
      <c r="I2418" s="17">
        <f t="shared" si="115"/>
        <v>44</v>
      </c>
      <c r="J2418" s="16">
        <v>1873</v>
      </c>
      <c r="K2418" s="18">
        <f t="shared" si="114"/>
        <v>21.528735632183906</v>
      </c>
    </row>
    <row r="2419" spans="1:11" x14ac:dyDescent="0.3">
      <c r="A2419" s="14">
        <v>2025</v>
      </c>
      <c r="B2419" s="14">
        <f t="shared" si="113"/>
        <v>24</v>
      </c>
      <c r="C2419" s="9">
        <v>45817</v>
      </c>
      <c r="D2419" s="9">
        <v>45821</v>
      </c>
      <c r="E2419" s="14">
        <f>VLOOKUP(F2419,CarrierID!A:B,2,0)</f>
        <v>1</v>
      </c>
      <c r="F2419" s="15" t="s">
        <v>0</v>
      </c>
      <c r="G2419" t="str">
        <f>VLOOKUP(F2419,Carrier_Category!A:B,2,0)</f>
        <v>Commuter</v>
      </c>
      <c r="H2419" s="16">
        <v>46</v>
      </c>
      <c r="I2419" s="17">
        <f t="shared" si="115"/>
        <v>77</v>
      </c>
      <c r="J2419" s="16">
        <v>1527</v>
      </c>
      <c r="K2419" s="18">
        <f t="shared" si="114"/>
        <v>33.195652173913047</v>
      </c>
    </row>
    <row r="2420" spans="1:11" x14ac:dyDescent="0.3">
      <c r="A2420" s="14">
        <v>2025</v>
      </c>
      <c r="B2420" s="14">
        <f t="shared" si="113"/>
        <v>24</v>
      </c>
      <c r="C2420" s="9">
        <v>45817</v>
      </c>
      <c r="D2420" s="9">
        <v>45821</v>
      </c>
      <c r="E2420" s="14">
        <f>VLOOKUP(F2420,CarrierID!A:B,2,0)</f>
        <v>5</v>
      </c>
      <c r="F2420" s="15" t="s">
        <v>1</v>
      </c>
      <c r="G2420" t="str">
        <f>VLOOKUP(F2420,Carrier_Category!A:B,2,0)</f>
        <v>Intercity</v>
      </c>
      <c r="H2420" s="16">
        <v>63</v>
      </c>
      <c r="I2420" s="17">
        <f t="shared" si="115"/>
        <v>48</v>
      </c>
      <c r="J2420" s="16">
        <v>1439</v>
      </c>
      <c r="K2420" s="18">
        <f t="shared" si="114"/>
        <v>22.841269841269842</v>
      </c>
    </row>
    <row r="2421" spans="1:11" x14ac:dyDescent="0.3">
      <c r="A2421" s="14">
        <v>2025</v>
      </c>
      <c r="B2421" s="14">
        <f t="shared" si="113"/>
        <v>24</v>
      </c>
      <c r="C2421" s="9">
        <v>45817</v>
      </c>
      <c r="D2421" s="9">
        <v>45821</v>
      </c>
      <c r="E2421" s="14">
        <f>VLOOKUP(F2421,CarrierID!A:B,2,0)</f>
        <v>8</v>
      </c>
      <c r="F2421" s="15" t="s">
        <v>2</v>
      </c>
      <c r="G2421" t="str">
        <f>VLOOKUP(F2421,Carrier_Category!A:B,2,0)</f>
        <v>Commuter</v>
      </c>
      <c r="H2421" s="16">
        <v>18</v>
      </c>
      <c r="I2421" s="17">
        <f t="shared" si="115"/>
        <v>63</v>
      </c>
      <c r="J2421" s="16">
        <v>765</v>
      </c>
      <c r="K2421" s="18">
        <f t="shared" si="114"/>
        <v>42.5</v>
      </c>
    </row>
    <row r="2422" spans="1:11" x14ac:dyDescent="0.3">
      <c r="A2422" s="14">
        <v>2025</v>
      </c>
      <c r="B2422" s="14">
        <f t="shared" si="113"/>
        <v>24</v>
      </c>
      <c r="C2422" s="9">
        <v>45817</v>
      </c>
      <c r="D2422" s="9">
        <v>45821</v>
      </c>
      <c r="E2422" s="14">
        <f>VLOOKUP(F2422,CarrierID!A:B,2,0)</f>
        <v>9</v>
      </c>
      <c r="F2422" s="15" t="s">
        <v>3</v>
      </c>
      <c r="G2422" t="str">
        <f>VLOOKUP(F2422,Carrier_Category!A:B,2,0)</f>
        <v>NJT</v>
      </c>
      <c r="H2422" s="16">
        <v>2443</v>
      </c>
      <c r="I2422" s="17">
        <f t="shared" si="115"/>
        <v>18</v>
      </c>
      <c r="J2422" s="16">
        <v>90402</v>
      </c>
      <c r="K2422" s="18">
        <f t="shared" si="114"/>
        <v>37.004502660663121</v>
      </c>
    </row>
    <row r="2423" spans="1:11" x14ac:dyDescent="0.3">
      <c r="A2423" s="14">
        <v>2025</v>
      </c>
      <c r="B2423" s="14">
        <f t="shared" si="113"/>
        <v>24</v>
      </c>
      <c r="C2423" s="9">
        <v>45817</v>
      </c>
      <c r="D2423" s="9">
        <v>45821</v>
      </c>
      <c r="E2423" s="14">
        <f>VLOOKUP(F2423,CarrierID!A:B,2,0)</f>
        <v>7</v>
      </c>
      <c r="F2423" s="15" t="s">
        <v>4</v>
      </c>
      <c r="G2423" t="str">
        <f>VLOOKUP(F2423,Carrier_Category!A:B,2,0)</f>
        <v>Commuter</v>
      </c>
      <c r="H2423" s="16">
        <v>42</v>
      </c>
      <c r="I2423" s="17">
        <f t="shared" si="115"/>
        <v>2418</v>
      </c>
      <c r="J2423" s="16">
        <v>1497</v>
      </c>
      <c r="K2423" s="18">
        <f t="shared" si="114"/>
        <v>35.642857142857146</v>
      </c>
    </row>
    <row r="2424" spans="1:11" x14ac:dyDescent="0.3">
      <c r="A2424" s="14">
        <v>2025</v>
      </c>
      <c r="B2424" s="14">
        <f t="shared" si="113"/>
        <v>24</v>
      </c>
      <c r="C2424" s="9">
        <v>45817</v>
      </c>
      <c r="D2424" s="9">
        <v>45821</v>
      </c>
      <c r="E2424" s="14">
        <f>VLOOKUP(F2424,CarrierID!A:B,2,0)</f>
        <v>11</v>
      </c>
      <c r="F2424" s="15" t="s">
        <v>5</v>
      </c>
      <c r="G2424" t="str">
        <f>VLOOKUP(F2424,Carrier_Category!A:B,2,0)</f>
        <v>Intercity</v>
      </c>
      <c r="H2424" s="16">
        <v>21</v>
      </c>
      <c r="I2424" s="17">
        <f t="shared" si="115"/>
        <v>42</v>
      </c>
      <c r="J2424" s="16">
        <v>425</v>
      </c>
      <c r="K2424" s="18">
        <f t="shared" si="114"/>
        <v>20.238095238095237</v>
      </c>
    </row>
    <row r="2425" spans="1:11" x14ac:dyDescent="0.3">
      <c r="A2425" s="14">
        <v>2025</v>
      </c>
      <c r="B2425" s="14">
        <f t="shared" si="113"/>
        <v>24</v>
      </c>
      <c r="C2425" s="9">
        <v>45817</v>
      </c>
      <c r="D2425" s="9">
        <v>45821</v>
      </c>
      <c r="E2425" s="14">
        <f>VLOOKUP(F2425,CarrierID!A:B,2,0)</f>
        <v>3</v>
      </c>
      <c r="F2425" s="15" t="s">
        <v>6</v>
      </c>
      <c r="G2425" t="str">
        <f>VLOOKUP(F2425,Carrier_Category!A:B,2,0)</f>
        <v>Commuter</v>
      </c>
      <c r="H2425" s="16">
        <v>188</v>
      </c>
      <c r="I2425" s="17">
        <f t="shared" si="115"/>
        <v>21</v>
      </c>
      <c r="J2425" s="16">
        <v>5240</v>
      </c>
      <c r="K2425" s="18">
        <f t="shared" si="114"/>
        <v>27.872340425531913</v>
      </c>
    </row>
    <row r="2426" spans="1:11" x14ac:dyDescent="0.3">
      <c r="A2426" s="14">
        <v>2025</v>
      </c>
      <c r="B2426" s="14">
        <f t="shared" si="113"/>
        <v>24</v>
      </c>
      <c r="C2426" s="9">
        <v>45817</v>
      </c>
      <c r="D2426" s="9">
        <v>45821</v>
      </c>
      <c r="E2426" s="14">
        <f>VLOOKUP(F2426,CarrierID!A:B,2,0)</f>
        <v>12</v>
      </c>
      <c r="F2426" s="15" t="s">
        <v>25</v>
      </c>
      <c r="G2426" t="str">
        <f>VLOOKUP(F2426,Carrier_Category!A:B,2,0)</f>
        <v>Commuter</v>
      </c>
      <c r="H2426" s="16">
        <v>22</v>
      </c>
      <c r="I2426" s="17">
        <f t="shared" si="115"/>
        <v>206</v>
      </c>
      <c r="J2426" s="16">
        <v>685</v>
      </c>
      <c r="K2426" s="18">
        <f t="shared" si="114"/>
        <v>31.136363636363637</v>
      </c>
    </row>
    <row r="2427" spans="1:11" x14ac:dyDescent="0.3">
      <c r="A2427" s="14">
        <v>2025</v>
      </c>
      <c r="B2427" s="14">
        <f t="shared" si="113"/>
        <v>24</v>
      </c>
      <c r="C2427" s="9">
        <v>45817</v>
      </c>
      <c r="D2427" s="9">
        <v>45821</v>
      </c>
      <c r="E2427" s="14">
        <f>VLOOKUP(F2427,CarrierID!A:B,2,0)</f>
        <v>10</v>
      </c>
      <c r="F2427" s="15" t="s">
        <v>8</v>
      </c>
      <c r="G2427" t="str">
        <f>VLOOKUP(F2427,Carrier_Category!A:B,2,0)</f>
        <v>Intercity</v>
      </c>
      <c r="H2427" s="16">
        <v>44</v>
      </c>
      <c r="I2427" s="17">
        <f t="shared" si="115"/>
        <v>22</v>
      </c>
      <c r="J2427" s="16">
        <v>1430</v>
      </c>
      <c r="K2427" s="18">
        <f t="shared" si="114"/>
        <v>32.5</v>
      </c>
    </row>
    <row r="2428" spans="1:11" x14ac:dyDescent="0.3">
      <c r="A2428" s="14">
        <v>2025</v>
      </c>
      <c r="B2428" s="14">
        <f t="shared" si="113"/>
        <v>24</v>
      </c>
      <c r="C2428" s="9">
        <v>45817</v>
      </c>
      <c r="D2428" s="9">
        <v>45821</v>
      </c>
      <c r="E2428" s="14">
        <f>VLOOKUP(F2428,CarrierID!A:B,2,0)</f>
        <v>6</v>
      </c>
      <c r="F2428" s="15" t="s">
        <v>9</v>
      </c>
      <c r="G2428" t="str">
        <f>VLOOKUP(F2428,Carrier_Category!A:B,2,0)</f>
        <v>Commuter</v>
      </c>
      <c r="H2428" s="16">
        <v>84</v>
      </c>
      <c r="I2428" s="17">
        <f t="shared" si="115"/>
        <v>44</v>
      </c>
      <c r="J2428" s="16">
        <v>1755</v>
      </c>
      <c r="K2428" s="18">
        <f t="shared" si="114"/>
        <v>20.892857142857142</v>
      </c>
    </row>
    <row r="2429" spans="1:11" x14ac:dyDescent="0.3">
      <c r="A2429" s="14">
        <v>2025</v>
      </c>
      <c r="B2429" s="14">
        <f t="shared" si="113"/>
        <v>25</v>
      </c>
      <c r="C2429" s="9">
        <v>45824</v>
      </c>
      <c r="D2429" s="9">
        <v>45828</v>
      </c>
      <c r="E2429" s="14">
        <f>VLOOKUP(F2429,CarrierID!A:B,2,0)</f>
        <v>1</v>
      </c>
      <c r="F2429" s="15" t="s">
        <v>0</v>
      </c>
      <c r="G2429" t="str">
        <f>VLOOKUP(F2429,Carrier_Category!A:B,2,0)</f>
        <v>Commuter</v>
      </c>
      <c r="H2429" s="16">
        <v>41</v>
      </c>
      <c r="I2429" s="17">
        <f t="shared" si="115"/>
        <v>87</v>
      </c>
      <c r="J2429" s="16">
        <v>1283</v>
      </c>
      <c r="K2429" s="18">
        <f t="shared" si="114"/>
        <v>31.292682926829269</v>
      </c>
    </row>
    <row r="2430" spans="1:11" x14ac:dyDescent="0.3">
      <c r="A2430" s="14">
        <v>2025</v>
      </c>
      <c r="B2430" s="14">
        <f t="shared" si="113"/>
        <v>25</v>
      </c>
      <c r="C2430" s="9">
        <v>45824</v>
      </c>
      <c r="D2430" s="9">
        <v>45828</v>
      </c>
      <c r="E2430" s="14">
        <f>VLOOKUP(F2430,CarrierID!A:B,2,0)</f>
        <v>5</v>
      </c>
      <c r="F2430" s="15" t="s">
        <v>1</v>
      </c>
      <c r="G2430" t="str">
        <f>VLOOKUP(F2430,Carrier_Category!A:B,2,0)</f>
        <v>Intercity</v>
      </c>
      <c r="H2430" s="16">
        <v>63</v>
      </c>
      <c r="I2430" s="17">
        <f t="shared" si="115"/>
        <v>46</v>
      </c>
      <c r="J2430" s="16">
        <v>1439</v>
      </c>
      <c r="K2430" s="18">
        <f t="shared" si="114"/>
        <v>22.841269841269842</v>
      </c>
    </row>
    <row r="2431" spans="1:11" x14ac:dyDescent="0.3">
      <c r="A2431" s="14">
        <v>2025</v>
      </c>
      <c r="B2431" s="14">
        <f t="shared" si="113"/>
        <v>25</v>
      </c>
      <c r="C2431" s="9">
        <v>45824</v>
      </c>
      <c r="D2431" s="9">
        <v>45828</v>
      </c>
      <c r="E2431" s="14">
        <f>VLOOKUP(F2431,CarrierID!A:B,2,0)</f>
        <v>8</v>
      </c>
      <c r="F2431" s="15" t="s">
        <v>2</v>
      </c>
      <c r="G2431" t="str">
        <f>VLOOKUP(F2431,Carrier_Category!A:B,2,0)</f>
        <v>Commuter</v>
      </c>
      <c r="H2431" s="16">
        <v>17</v>
      </c>
      <c r="I2431" s="17">
        <f t="shared" si="115"/>
        <v>63</v>
      </c>
      <c r="J2431" s="16">
        <v>719</v>
      </c>
      <c r="K2431" s="18">
        <f t="shared" si="114"/>
        <v>42.294117647058826</v>
      </c>
    </row>
    <row r="2432" spans="1:11" x14ac:dyDescent="0.3">
      <c r="A2432" s="14">
        <v>2025</v>
      </c>
      <c r="B2432" s="14">
        <f t="shared" si="113"/>
        <v>25</v>
      </c>
      <c r="C2432" s="9">
        <v>45824</v>
      </c>
      <c r="D2432" s="9">
        <v>45828</v>
      </c>
      <c r="E2432" s="14">
        <f>VLOOKUP(F2432,CarrierID!A:B,2,0)</f>
        <v>9</v>
      </c>
      <c r="F2432" s="15" t="s">
        <v>3</v>
      </c>
      <c r="G2432" t="str">
        <f>VLOOKUP(F2432,Carrier_Category!A:B,2,0)</f>
        <v>NJT</v>
      </c>
      <c r="H2432" s="16">
        <v>2420</v>
      </c>
      <c r="I2432" s="17">
        <f t="shared" si="115"/>
        <v>18</v>
      </c>
      <c r="J2432" s="16">
        <v>89125</v>
      </c>
      <c r="K2432" s="18">
        <f t="shared" si="114"/>
        <v>36.828512396694215</v>
      </c>
    </row>
    <row r="2433" spans="1:11" x14ac:dyDescent="0.3">
      <c r="A2433" s="14">
        <v>2025</v>
      </c>
      <c r="B2433" s="14">
        <f t="shared" si="113"/>
        <v>25</v>
      </c>
      <c r="C2433" s="9">
        <v>45824</v>
      </c>
      <c r="D2433" s="9">
        <v>45828</v>
      </c>
      <c r="E2433" s="14">
        <f>VLOOKUP(F2433,CarrierID!A:B,2,0)</f>
        <v>7</v>
      </c>
      <c r="F2433" s="15" t="s">
        <v>4</v>
      </c>
      <c r="G2433" t="str">
        <f>VLOOKUP(F2433,Carrier_Category!A:B,2,0)</f>
        <v>Commuter</v>
      </c>
      <c r="H2433" s="16">
        <v>35</v>
      </c>
      <c r="I2433" s="17">
        <f t="shared" si="115"/>
        <v>2443</v>
      </c>
      <c r="J2433" s="16">
        <v>1327</v>
      </c>
      <c r="K2433" s="18">
        <f t="shared" si="114"/>
        <v>37.914285714285711</v>
      </c>
    </row>
    <row r="2434" spans="1:11" x14ac:dyDescent="0.3">
      <c r="A2434" s="14">
        <v>2025</v>
      </c>
      <c r="B2434" s="14">
        <f t="shared" si="113"/>
        <v>25</v>
      </c>
      <c r="C2434" s="9">
        <v>45824</v>
      </c>
      <c r="D2434" s="9">
        <v>45828</v>
      </c>
      <c r="E2434" s="14">
        <f>VLOOKUP(F2434,CarrierID!A:B,2,0)</f>
        <v>11</v>
      </c>
      <c r="F2434" s="15" t="s">
        <v>5</v>
      </c>
      <c r="G2434" t="str">
        <f>VLOOKUP(F2434,Carrier_Category!A:B,2,0)</f>
        <v>Intercity</v>
      </c>
      <c r="H2434" s="16">
        <v>21</v>
      </c>
      <c r="I2434" s="17">
        <f t="shared" si="115"/>
        <v>42</v>
      </c>
      <c r="J2434" s="16">
        <v>425</v>
      </c>
      <c r="K2434" s="18">
        <f t="shared" si="114"/>
        <v>20.238095238095237</v>
      </c>
    </row>
    <row r="2435" spans="1:11" x14ac:dyDescent="0.3">
      <c r="A2435" s="14">
        <v>2025</v>
      </c>
      <c r="B2435" s="14">
        <f t="shared" si="113"/>
        <v>25</v>
      </c>
      <c r="C2435" s="9">
        <v>45824</v>
      </c>
      <c r="D2435" s="9">
        <v>45828</v>
      </c>
      <c r="E2435" s="14">
        <f>VLOOKUP(F2435,CarrierID!A:B,2,0)</f>
        <v>3</v>
      </c>
      <c r="F2435" s="15" t="s">
        <v>6</v>
      </c>
      <c r="G2435" t="str">
        <f>VLOOKUP(F2435,Carrier_Category!A:B,2,0)</f>
        <v>Commuter</v>
      </c>
      <c r="H2435" s="16">
        <v>202</v>
      </c>
      <c r="I2435" s="17">
        <f t="shared" si="115"/>
        <v>21</v>
      </c>
      <c r="J2435" s="16">
        <v>5994</v>
      </c>
      <c r="K2435" s="18">
        <f t="shared" si="114"/>
        <v>29.673267326732674</v>
      </c>
    </row>
    <row r="2436" spans="1:11" x14ac:dyDescent="0.3">
      <c r="A2436" s="14">
        <v>2025</v>
      </c>
      <c r="B2436" s="14">
        <f t="shared" si="113"/>
        <v>25</v>
      </c>
      <c r="C2436" s="9">
        <v>45824</v>
      </c>
      <c r="D2436" s="9">
        <v>45828</v>
      </c>
      <c r="E2436" s="14">
        <f>VLOOKUP(F2436,CarrierID!A:B,2,0)</f>
        <v>12</v>
      </c>
      <c r="F2436" s="15" t="s">
        <v>25</v>
      </c>
      <c r="G2436" t="str">
        <f>VLOOKUP(F2436,Carrier_Category!A:B,2,0)</f>
        <v>Commuter</v>
      </c>
      <c r="H2436" s="16">
        <v>22</v>
      </c>
      <c r="I2436" s="17">
        <f t="shared" si="115"/>
        <v>188</v>
      </c>
      <c r="J2436" s="16">
        <v>669</v>
      </c>
      <c r="K2436" s="18">
        <f t="shared" si="114"/>
        <v>30.40909090909091</v>
      </c>
    </row>
    <row r="2437" spans="1:11" x14ac:dyDescent="0.3">
      <c r="A2437" s="14">
        <v>2025</v>
      </c>
      <c r="B2437" s="14">
        <f t="shared" ref="B2437:B2492" si="116">_xlfn.ISOWEEKNUM(C2437)</f>
        <v>25</v>
      </c>
      <c r="C2437" s="9">
        <v>45824</v>
      </c>
      <c r="D2437" s="9">
        <v>45828</v>
      </c>
      <c r="E2437" s="14">
        <f>VLOOKUP(F2437,CarrierID!A:B,2,0)</f>
        <v>10</v>
      </c>
      <c r="F2437" s="15" t="s">
        <v>8</v>
      </c>
      <c r="G2437" t="str">
        <f>VLOOKUP(F2437,Carrier_Category!A:B,2,0)</f>
        <v>Intercity</v>
      </c>
      <c r="H2437" s="16">
        <v>44</v>
      </c>
      <c r="I2437" s="17">
        <f t="shared" si="115"/>
        <v>22</v>
      </c>
      <c r="J2437" s="16">
        <v>1430</v>
      </c>
      <c r="K2437" s="18">
        <f t="shared" ref="K2437:K2492" si="117">J2437/H2437</f>
        <v>32.5</v>
      </c>
    </row>
    <row r="2438" spans="1:11" x14ac:dyDescent="0.3">
      <c r="A2438" s="14">
        <v>2025</v>
      </c>
      <c r="B2438" s="14">
        <f t="shared" si="116"/>
        <v>25</v>
      </c>
      <c r="C2438" s="9">
        <v>45824</v>
      </c>
      <c r="D2438" s="9">
        <v>45828</v>
      </c>
      <c r="E2438" s="14">
        <f>VLOOKUP(F2438,CarrierID!A:B,2,0)</f>
        <v>6</v>
      </c>
      <c r="F2438" s="15" t="s">
        <v>9</v>
      </c>
      <c r="G2438" t="str">
        <f>VLOOKUP(F2438,Carrier_Category!A:B,2,0)</f>
        <v>Commuter</v>
      </c>
      <c r="H2438" s="16">
        <v>88</v>
      </c>
      <c r="I2438" s="17">
        <f t="shared" si="115"/>
        <v>44</v>
      </c>
      <c r="J2438" s="16">
        <v>1773</v>
      </c>
      <c r="K2438" s="18">
        <f t="shared" si="117"/>
        <v>20.147727272727273</v>
      </c>
    </row>
    <row r="2439" spans="1:11" x14ac:dyDescent="0.3">
      <c r="A2439" s="14">
        <v>2025</v>
      </c>
      <c r="B2439" s="14">
        <f t="shared" si="116"/>
        <v>26</v>
      </c>
      <c r="C2439" s="9">
        <v>45831</v>
      </c>
      <c r="D2439" s="9">
        <v>45835</v>
      </c>
      <c r="E2439" s="14">
        <f>VLOOKUP(F2439,CarrierID!A:B,2,0)</f>
        <v>1</v>
      </c>
      <c r="F2439" s="15" t="s">
        <v>0</v>
      </c>
      <c r="G2439" t="str">
        <f>VLOOKUP(F2439,Carrier_Category!A:B,2,0)</f>
        <v>Commuter</v>
      </c>
      <c r="H2439" s="16">
        <v>46</v>
      </c>
      <c r="I2439" s="17">
        <f t="shared" si="115"/>
        <v>84</v>
      </c>
      <c r="J2439" s="16">
        <v>1486</v>
      </c>
      <c r="K2439" s="18">
        <f t="shared" si="117"/>
        <v>32.304347826086953</v>
      </c>
    </row>
    <row r="2440" spans="1:11" x14ac:dyDescent="0.3">
      <c r="A2440" s="14">
        <v>2025</v>
      </c>
      <c r="B2440" s="14">
        <f t="shared" si="116"/>
        <v>26</v>
      </c>
      <c r="C2440" s="9">
        <v>45831</v>
      </c>
      <c r="D2440" s="9">
        <v>45835</v>
      </c>
      <c r="E2440" s="14">
        <f>VLOOKUP(F2440,CarrierID!A:B,2,0)</f>
        <v>5</v>
      </c>
      <c r="F2440" s="15" t="s">
        <v>1</v>
      </c>
      <c r="G2440" t="str">
        <f>VLOOKUP(F2440,Carrier_Category!A:B,2,0)</f>
        <v>Intercity</v>
      </c>
      <c r="H2440" s="16">
        <v>63</v>
      </c>
      <c r="I2440" s="17">
        <f t="shared" si="115"/>
        <v>41</v>
      </c>
      <c r="J2440" s="16">
        <v>1439</v>
      </c>
      <c r="K2440" s="18">
        <f t="shared" si="117"/>
        <v>22.841269841269842</v>
      </c>
    </row>
    <row r="2441" spans="1:11" x14ac:dyDescent="0.3">
      <c r="A2441" s="14">
        <v>2025</v>
      </c>
      <c r="B2441" s="14">
        <f t="shared" si="116"/>
        <v>26</v>
      </c>
      <c r="C2441" s="9">
        <v>45831</v>
      </c>
      <c r="D2441" s="9">
        <v>45835</v>
      </c>
      <c r="E2441" s="14">
        <f>VLOOKUP(F2441,CarrierID!A:B,2,0)</f>
        <v>8</v>
      </c>
      <c r="F2441" s="15" t="s">
        <v>2</v>
      </c>
      <c r="G2441" t="str">
        <f>VLOOKUP(F2441,Carrier_Category!A:B,2,0)</f>
        <v>Commuter</v>
      </c>
      <c r="H2441" s="16">
        <v>17</v>
      </c>
      <c r="I2441" s="17">
        <f t="shared" si="115"/>
        <v>63</v>
      </c>
      <c r="J2441" s="16">
        <v>719</v>
      </c>
      <c r="K2441" s="18">
        <f t="shared" si="117"/>
        <v>42.294117647058826</v>
      </c>
    </row>
    <row r="2442" spans="1:11" x14ac:dyDescent="0.3">
      <c r="A2442" s="14">
        <v>2025</v>
      </c>
      <c r="B2442" s="14">
        <f t="shared" si="116"/>
        <v>26</v>
      </c>
      <c r="C2442" s="9">
        <v>45831</v>
      </c>
      <c r="D2442" s="9">
        <v>45835</v>
      </c>
      <c r="E2442" s="14">
        <f>VLOOKUP(F2442,CarrierID!A:B,2,0)</f>
        <v>9</v>
      </c>
      <c r="F2442" s="15" t="s">
        <v>3</v>
      </c>
      <c r="G2442" t="str">
        <f>VLOOKUP(F2442,Carrier_Category!A:B,2,0)</f>
        <v>NJT</v>
      </c>
      <c r="H2442" s="16">
        <v>2388</v>
      </c>
      <c r="I2442" s="17">
        <f t="shared" si="115"/>
        <v>17</v>
      </c>
      <c r="J2442" s="16">
        <v>86344</v>
      </c>
      <c r="K2442" s="18">
        <f t="shared" si="117"/>
        <v>36.157453936348411</v>
      </c>
    </row>
    <row r="2443" spans="1:11" x14ac:dyDescent="0.3">
      <c r="A2443" s="14">
        <v>2025</v>
      </c>
      <c r="B2443" s="14">
        <f t="shared" si="116"/>
        <v>26</v>
      </c>
      <c r="C2443" s="9">
        <v>45831</v>
      </c>
      <c r="D2443" s="9">
        <v>45835</v>
      </c>
      <c r="E2443" s="14">
        <f>VLOOKUP(F2443,CarrierID!A:B,2,0)</f>
        <v>7</v>
      </c>
      <c r="F2443" s="15" t="s">
        <v>4</v>
      </c>
      <c r="G2443" t="str">
        <f>VLOOKUP(F2443,Carrier_Category!A:B,2,0)</f>
        <v>Commuter</v>
      </c>
      <c r="H2443" s="16">
        <v>44</v>
      </c>
      <c r="I2443" s="17">
        <f t="shared" si="115"/>
        <v>2420</v>
      </c>
      <c r="J2443" s="16">
        <v>1630</v>
      </c>
      <c r="K2443" s="18">
        <f t="shared" si="117"/>
        <v>37.045454545454547</v>
      </c>
    </row>
    <row r="2444" spans="1:11" x14ac:dyDescent="0.3">
      <c r="A2444" s="14">
        <v>2025</v>
      </c>
      <c r="B2444" s="14">
        <f t="shared" si="116"/>
        <v>26</v>
      </c>
      <c r="C2444" s="9">
        <v>45831</v>
      </c>
      <c r="D2444" s="9">
        <v>45835</v>
      </c>
      <c r="E2444" s="14">
        <f>VLOOKUP(F2444,CarrierID!A:B,2,0)</f>
        <v>11</v>
      </c>
      <c r="F2444" s="15" t="s">
        <v>5</v>
      </c>
      <c r="G2444" t="str">
        <f>VLOOKUP(F2444,Carrier_Category!A:B,2,0)</f>
        <v>Intercity</v>
      </c>
      <c r="H2444" s="16">
        <v>21</v>
      </c>
      <c r="I2444" s="17">
        <f t="shared" si="115"/>
        <v>35</v>
      </c>
      <c r="J2444" s="16">
        <v>425</v>
      </c>
      <c r="K2444" s="18">
        <f t="shared" si="117"/>
        <v>20.238095238095237</v>
      </c>
    </row>
    <row r="2445" spans="1:11" x14ac:dyDescent="0.3">
      <c r="A2445" s="14">
        <v>2025</v>
      </c>
      <c r="B2445" s="14">
        <f t="shared" si="116"/>
        <v>26</v>
      </c>
      <c r="C2445" s="9">
        <v>45831</v>
      </c>
      <c r="D2445" s="9">
        <v>45835</v>
      </c>
      <c r="E2445" s="14">
        <f>VLOOKUP(F2445,CarrierID!A:B,2,0)</f>
        <v>3</v>
      </c>
      <c r="F2445" s="15" t="s">
        <v>6</v>
      </c>
      <c r="G2445" t="str">
        <f>VLOOKUP(F2445,Carrier_Category!A:B,2,0)</f>
        <v>Commuter</v>
      </c>
      <c r="H2445" s="16">
        <v>203</v>
      </c>
      <c r="I2445" s="17">
        <f t="shared" ref="I2445:I2492" si="118">H2434</f>
        <v>21</v>
      </c>
      <c r="J2445" s="16">
        <v>5709</v>
      </c>
      <c r="K2445" s="18">
        <f t="shared" si="117"/>
        <v>28.123152709359605</v>
      </c>
    </row>
    <row r="2446" spans="1:11" x14ac:dyDescent="0.3">
      <c r="A2446" s="14">
        <v>2025</v>
      </c>
      <c r="B2446" s="14">
        <f t="shared" si="116"/>
        <v>26</v>
      </c>
      <c r="C2446" s="9">
        <v>45831</v>
      </c>
      <c r="D2446" s="9">
        <v>45835</v>
      </c>
      <c r="E2446" s="14">
        <f>VLOOKUP(F2446,CarrierID!A:B,2,0)</f>
        <v>12</v>
      </c>
      <c r="F2446" s="15" t="s">
        <v>25</v>
      </c>
      <c r="G2446" t="str">
        <f>VLOOKUP(F2446,Carrier_Category!A:B,2,0)</f>
        <v>Commuter</v>
      </c>
      <c r="H2446" s="16">
        <v>22</v>
      </c>
      <c r="I2446" s="17">
        <f t="shared" si="118"/>
        <v>202</v>
      </c>
      <c r="J2446" s="16">
        <v>681</v>
      </c>
      <c r="K2446" s="18">
        <f t="shared" si="117"/>
        <v>30.954545454545453</v>
      </c>
    </row>
    <row r="2447" spans="1:11" x14ac:dyDescent="0.3">
      <c r="A2447" s="14">
        <v>2025</v>
      </c>
      <c r="B2447" s="14">
        <f t="shared" si="116"/>
        <v>26</v>
      </c>
      <c r="C2447" s="9">
        <v>45831</v>
      </c>
      <c r="D2447" s="9">
        <v>45835</v>
      </c>
      <c r="E2447" s="14">
        <f>VLOOKUP(F2447,CarrierID!A:B,2,0)</f>
        <v>10</v>
      </c>
      <c r="F2447" s="15" t="s">
        <v>8</v>
      </c>
      <c r="G2447" t="str">
        <f>VLOOKUP(F2447,Carrier_Category!A:B,2,0)</f>
        <v>Intercity</v>
      </c>
      <c r="H2447" s="16">
        <v>44</v>
      </c>
      <c r="I2447" s="17">
        <f t="shared" si="118"/>
        <v>22</v>
      </c>
      <c r="J2447" s="16">
        <v>1430</v>
      </c>
      <c r="K2447" s="18">
        <f t="shared" si="117"/>
        <v>32.5</v>
      </c>
    </row>
    <row r="2448" spans="1:11" x14ac:dyDescent="0.3">
      <c r="A2448" s="14">
        <v>2025</v>
      </c>
      <c r="B2448" s="14">
        <f t="shared" si="116"/>
        <v>26</v>
      </c>
      <c r="C2448" s="9">
        <v>45831</v>
      </c>
      <c r="D2448" s="9">
        <v>45835</v>
      </c>
      <c r="E2448" s="14">
        <f>VLOOKUP(F2448,CarrierID!A:B,2,0)</f>
        <v>6</v>
      </c>
      <c r="F2448" s="15" t="s">
        <v>9</v>
      </c>
      <c r="G2448" t="str">
        <f>VLOOKUP(F2448,Carrier_Category!A:B,2,0)</f>
        <v>Commuter</v>
      </c>
      <c r="H2448" s="16">
        <v>87</v>
      </c>
      <c r="I2448" s="17">
        <f t="shared" si="118"/>
        <v>44</v>
      </c>
      <c r="J2448" s="16">
        <v>1678</v>
      </c>
      <c r="K2448" s="18">
        <f t="shared" si="117"/>
        <v>19.287356321839081</v>
      </c>
    </row>
    <row r="2449" spans="1:11" x14ac:dyDescent="0.3">
      <c r="A2449" s="14">
        <v>2025</v>
      </c>
      <c r="B2449" s="14">
        <f t="shared" si="116"/>
        <v>27</v>
      </c>
      <c r="C2449" s="9">
        <v>45839</v>
      </c>
      <c r="D2449" s="9">
        <v>45842</v>
      </c>
      <c r="E2449" s="14">
        <f>VLOOKUP(F2449,CarrierID!A:B,2,0)</f>
        <v>1</v>
      </c>
      <c r="F2449" s="15" t="s">
        <v>0</v>
      </c>
      <c r="G2449" t="str">
        <f>VLOOKUP(F2449,Carrier_Category!A:B,2,0)</f>
        <v>Commuter</v>
      </c>
      <c r="H2449" s="16">
        <v>42</v>
      </c>
      <c r="I2449" s="17">
        <f t="shared" si="118"/>
        <v>88</v>
      </c>
      <c r="J2449" s="16">
        <v>1272</v>
      </c>
      <c r="K2449" s="18">
        <f t="shared" si="117"/>
        <v>30.285714285714285</v>
      </c>
    </row>
    <row r="2450" spans="1:11" x14ac:dyDescent="0.3">
      <c r="A2450" s="14">
        <v>2025</v>
      </c>
      <c r="B2450" s="14">
        <f t="shared" si="116"/>
        <v>27</v>
      </c>
      <c r="C2450" s="9">
        <v>45839</v>
      </c>
      <c r="D2450" s="9">
        <v>45842</v>
      </c>
      <c r="E2450" s="14">
        <f>VLOOKUP(F2450,CarrierID!A:B,2,0)</f>
        <v>5</v>
      </c>
      <c r="F2450" s="15" t="s">
        <v>1</v>
      </c>
      <c r="G2450" t="str">
        <f>VLOOKUP(F2450,Carrier_Category!A:B,2,0)</f>
        <v>Intercity</v>
      </c>
      <c r="H2450" s="16">
        <v>63</v>
      </c>
      <c r="I2450" s="17">
        <f t="shared" si="118"/>
        <v>46</v>
      </c>
      <c r="J2450" s="16"/>
      <c r="K2450" s="18">
        <f t="shared" si="117"/>
        <v>0</v>
      </c>
    </row>
    <row r="2451" spans="1:11" x14ac:dyDescent="0.3">
      <c r="A2451" s="14">
        <v>2025</v>
      </c>
      <c r="B2451" s="14">
        <f t="shared" si="116"/>
        <v>27</v>
      </c>
      <c r="C2451" s="9">
        <v>45839</v>
      </c>
      <c r="D2451" s="9">
        <v>45842</v>
      </c>
      <c r="E2451" s="14">
        <f>VLOOKUP(F2451,CarrierID!A:B,2,0)</f>
        <v>8</v>
      </c>
      <c r="F2451" s="15" t="s">
        <v>2</v>
      </c>
      <c r="G2451" t="str">
        <f>VLOOKUP(F2451,Carrier_Category!A:B,2,0)</f>
        <v>Commuter</v>
      </c>
      <c r="H2451" s="16">
        <v>17</v>
      </c>
      <c r="I2451" s="17">
        <f t="shared" si="118"/>
        <v>63</v>
      </c>
      <c r="J2451" s="16">
        <v>797</v>
      </c>
      <c r="K2451" s="18">
        <f t="shared" si="117"/>
        <v>46.882352941176471</v>
      </c>
    </row>
    <row r="2452" spans="1:11" x14ac:dyDescent="0.3">
      <c r="A2452" s="14">
        <v>2025</v>
      </c>
      <c r="B2452" s="14">
        <f t="shared" si="116"/>
        <v>27</v>
      </c>
      <c r="C2452" s="9">
        <v>45839</v>
      </c>
      <c r="D2452" s="9">
        <v>45842</v>
      </c>
      <c r="E2452" s="14">
        <f>VLOOKUP(F2452,CarrierID!A:B,2,0)</f>
        <v>9</v>
      </c>
      <c r="F2452" s="15" t="s">
        <v>3</v>
      </c>
      <c r="G2452" t="str">
        <f>VLOOKUP(F2452,Carrier_Category!A:B,2,0)</f>
        <v>NJT</v>
      </c>
      <c r="H2452" s="16">
        <v>2216</v>
      </c>
      <c r="I2452" s="17">
        <f t="shared" si="118"/>
        <v>17</v>
      </c>
      <c r="J2452" s="16">
        <v>74345</v>
      </c>
      <c r="K2452" s="18">
        <f t="shared" si="117"/>
        <v>33.549187725631768</v>
      </c>
    </row>
    <row r="2453" spans="1:11" x14ac:dyDescent="0.3">
      <c r="A2453" s="14">
        <v>2025</v>
      </c>
      <c r="B2453" s="14">
        <f t="shared" si="116"/>
        <v>27</v>
      </c>
      <c r="C2453" s="9">
        <v>45839</v>
      </c>
      <c r="D2453" s="9">
        <v>45842</v>
      </c>
      <c r="E2453" s="14">
        <f>VLOOKUP(F2453,CarrierID!A:B,2,0)</f>
        <v>7</v>
      </c>
      <c r="F2453" s="15" t="s">
        <v>4</v>
      </c>
      <c r="G2453" t="str">
        <f>VLOOKUP(F2453,Carrier_Category!A:B,2,0)</f>
        <v>Commuter</v>
      </c>
      <c r="H2453" s="16">
        <v>38</v>
      </c>
      <c r="I2453" s="17">
        <f t="shared" si="118"/>
        <v>2388</v>
      </c>
      <c r="J2453" s="16">
        <v>1170</v>
      </c>
      <c r="K2453" s="18">
        <f t="shared" si="117"/>
        <v>30.789473684210527</v>
      </c>
    </row>
    <row r="2454" spans="1:11" x14ac:dyDescent="0.3">
      <c r="A2454" s="14">
        <v>2025</v>
      </c>
      <c r="B2454" s="14">
        <f t="shared" si="116"/>
        <v>27</v>
      </c>
      <c r="C2454" s="9">
        <v>45839</v>
      </c>
      <c r="D2454" s="9">
        <v>45842</v>
      </c>
      <c r="E2454" s="14">
        <f>VLOOKUP(F2454,CarrierID!A:B,2,0)</f>
        <v>11</v>
      </c>
      <c r="F2454" s="15" t="s">
        <v>5</v>
      </c>
      <c r="G2454" t="str">
        <f>VLOOKUP(F2454,Carrier_Category!A:B,2,0)</f>
        <v>Intercity</v>
      </c>
      <c r="H2454" s="16">
        <v>24</v>
      </c>
      <c r="I2454" s="17">
        <f t="shared" si="118"/>
        <v>44</v>
      </c>
      <c r="J2454" s="16">
        <v>807</v>
      </c>
      <c r="K2454" s="18">
        <f t="shared" si="117"/>
        <v>33.625</v>
      </c>
    </row>
    <row r="2455" spans="1:11" x14ac:dyDescent="0.3">
      <c r="A2455" s="14">
        <v>2025</v>
      </c>
      <c r="B2455" s="14">
        <f t="shared" si="116"/>
        <v>27</v>
      </c>
      <c r="C2455" s="9">
        <v>45839</v>
      </c>
      <c r="D2455" s="9">
        <v>45842</v>
      </c>
      <c r="E2455" s="14">
        <f>VLOOKUP(F2455,CarrierID!A:B,2,0)</f>
        <v>3</v>
      </c>
      <c r="F2455" s="15" t="s">
        <v>6</v>
      </c>
      <c r="G2455" t="str">
        <f>VLOOKUP(F2455,Carrier_Category!A:B,2,0)</f>
        <v>Commuter</v>
      </c>
      <c r="H2455" s="16">
        <v>203</v>
      </c>
      <c r="I2455" s="17">
        <f t="shared" si="118"/>
        <v>21</v>
      </c>
      <c r="J2455" s="16">
        <v>5709</v>
      </c>
      <c r="K2455" s="18">
        <f t="shared" si="117"/>
        <v>28.123152709359605</v>
      </c>
    </row>
    <row r="2456" spans="1:11" x14ac:dyDescent="0.3">
      <c r="A2456" s="14">
        <v>2025</v>
      </c>
      <c r="B2456" s="14">
        <f t="shared" si="116"/>
        <v>27</v>
      </c>
      <c r="C2456" s="9">
        <v>45839</v>
      </c>
      <c r="D2456" s="9">
        <v>45842</v>
      </c>
      <c r="E2456" s="14">
        <f>VLOOKUP(F2456,CarrierID!A:B,2,0)</f>
        <v>12</v>
      </c>
      <c r="F2456" s="15" t="s">
        <v>25</v>
      </c>
      <c r="G2456" t="str">
        <f>VLOOKUP(F2456,Carrier_Category!A:B,2,0)</f>
        <v>Commuter</v>
      </c>
      <c r="H2456" s="16">
        <v>20</v>
      </c>
      <c r="I2456" s="17">
        <f t="shared" si="118"/>
        <v>203</v>
      </c>
      <c r="J2456" s="16">
        <v>605</v>
      </c>
      <c r="K2456" s="18">
        <f t="shared" si="117"/>
        <v>30.25</v>
      </c>
    </row>
    <row r="2457" spans="1:11" x14ac:dyDescent="0.3">
      <c r="A2457" s="14">
        <v>2025</v>
      </c>
      <c r="B2457" s="14">
        <f t="shared" si="116"/>
        <v>27</v>
      </c>
      <c r="C2457" s="9">
        <v>45839</v>
      </c>
      <c r="D2457" s="9">
        <v>45842</v>
      </c>
      <c r="E2457" s="14">
        <f>VLOOKUP(F2457,CarrierID!A:B,2,0)</f>
        <v>10</v>
      </c>
      <c r="F2457" s="15" t="s">
        <v>8</v>
      </c>
      <c r="G2457" t="str">
        <f>VLOOKUP(F2457,Carrier_Category!A:B,2,0)</f>
        <v>Intercity</v>
      </c>
      <c r="H2457" s="16">
        <v>59</v>
      </c>
      <c r="I2457" s="17">
        <f t="shared" si="118"/>
        <v>22</v>
      </c>
      <c r="J2457" s="16">
        <v>2436</v>
      </c>
      <c r="K2457" s="18">
        <f t="shared" si="117"/>
        <v>41.288135593220339</v>
      </c>
    </row>
    <row r="2458" spans="1:11" x14ac:dyDescent="0.3">
      <c r="A2458" s="14">
        <v>2025</v>
      </c>
      <c r="B2458" s="14">
        <f t="shared" si="116"/>
        <v>27</v>
      </c>
      <c r="C2458" s="9">
        <v>45839</v>
      </c>
      <c r="D2458" s="9">
        <v>45842</v>
      </c>
      <c r="E2458" s="14">
        <f>VLOOKUP(F2458,CarrierID!A:B,2,0)</f>
        <v>6</v>
      </c>
      <c r="F2458" s="15" t="s">
        <v>9</v>
      </c>
      <c r="G2458" t="str">
        <f>VLOOKUP(F2458,Carrier_Category!A:B,2,0)</f>
        <v>Commuter</v>
      </c>
      <c r="H2458" s="16">
        <v>73</v>
      </c>
      <c r="I2458" s="17">
        <f t="shared" si="118"/>
        <v>44</v>
      </c>
      <c r="J2458" s="16">
        <v>1388</v>
      </c>
      <c r="K2458" s="18">
        <f t="shared" si="117"/>
        <v>19.013698630136986</v>
      </c>
    </row>
    <row r="2459" spans="1:11" x14ac:dyDescent="0.3">
      <c r="A2459" s="14">
        <v>2025</v>
      </c>
      <c r="B2459" s="14">
        <f t="shared" si="116"/>
        <v>28</v>
      </c>
      <c r="C2459" s="9">
        <v>45845</v>
      </c>
      <c r="D2459" s="9">
        <v>45849</v>
      </c>
      <c r="E2459" s="14">
        <f>VLOOKUP(F2459,CarrierID!A:B,2,0)</f>
        <v>1</v>
      </c>
      <c r="F2459" s="15" t="s">
        <v>0</v>
      </c>
      <c r="G2459" t="str">
        <f>VLOOKUP(F2459,Carrier_Category!A:B,2,0)</f>
        <v>Commuter</v>
      </c>
      <c r="H2459" s="16">
        <v>46</v>
      </c>
      <c r="I2459" s="17">
        <f t="shared" si="118"/>
        <v>87</v>
      </c>
      <c r="J2459" s="16">
        <v>1428</v>
      </c>
      <c r="K2459" s="18">
        <f t="shared" si="117"/>
        <v>31.043478260869566</v>
      </c>
    </row>
    <row r="2460" spans="1:11" x14ac:dyDescent="0.3">
      <c r="A2460" s="14">
        <v>2025</v>
      </c>
      <c r="B2460" s="14">
        <f t="shared" si="116"/>
        <v>28</v>
      </c>
      <c r="C2460" s="9">
        <v>45845</v>
      </c>
      <c r="D2460" s="9">
        <v>45849</v>
      </c>
      <c r="E2460" s="14">
        <f>VLOOKUP(F2460,CarrierID!A:B,2,0)</f>
        <v>5</v>
      </c>
      <c r="F2460" s="15" t="s">
        <v>1</v>
      </c>
      <c r="G2460" t="str">
        <f>VLOOKUP(F2460,Carrier_Category!A:B,2,0)</f>
        <v>Intercity</v>
      </c>
      <c r="H2460" s="16">
        <v>63</v>
      </c>
      <c r="I2460" s="17">
        <f t="shared" si="118"/>
        <v>42</v>
      </c>
      <c r="J2460" s="16">
        <v>1439</v>
      </c>
      <c r="K2460" s="18">
        <f t="shared" si="117"/>
        <v>22.841269841269842</v>
      </c>
    </row>
    <row r="2461" spans="1:11" x14ac:dyDescent="0.3">
      <c r="A2461" s="14">
        <v>2025</v>
      </c>
      <c r="B2461" s="14">
        <f t="shared" si="116"/>
        <v>28</v>
      </c>
      <c r="C2461" s="9">
        <v>45845</v>
      </c>
      <c r="D2461" s="9">
        <v>45849</v>
      </c>
      <c r="E2461" s="14">
        <f>VLOOKUP(F2461,CarrierID!A:B,2,0)</f>
        <v>8</v>
      </c>
      <c r="F2461" s="15" t="s">
        <v>2</v>
      </c>
      <c r="G2461" t="str">
        <f>VLOOKUP(F2461,Carrier_Category!A:B,2,0)</f>
        <v>Commuter</v>
      </c>
      <c r="H2461" s="16">
        <v>16</v>
      </c>
      <c r="I2461" s="17">
        <f t="shared" si="118"/>
        <v>63</v>
      </c>
      <c r="J2461" s="16">
        <v>673</v>
      </c>
      <c r="K2461" s="18">
        <f t="shared" si="117"/>
        <v>42.0625</v>
      </c>
    </row>
    <row r="2462" spans="1:11" x14ac:dyDescent="0.3">
      <c r="A2462" s="14">
        <v>2025</v>
      </c>
      <c r="B2462" s="14">
        <f t="shared" si="116"/>
        <v>28</v>
      </c>
      <c r="C2462" s="9">
        <v>45845</v>
      </c>
      <c r="D2462" s="9">
        <v>45849</v>
      </c>
      <c r="E2462" s="14">
        <f>VLOOKUP(F2462,CarrierID!A:B,2,0)</f>
        <v>9</v>
      </c>
      <c r="F2462" s="15" t="s">
        <v>3</v>
      </c>
      <c r="G2462" t="str">
        <f>VLOOKUP(F2462,Carrier_Category!A:B,2,0)</f>
        <v>NJT</v>
      </c>
      <c r="H2462" s="16">
        <v>2379</v>
      </c>
      <c r="I2462" s="17">
        <f t="shared" si="118"/>
        <v>17</v>
      </c>
      <c r="J2462" s="16">
        <v>86585</v>
      </c>
      <c r="K2462" s="18">
        <f t="shared" si="117"/>
        <v>36.395544346364019</v>
      </c>
    </row>
    <row r="2463" spans="1:11" x14ac:dyDescent="0.3">
      <c r="A2463" s="14">
        <v>2025</v>
      </c>
      <c r="B2463" s="14">
        <f t="shared" si="116"/>
        <v>28</v>
      </c>
      <c r="C2463" s="9">
        <v>45845</v>
      </c>
      <c r="D2463" s="9">
        <v>45849</v>
      </c>
      <c r="E2463" s="14">
        <f>VLOOKUP(F2463,CarrierID!A:B,2,0)</f>
        <v>7</v>
      </c>
      <c r="F2463" s="15" t="s">
        <v>4</v>
      </c>
      <c r="G2463" t="str">
        <f>VLOOKUP(F2463,Carrier_Category!A:B,2,0)</f>
        <v>Commuter</v>
      </c>
      <c r="H2463" s="16">
        <v>37</v>
      </c>
      <c r="I2463" s="17">
        <f t="shared" si="118"/>
        <v>2216</v>
      </c>
      <c r="J2463" s="16">
        <v>1348</v>
      </c>
      <c r="K2463" s="18">
        <f t="shared" si="117"/>
        <v>36.432432432432435</v>
      </c>
    </row>
    <row r="2464" spans="1:11" x14ac:dyDescent="0.3">
      <c r="A2464" s="14">
        <v>2025</v>
      </c>
      <c r="B2464" s="14">
        <f t="shared" si="116"/>
        <v>28</v>
      </c>
      <c r="C2464" s="9">
        <v>45845</v>
      </c>
      <c r="D2464" s="9">
        <v>45849</v>
      </c>
      <c r="E2464" s="14">
        <f>VLOOKUP(F2464,CarrierID!A:B,2,0)</f>
        <v>11</v>
      </c>
      <c r="F2464" s="15" t="s">
        <v>5</v>
      </c>
      <c r="G2464" t="str">
        <f>VLOOKUP(F2464,Carrier_Category!A:B,2,0)</f>
        <v>Intercity</v>
      </c>
      <c r="H2464" s="16">
        <v>22</v>
      </c>
      <c r="I2464" s="17">
        <f t="shared" si="118"/>
        <v>38</v>
      </c>
      <c r="J2464" s="16">
        <v>539</v>
      </c>
      <c r="K2464" s="18">
        <f t="shared" si="117"/>
        <v>24.5</v>
      </c>
    </row>
    <row r="2465" spans="1:11" x14ac:dyDescent="0.3">
      <c r="A2465" s="14">
        <v>2025</v>
      </c>
      <c r="B2465" s="14">
        <f t="shared" si="116"/>
        <v>28</v>
      </c>
      <c r="C2465" s="9">
        <v>45845</v>
      </c>
      <c r="D2465" s="9">
        <v>45849</v>
      </c>
      <c r="E2465" s="14">
        <f>VLOOKUP(F2465,CarrierID!A:B,2,0)</f>
        <v>3</v>
      </c>
      <c r="F2465" s="15" t="s">
        <v>6</v>
      </c>
      <c r="G2465" t="str">
        <f>VLOOKUP(F2465,Carrier_Category!A:B,2,0)</f>
        <v>Commuter</v>
      </c>
      <c r="H2465" s="16">
        <v>203</v>
      </c>
      <c r="I2465" s="17">
        <f t="shared" si="118"/>
        <v>24</v>
      </c>
      <c r="J2465" s="16">
        <v>5709</v>
      </c>
      <c r="K2465" s="18">
        <f t="shared" si="117"/>
        <v>28.123152709359605</v>
      </c>
    </row>
    <row r="2466" spans="1:11" x14ac:dyDescent="0.3">
      <c r="A2466" s="14">
        <v>2025</v>
      </c>
      <c r="B2466" s="14">
        <f t="shared" si="116"/>
        <v>28</v>
      </c>
      <c r="C2466" s="9">
        <v>45845</v>
      </c>
      <c r="D2466" s="9">
        <v>45849</v>
      </c>
      <c r="E2466" s="14">
        <f>VLOOKUP(F2466,CarrierID!A:B,2,0)</f>
        <v>12</v>
      </c>
      <c r="F2466" s="15" t="s">
        <v>25</v>
      </c>
      <c r="G2466" t="str">
        <f>VLOOKUP(F2466,Carrier_Category!A:B,2,0)</f>
        <v>Commuter</v>
      </c>
      <c r="H2466" s="16">
        <v>18</v>
      </c>
      <c r="I2466" s="17">
        <f t="shared" si="118"/>
        <v>203</v>
      </c>
      <c r="J2466" s="16">
        <v>482</v>
      </c>
      <c r="K2466" s="18">
        <f t="shared" si="117"/>
        <v>26.777777777777779</v>
      </c>
    </row>
    <row r="2467" spans="1:11" x14ac:dyDescent="0.3">
      <c r="A2467" s="14">
        <v>2025</v>
      </c>
      <c r="B2467" s="14">
        <f t="shared" si="116"/>
        <v>28</v>
      </c>
      <c r="C2467" s="9">
        <v>45845</v>
      </c>
      <c r="D2467" s="9">
        <v>45849</v>
      </c>
      <c r="E2467" s="14">
        <f>VLOOKUP(F2467,CarrierID!A:B,2,0)</f>
        <v>10</v>
      </c>
      <c r="F2467" s="15" t="s">
        <v>8</v>
      </c>
      <c r="G2467" t="str">
        <f>VLOOKUP(F2467,Carrier_Category!A:B,2,0)</f>
        <v>Intercity</v>
      </c>
      <c r="H2467" s="16">
        <v>51</v>
      </c>
      <c r="I2467" s="17">
        <f t="shared" si="118"/>
        <v>20</v>
      </c>
      <c r="J2467" s="16">
        <v>1644</v>
      </c>
      <c r="K2467" s="18">
        <f t="shared" si="117"/>
        <v>32.235294117647058</v>
      </c>
    </row>
    <row r="2468" spans="1:11" x14ac:dyDescent="0.3">
      <c r="A2468" s="14">
        <v>2025</v>
      </c>
      <c r="B2468" s="14">
        <f t="shared" si="116"/>
        <v>28</v>
      </c>
      <c r="C2468" s="9">
        <v>45845</v>
      </c>
      <c r="D2468" s="9">
        <v>45849</v>
      </c>
      <c r="E2468" s="14">
        <f>VLOOKUP(F2468,CarrierID!A:B,2,0)</f>
        <v>6</v>
      </c>
      <c r="F2468" s="15" t="s">
        <v>9</v>
      </c>
      <c r="G2468" t="str">
        <f>VLOOKUP(F2468,Carrier_Category!A:B,2,0)</f>
        <v>Commuter</v>
      </c>
      <c r="H2468" s="16">
        <v>79</v>
      </c>
      <c r="I2468" s="17">
        <f t="shared" si="118"/>
        <v>59</v>
      </c>
      <c r="J2468" s="16">
        <v>1542</v>
      </c>
      <c r="K2468" s="18">
        <f t="shared" si="117"/>
        <v>19.518987341772153</v>
      </c>
    </row>
    <row r="2469" spans="1:11" x14ac:dyDescent="0.3">
      <c r="A2469" s="14">
        <v>2025</v>
      </c>
      <c r="B2469" s="14">
        <f t="shared" si="116"/>
        <v>29</v>
      </c>
      <c r="C2469" s="9">
        <v>45852</v>
      </c>
      <c r="D2469" s="9">
        <v>45856</v>
      </c>
      <c r="E2469" s="14">
        <f>VLOOKUP(F2469,CarrierID!A:B,2,0)</f>
        <v>1</v>
      </c>
      <c r="F2469" s="15" t="s">
        <v>0</v>
      </c>
      <c r="G2469" t="str">
        <f>VLOOKUP(F2469,Carrier_Category!A:B,2,0)</f>
        <v>Commuter</v>
      </c>
      <c r="H2469" s="16">
        <v>46</v>
      </c>
      <c r="I2469" s="17">
        <f t="shared" si="118"/>
        <v>73</v>
      </c>
      <c r="J2469" s="16">
        <v>1487</v>
      </c>
      <c r="K2469" s="18">
        <f t="shared" si="117"/>
        <v>32.326086956521742</v>
      </c>
    </row>
    <row r="2470" spans="1:11" x14ac:dyDescent="0.3">
      <c r="A2470" s="14">
        <v>2025</v>
      </c>
      <c r="B2470" s="14">
        <f t="shared" si="116"/>
        <v>29</v>
      </c>
      <c r="C2470" s="9">
        <v>45852</v>
      </c>
      <c r="D2470" s="9">
        <v>45856</v>
      </c>
      <c r="E2470" s="14">
        <f>VLOOKUP(F2470,CarrierID!A:B,2,0)</f>
        <v>5</v>
      </c>
      <c r="F2470" s="15" t="s">
        <v>1</v>
      </c>
      <c r="G2470" t="str">
        <f>VLOOKUP(F2470,Carrier_Category!A:B,2,0)</f>
        <v>Intercity</v>
      </c>
      <c r="H2470" s="16">
        <v>63</v>
      </c>
      <c r="I2470" s="17">
        <f t="shared" si="118"/>
        <v>46</v>
      </c>
      <c r="J2470" s="16">
        <v>1439</v>
      </c>
      <c r="K2470" s="18">
        <f t="shared" si="117"/>
        <v>22.841269841269842</v>
      </c>
    </row>
    <row r="2471" spans="1:11" x14ac:dyDescent="0.3">
      <c r="A2471" s="14">
        <v>2025</v>
      </c>
      <c r="B2471" s="14">
        <f t="shared" si="116"/>
        <v>29</v>
      </c>
      <c r="C2471" s="9">
        <v>45852</v>
      </c>
      <c r="D2471" s="9">
        <v>45856</v>
      </c>
      <c r="E2471" s="14">
        <f>VLOOKUP(F2471,CarrierID!A:B,2,0)</f>
        <v>8</v>
      </c>
      <c r="F2471" s="15" t="s">
        <v>2</v>
      </c>
      <c r="G2471" t="str">
        <f>VLOOKUP(F2471,Carrier_Category!A:B,2,0)</f>
        <v>Commuter</v>
      </c>
      <c r="H2471" s="16">
        <v>18</v>
      </c>
      <c r="I2471" s="17">
        <f t="shared" si="118"/>
        <v>63</v>
      </c>
      <c r="J2471" s="16">
        <v>767</v>
      </c>
      <c r="K2471" s="18">
        <f t="shared" si="117"/>
        <v>42.611111111111114</v>
      </c>
    </row>
    <row r="2472" spans="1:11" x14ac:dyDescent="0.3">
      <c r="A2472" s="14">
        <v>2025</v>
      </c>
      <c r="B2472" s="14">
        <f t="shared" si="116"/>
        <v>29</v>
      </c>
      <c r="C2472" s="9">
        <v>45852</v>
      </c>
      <c r="D2472" s="9">
        <v>45856</v>
      </c>
      <c r="E2472" s="14">
        <f>VLOOKUP(F2472,CarrierID!A:B,2,0)</f>
        <v>9</v>
      </c>
      <c r="F2472" s="15" t="s">
        <v>3</v>
      </c>
      <c r="G2472" t="str">
        <f>VLOOKUP(F2472,Carrier_Category!A:B,2,0)</f>
        <v>NJT</v>
      </c>
      <c r="H2472" s="16">
        <v>2466</v>
      </c>
      <c r="I2472" s="17">
        <f t="shared" si="118"/>
        <v>16</v>
      </c>
      <c r="J2472" s="16">
        <v>89482</v>
      </c>
      <c r="K2472" s="18">
        <f t="shared" si="117"/>
        <v>36.286293592862933</v>
      </c>
    </row>
    <row r="2473" spans="1:11" x14ac:dyDescent="0.3">
      <c r="A2473" s="14">
        <v>2025</v>
      </c>
      <c r="B2473" s="14">
        <f t="shared" si="116"/>
        <v>29</v>
      </c>
      <c r="C2473" s="9">
        <v>45852</v>
      </c>
      <c r="D2473" s="9">
        <v>45856</v>
      </c>
      <c r="E2473" s="14">
        <f>VLOOKUP(F2473,CarrierID!A:B,2,0)</f>
        <v>7</v>
      </c>
      <c r="F2473" s="15" t="s">
        <v>4</v>
      </c>
      <c r="G2473" t="str">
        <f>VLOOKUP(F2473,Carrier_Category!A:B,2,0)</f>
        <v>Commuter</v>
      </c>
      <c r="H2473" s="16">
        <v>42</v>
      </c>
      <c r="I2473" s="17">
        <f t="shared" si="118"/>
        <v>2379</v>
      </c>
      <c r="J2473" s="16">
        <v>1464</v>
      </c>
      <c r="K2473" s="18">
        <f t="shared" si="117"/>
        <v>34.857142857142854</v>
      </c>
    </row>
    <row r="2474" spans="1:11" x14ac:dyDescent="0.3">
      <c r="A2474" s="14">
        <v>2025</v>
      </c>
      <c r="B2474" s="14">
        <f t="shared" si="116"/>
        <v>29</v>
      </c>
      <c r="C2474" s="9">
        <v>45852</v>
      </c>
      <c r="D2474" s="9">
        <v>45856</v>
      </c>
      <c r="E2474" s="14">
        <f>VLOOKUP(F2474,CarrierID!A:B,2,0)</f>
        <v>11</v>
      </c>
      <c r="F2474" s="15" t="s">
        <v>5</v>
      </c>
      <c r="G2474" t="str">
        <f>VLOOKUP(F2474,Carrier_Category!A:B,2,0)</f>
        <v>Intercity</v>
      </c>
      <c r="H2474" s="16">
        <v>23</v>
      </c>
      <c r="I2474" s="17">
        <f t="shared" si="118"/>
        <v>37</v>
      </c>
      <c r="J2474" s="16">
        <v>585</v>
      </c>
      <c r="K2474" s="18">
        <f t="shared" si="117"/>
        <v>25.434782608695652</v>
      </c>
    </row>
    <row r="2475" spans="1:11" x14ac:dyDescent="0.3">
      <c r="A2475" s="14">
        <v>2025</v>
      </c>
      <c r="B2475" s="14">
        <f t="shared" si="116"/>
        <v>29</v>
      </c>
      <c r="C2475" s="9">
        <v>45852</v>
      </c>
      <c r="D2475" s="9">
        <v>45856</v>
      </c>
      <c r="E2475" s="14">
        <f>VLOOKUP(F2475,CarrierID!A:B,2,0)</f>
        <v>3</v>
      </c>
      <c r="F2475" s="15" t="s">
        <v>6</v>
      </c>
      <c r="G2475" t="str">
        <f>VLOOKUP(F2475,Carrier_Category!A:B,2,0)</f>
        <v>Commuter</v>
      </c>
      <c r="H2475" s="16">
        <v>203</v>
      </c>
      <c r="I2475" s="17">
        <f t="shared" si="118"/>
        <v>22</v>
      </c>
      <c r="J2475" s="16">
        <v>5709</v>
      </c>
      <c r="K2475" s="18">
        <f t="shared" si="117"/>
        <v>28.123152709359605</v>
      </c>
    </row>
    <row r="2476" spans="1:11" x14ac:dyDescent="0.3">
      <c r="A2476" s="14">
        <v>2025</v>
      </c>
      <c r="B2476" s="14">
        <f t="shared" si="116"/>
        <v>29</v>
      </c>
      <c r="C2476" s="9">
        <v>45852</v>
      </c>
      <c r="D2476" s="9">
        <v>45856</v>
      </c>
      <c r="E2476" s="14">
        <f>VLOOKUP(F2476,CarrierID!A:B,2,0)</f>
        <v>12</v>
      </c>
      <c r="F2476" s="15" t="s">
        <v>25</v>
      </c>
      <c r="G2476" t="str">
        <f>VLOOKUP(F2476,Carrier_Category!A:B,2,0)</f>
        <v>Commuter</v>
      </c>
      <c r="H2476" s="16">
        <v>22</v>
      </c>
      <c r="I2476" s="17">
        <f t="shared" si="118"/>
        <v>203</v>
      </c>
      <c r="J2476" s="16">
        <v>654</v>
      </c>
      <c r="K2476" s="18">
        <f t="shared" si="117"/>
        <v>29.727272727272727</v>
      </c>
    </row>
    <row r="2477" spans="1:11" x14ac:dyDescent="0.3">
      <c r="A2477" s="14">
        <v>2025</v>
      </c>
      <c r="B2477" s="14">
        <f t="shared" si="116"/>
        <v>29</v>
      </c>
      <c r="C2477" s="9">
        <v>45852</v>
      </c>
      <c r="D2477" s="9">
        <v>45856</v>
      </c>
      <c r="E2477" s="14">
        <f>VLOOKUP(F2477,CarrierID!A:B,2,0)</f>
        <v>10</v>
      </c>
      <c r="F2477" s="15" t="s">
        <v>8</v>
      </c>
      <c r="G2477" t="str">
        <f>VLOOKUP(F2477,Carrier_Category!A:B,2,0)</f>
        <v>Intercity</v>
      </c>
      <c r="H2477" s="16">
        <v>50</v>
      </c>
      <c r="I2477" s="17">
        <f t="shared" si="118"/>
        <v>18</v>
      </c>
      <c r="J2477" s="16">
        <v>1771</v>
      </c>
      <c r="K2477" s="18">
        <f t="shared" si="117"/>
        <v>35.42</v>
      </c>
    </row>
    <row r="2478" spans="1:11" x14ac:dyDescent="0.3">
      <c r="A2478" s="14">
        <v>2025</v>
      </c>
      <c r="B2478" s="14">
        <f t="shared" si="116"/>
        <v>29</v>
      </c>
      <c r="C2478" s="9">
        <v>45852</v>
      </c>
      <c r="D2478" s="9">
        <v>45856</v>
      </c>
      <c r="E2478" s="14">
        <f>VLOOKUP(F2478,CarrierID!A:B,2,0)</f>
        <v>6</v>
      </c>
      <c r="F2478" s="15" t="s">
        <v>9</v>
      </c>
      <c r="G2478" t="str">
        <f>VLOOKUP(F2478,Carrier_Category!A:B,2,0)</f>
        <v>Commuter</v>
      </c>
      <c r="H2478" s="16">
        <v>87</v>
      </c>
      <c r="I2478" s="17">
        <f t="shared" si="118"/>
        <v>51</v>
      </c>
      <c r="J2478" s="16">
        <v>1771</v>
      </c>
      <c r="K2478" s="18">
        <f t="shared" si="117"/>
        <v>20.356321839080461</v>
      </c>
    </row>
    <row r="2479" spans="1:11" x14ac:dyDescent="0.3">
      <c r="A2479" s="14">
        <v>2025</v>
      </c>
      <c r="B2479" s="14">
        <f t="shared" si="116"/>
        <v>30</v>
      </c>
      <c r="C2479" s="9">
        <v>45859</v>
      </c>
      <c r="D2479" s="9">
        <v>45863</v>
      </c>
      <c r="E2479" s="14">
        <f>VLOOKUP(F2479,CarrierID!A:B,2,0)</f>
        <v>1</v>
      </c>
      <c r="F2479" s="15" t="s">
        <v>0</v>
      </c>
      <c r="G2479" t="str">
        <f>VLOOKUP(F2479,Carrier_Category!A:B,2,0)</f>
        <v>Commuter</v>
      </c>
      <c r="H2479" s="16">
        <v>46</v>
      </c>
      <c r="I2479" s="17">
        <f t="shared" si="118"/>
        <v>79</v>
      </c>
      <c r="J2479" s="16">
        <v>1487</v>
      </c>
      <c r="K2479" s="18">
        <f t="shared" si="117"/>
        <v>32.326086956521742</v>
      </c>
    </row>
    <row r="2480" spans="1:11" x14ac:dyDescent="0.3">
      <c r="A2480" s="14">
        <v>2025</v>
      </c>
      <c r="B2480" s="14">
        <f t="shared" si="116"/>
        <v>30</v>
      </c>
      <c r="C2480" s="9">
        <v>45859</v>
      </c>
      <c r="D2480" s="9">
        <v>45863</v>
      </c>
      <c r="E2480" s="14">
        <f>VLOOKUP(F2480,CarrierID!A:B,2,0)</f>
        <v>5</v>
      </c>
      <c r="F2480" s="15" t="s">
        <v>1</v>
      </c>
      <c r="G2480" t="str">
        <f>VLOOKUP(F2480,Carrier_Category!A:B,2,0)</f>
        <v>Intercity</v>
      </c>
      <c r="H2480" s="16">
        <v>63</v>
      </c>
      <c r="I2480" s="17">
        <f t="shared" si="118"/>
        <v>46</v>
      </c>
      <c r="J2480" s="16">
        <v>1439</v>
      </c>
      <c r="K2480" s="18">
        <f t="shared" si="117"/>
        <v>22.841269841269842</v>
      </c>
    </row>
    <row r="2481" spans="1:11" x14ac:dyDescent="0.3">
      <c r="A2481" s="14">
        <v>2025</v>
      </c>
      <c r="B2481" s="14">
        <f t="shared" si="116"/>
        <v>30</v>
      </c>
      <c r="C2481" s="9">
        <v>45859</v>
      </c>
      <c r="D2481" s="9">
        <v>45863</v>
      </c>
      <c r="E2481" s="14">
        <f>VLOOKUP(F2481,CarrierID!A:B,2,0)</f>
        <v>8</v>
      </c>
      <c r="F2481" s="15" t="s">
        <v>2</v>
      </c>
      <c r="G2481" t="str">
        <f>VLOOKUP(F2481,Carrier_Category!A:B,2,0)</f>
        <v>Commuter</v>
      </c>
      <c r="H2481" s="16">
        <v>18</v>
      </c>
      <c r="I2481" s="17">
        <f t="shared" si="118"/>
        <v>63</v>
      </c>
      <c r="J2481" s="16">
        <v>781</v>
      </c>
      <c r="K2481" s="18">
        <f t="shared" si="117"/>
        <v>43.388888888888886</v>
      </c>
    </row>
    <row r="2482" spans="1:11" x14ac:dyDescent="0.3">
      <c r="A2482" s="14">
        <v>2025</v>
      </c>
      <c r="B2482" s="14">
        <f t="shared" si="116"/>
        <v>30</v>
      </c>
      <c r="C2482" s="9">
        <v>45859</v>
      </c>
      <c r="D2482" s="9">
        <v>45863</v>
      </c>
      <c r="E2482" s="14">
        <f>VLOOKUP(F2482,CarrierID!A:B,2,0)</f>
        <v>9</v>
      </c>
      <c r="F2482" s="15" t="s">
        <v>3</v>
      </c>
      <c r="G2482" t="str">
        <f>VLOOKUP(F2482,Carrier_Category!A:B,2,0)</f>
        <v>NJT</v>
      </c>
      <c r="H2482" s="16">
        <v>2472</v>
      </c>
      <c r="I2482" s="17">
        <f t="shared" si="118"/>
        <v>18</v>
      </c>
      <c r="J2482" s="16">
        <v>90257</v>
      </c>
      <c r="K2482" s="18">
        <f t="shared" si="117"/>
        <v>36.511731391585762</v>
      </c>
    </row>
    <row r="2483" spans="1:11" x14ac:dyDescent="0.3">
      <c r="A2483" s="14">
        <v>2025</v>
      </c>
      <c r="B2483" s="14">
        <f t="shared" si="116"/>
        <v>30</v>
      </c>
      <c r="C2483" s="9">
        <v>45859</v>
      </c>
      <c r="D2483" s="9">
        <v>45863</v>
      </c>
      <c r="E2483" s="14">
        <f>VLOOKUP(F2483,CarrierID!A:B,2,0)</f>
        <v>7</v>
      </c>
      <c r="F2483" s="15" t="s">
        <v>4</v>
      </c>
      <c r="G2483" t="str">
        <f>VLOOKUP(F2483,Carrier_Category!A:B,2,0)</f>
        <v>Commuter</v>
      </c>
      <c r="H2483" s="16">
        <v>42</v>
      </c>
      <c r="I2483" s="17">
        <f t="shared" si="118"/>
        <v>2466</v>
      </c>
      <c r="J2483" s="16">
        <v>1476</v>
      </c>
      <c r="K2483" s="18">
        <f t="shared" si="117"/>
        <v>35.142857142857146</v>
      </c>
    </row>
    <row r="2484" spans="1:11" x14ac:dyDescent="0.3">
      <c r="A2484" s="14">
        <v>2025</v>
      </c>
      <c r="B2484" s="14">
        <f t="shared" si="116"/>
        <v>30</v>
      </c>
      <c r="C2484" s="9">
        <v>45859</v>
      </c>
      <c r="D2484" s="9">
        <v>45863</v>
      </c>
      <c r="E2484" s="14">
        <f>VLOOKUP(F2484,CarrierID!A:B,2,0)</f>
        <v>11</v>
      </c>
      <c r="F2484" s="15" t="s">
        <v>5</v>
      </c>
      <c r="G2484" t="str">
        <f>VLOOKUP(F2484,Carrier_Category!A:B,2,0)</f>
        <v>Intercity</v>
      </c>
      <c r="H2484" s="16">
        <v>23</v>
      </c>
      <c r="I2484" s="17">
        <f t="shared" si="118"/>
        <v>42</v>
      </c>
      <c r="J2484" s="16">
        <v>585</v>
      </c>
      <c r="K2484" s="18">
        <f t="shared" si="117"/>
        <v>25.434782608695652</v>
      </c>
    </row>
    <row r="2485" spans="1:11" x14ac:dyDescent="0.3">
      <c r="A2485" s="14">
        <v>2025</v>
      </c>
      <c r="B2485" s="14">
        <f t="shared" si="116"/>
        <v>30</v>
      </c>
      <c r="C2485" s="9">
        <v>45859</v>
      </c>
      <c r="D2485" s="9">
        <v>45863</v>
      </c>
      <c r="E2485" s="14">
        <f>VLOOKUP(F2485,CarrierID!A:B,2,0)</f>
        <v>3</v>
      </c>
      <c r="F2485" s="15" t="s">
        <v>6</v>
      </c>
      <c r="G2485" t="str">
        <f>VLOOKUP(F2485,Carrier_Category!A:B,2,0)</f>
        <v>Commuter</v>
      </c>
      <c r="H2485" s="16">
        <v>203</v>
      </c>
      <c r="I2485" s="17">
        <f t="shared" si="118"/>
        <v>23</v>
      </c>
      <c r="J2485" s="16">
        <v>5709</v>
      </c>
      <c r="K2485" s="18">
        <f t="shared" si="117"/>
        <v>28.123152709359605</v>
      </c>
    </row>
    <row r="2486" spans="1:11" x14ac:dyDescent="0.3">
      <c r="A2486" s="14">
        <v>2025</v>
      </c>
      <c r="B2486" s="14">
        <f t="shared" si="116"/>
        <v>30</v>
      </c>
      <c r="C2486" s="9">
        <v>45859</v>
      </c>
      <c r="D2486" s="9">
        <v>45863</v>
      </c>
      <c r="E2486" s="14">
        <f>VLOOKUP(F2486,CarrierID!A:B,2,0)</f>
        <v>12</v>
      </c>
      <c r="F2486" s="15" t="s">
        <v>25</v>
      </c>
      <c r="G2486" t="str">
        <f>VLOOKUP(F2486,Carrier_Category!A:B,2,0)</f>
        <v>Commuter</v>
      </c>
      <c r="H2486" s="16">
        <v>23</v>
      </c>
      <c r="I2486" s="17">
        <f t="shared" si="118"/>
        <v>203</v>
      </c>
      <c r="J2486" s="16">
        <v>679</v>
      </c>
      <c r="K2486" s="18">
        <f t="shared" si="117"/>
        <v>29.521739130434781</v>
      </c>
    </row>
    <row r="2487" spans="1:11" x14ac:dyDescent="0.3">
      <c r="A2487" s="14">
        <v>2025</v>
      </c>
      <c r="B2487" s="14">
        <f t="shared" si="116"/>
        <v>30</v>
      </c>
      <c r="C2487" s="9">
        <v>45859</v>
      </c>
      <c r="D2487" s="9">
        <v>45863</v>
      </c>
      <c r="E2487" s="14">
        <f>VLOOKUP(F2487,CarrierID!A:B,2,0)</f>
        <v>10</v>
      </c>
      <c r="F2487" s="15" t="s">
        <v>8</v>
      </c>
      <c r="G2487" t="str">
        <f>VLOOKUP(F2487,Carrier_Category!A:B,2,0)</f>
        <v>Intercity</v>
      </c>
      <c r="H2487" s="16">
        <v>50</v>
      </c>
      <c r="I2487" s="17">
        <f t="shared" si="118"/>
        <v>22</v>
      </c>
      <c r="J2487" s="16">
        <v>1771</v>
      </c>
      <c r="K2487" s="18">
        <f t="shared" si="117"/>
        <v>35.42</v>
      </c>
    </row>
    <row r="2488" spans="1:11" x14ac:dyDescent="0.3">
      <c r="A2488" s="14">
        <v>2025</v>
      </c>
      <c r="B2488" s="14">
        <f t="shared" si="116"/>
        <v>30</v>
      </c>
      <c r="C2488" s="9">
        <v>45859</v>
      </c>
      <c r="D2488" s="9">
        <v>45863</v>
      </c>
      <c r="E2488" s="14">
        <f>VLOOKUP(F2488,CarrierID!A:B,2,0)</f>
        <v>6</v>
      </c>
      <c r="F2488" s="15" t="s">
        <v>9</v>
      </c>
      <c r="G2488" t="str">
        <f>VLOOKUP(F2488,Carrier_Category!A:B,2,0)</f>
        <v>Commuter</v>
      </c>
      <c r="H2488" s="16">
        <v>88</v>
      </c>
      <c r="I2488" s="17">
        <f t="shared" si="118"/>
        <v>50</v>
      </c>
      <c r="J2488" s="16">
        <v>1750</v>
      </c>
      <c r="K2488" s="18">
        <f t="shared" si="117"/>
        <v>19.886363636363637</v>
      </c>
    </row>
    <row r="2489" spans="1:11" x14ac:dyDescent="0.3">
      <c r="A2489" s="14">
        <v>2025</v>
      </c>
      <c r="B2489" s="14">
        <f t="shared" si="116"/>
        <v>31</v>
      </c>
      <c r="C2489" s="9">
        <v>45866</v>
      </c>
      <c r="D2489" s="9">
        <v>45870</v>
      </c>
      <c r="E2489" s="14">
        <f>VLOOKUP(F2489,CarrierID!A:B,2,0)</f>
        <v>1</v>
      </c>
      <c r="F2489" s="15" t="s">
        <v>0</v>
      </c>
      <c r="G2489" t="str">
        <f>VLOOKUP(F2489,Carrier_Category!A:B,2,0)</f>
        <v>Commuter</v>
      </c>
      <c r="H2489" s="16">
        <v>46</v>
      </c>
      <c r="I2489" s="17">
        <f t="shared" si="118"/>
        <v>87</v>
      </c>
      <c r="J2489" s="16">
        <v>1487</v>
      </c>
      <c r="K2489" s="18">
        <f t="shared" si="117"/>
        <v>32.326086956521742</v>
      </c>
    </row>
    <row r="2490" spans="1:11" x14ac:dyDescent="0.3">
      <c r="A2490" s="14">
        <v>2025</v>
      </c>
      <c r="B2490" s="14">
        <f t="shared" si="116"/>
        <v>31</v>
      </c>
      <c r="C2490" s="9">
        <v>45866</v>
      </c>
      <c r="D2490" s="9">
        <v>45870</v>
      </c>
      <c r="E2490" s="14">
        <f>VLOOKUP(F2490,CarrierID!A:B,2,0)</f>
        <v>5</v>
      </c>
      <c r="F2490" s="15" t="s">
        <v>1</v>
      </c>
      <c r="G2490" t="str">
        <f>VLOOKUP(F2490,Carrier_Category!A:B,2,0)</f>
        <v>Intercity</v>
      </c>
      <c r="H2490" s="16">
        <v>63</v>
      </c>
      <c r="I2490" s="17">
        <f t="shared" si="118"/>
        <v>46</v>
      </c>
      <c r="J2490" s="16">
        <v>1439</v>
      </c>
      <c r="K2490" s="18">
        <f t="shared" si="117"/>
        <v>22.841269841269842</v>
      </c>
    </row>
    <row r="2491" spans="1:11" x14ac:dyDescent="0.3">
      <c r="A2491" s="14">
        <v>2025</v>
      </c>
      <c r="B2491" s="14">
        <f t="shared" si="116"/>
        <v>31</v>
      </c>
      <c r="C2491" s="9">
        <v>45866</v>
      </c>
      <c r="D2491" s="9">
        <v>45870</v>
      </c>
      <c r="E2491" s="14">
        <f>VLOOKUP(F2491,CarrierID!A:B,2,0)</f>
        <v>8</v>
      </c>
      <c r="F2491" s="15" t="s">
        <v>2</v>
      </c>
      <c r="G2491" t="str">
        <f>VLOOKUP(F2491,Carrier_Category!A:B,2,0)</f>
        <v>Commuter</v>
      </c>
      <c r="H2491" s="16">
        <v>18</v>
      </c>
      <c r="I2491" s="17">
        <f t="shared" si="118"/>
        <v>63</v>
      </c>
      <c r="J2491" s="16">
        <v>753</v>
      </c>
      <c r="K2491" s="18">
        <f t="shared" si="117"/>
        <v>41.833333333333336</v>
      </c>
    </row>
    <row r="2492" spans="1:11" x14ac:dyDescent="0.3">
      <c r="A2492" s="14">
        <v>2025</v>
      </c>
      <c r="B2492" s="14">
        <f t="shared" si="116"/>
        <v>31</v>
      </c>
      <c r="C2492" s="9">
        <v>45866</v>
      </c>
      <c r="D2492" s="9">
        <v>45870</v>
      </c>
      <c r="E2492" s="14">
        <f>VLOOKUP(F2492,CarrierID!A:B,2,0)</f>
        <v>9</v>
      </c>
      <c r="F2492" s="15" t="s">
        <v>3</v>
      </c>
      <c r="G2492" t="str">
        <f>VLOOKUP(F2492,Carrier_Category!A:B,2,0)</f>
        <v>NJT</v>
      </c>
      <c r="H2492" s="16">
        <v>2481</v>
      </c>
      <c r="I2492" s="17">
        <f t="shared" si="118"/>
        <v>18</v>
      </c>
      <c r="J2492" s="16">
        <v>86268</v>
      </c>
      <c r="K2492" s="18">
        <f t="shared" si="117"/>
        <v>34.771463119709793</v>
      </c>
    </row>
    <row r="2493" spans="1:11" x14ac:dyDescent="0.3">
      <c r="A2493" s="14">
        <v>2025</v>
      </c>
      <c r="B2493" s="14">
        <f t="shared" ref="B2493:B2498" si="119">_xlfn.ISOWEEKNUM(C2493)</f>
        <v>31</v>
      </c>
      <c r="C2493" s="9">
        <v>45866</v>
      </c>
      <c r="D2493" s="9">
        <v>45870</v>
      </c>
      <c r="E2493" s="14">
        <f>VLOOKUP(F2493,CarrierID!A:B,2,0)</f>
        <v>7</v>
      </c>
      <c r="F2493" s="15" t="s">
        <v>4</v>
      </c>
      <c r="G2493" t="str">
        <f>VLOOKUP(F2493,Carrier_Category!A:B,2,0)</f>
        <v>Commuter</v>
      </c>
      <c r="H2493" s="16">
        <v>42</v>
      </c>
      <c r="I2493" s="17">
        <f t="shared" ref="I2493:I2498" si="120">H2482</f>
        <v>2472</v>
      </c>
      <c r="J2493" s="16">
        <v>1417</v>
      </c>
      <c r="K2493" s="18">
        <f t="shared" ref="K2493:K2497" si="121">J2493/H2493</f>
        <v>33.738095238095241</v>
      </c>
    </row>
    <row r="2494" spans="1:11" x14ac:dyDescent="0.3">
      <c r="A2494" s="14">
        <v>2025</v>
      </c>
      <c r="B2494" s="14">
        <f t="shared" si="119"/>
        <v>31</v>
      </c>
      <c r="C2494" s="9">
        <v>45866</v>
      </c>
      <c r="D2494" s="9">
        <v>45870</v>
      </c>
      <c r="E2494" s="14">
        <f>VLOOKUP(F2494,CarrierID!A:B,2,0)</f>
        <v>11</v>
      </c>
      <c r="F2494" s="15" t="s">
        <v>5</v>
      </c>
      <c r="G2494" t="str">
        <f>VLOOKUP(F2494,Carrier_Category!A:B,2,0)</f>
        <v>Intercity</v>
      </c>
      <c r="H2494" s="16">
        <v>23</v>
      </c>
      <c r="I2494" s="17">
        <f t="shared" si="120"/>
        <v>42</v>
      </c>
      <c r="J2494" s="16">
        <v>585</v>
      </c>
      <c r="K2494" s="18">
        <f t="shared" si="121"/>
        <v>25.434782608695652</v>
      </c>
    </row>
    <row r="2495" spans="1:11" x14ac:dyDescent="0.3">
      <c r="A2495" s="14">
        <v>2025</v>
      </c>
      <c r="B2495" s="14">
        <f t="shared" si="119"/>
        <v>31</v>
      </c>
      <c r="C2495" s="9">
        <v>45866</v>
      </c>
      <c r="D2495" s="9">
        <v>45870</v>
      </c>
      <c r="E2495" s="14">
        <f>VLOOKUP(F2495,CarrierID!A:B,2,0)</f>
        <v>3</v>
      </c>
      <c r="F2495" s="15" t="s">
        <v>6</v>
      </c>
      <c r="G2495" t="str">
        <f>VLOOKUP(F2495,Carrier_Category!A:B,2,0)</f>
        <v>Commuter</v>
      </c>
      <c r="H2495" s="16">
        <v>203</v>
      </c>
      <c r="I2495" s="17">
        <f t="shared" si="120"/>
        <v>23</v>
      </c>
      <c r="J2495" s="16">
        <v>5709</v>
      </c>
      <c r="K2495" s="18">
        <f t="shared" si="121"/>
        <v>28.123152709359605</v>
      </c>
    </row>
    <row r="2496" spans="1:11" x14ac:dyDescent="0.3">
      <c r="A2496" s="14">
        <v>2025</v>
      </c>
      <c r="B2496" s="14">
        <f t="shared" si="119"/>
        <v>31</v>
      </c>
      <c r="C2496" s="9">
        <v>45866</v>
      </c>
      <c r="D2496" s="9">
        <v>45870</v>
      </c>
      <c r="E2496" s="14">
        <f>VLOOKUP(F2496,CarrierID!A:B,2,0)</f>
        <v>12</v>
      </c>
      <c r="F2496" s="15" t="s">
        <v>25</v>
      </c>
      <c r="G2496" t="str">
        <f>VLOOKUP(F2496,Carrier_Category!A:B,2,0)</f>
        <v>Commuter</v>
      </c>
      <c r="H2496" s="16">
        <v>23</v>
      </c>
      <c r="I2496" s="17">
        <f t="shared" si="120"/>
        <v>203</v>
      </c>
      <c r="J2496" s="16">
        <v>677</v>
      </c>
      <c r="K2496" s="18">
        <f t="shared" si="121"/>
        <v>29.434782608695652</v>
      </c>
    </row>
    <row r="2497" spans="1:11" x14ac:dyDescent="0.3">
      <c r="A2497" s="14">
        <v>2025</v>
      </c>
      <c r="B2497" s="14">
        <f t="shared" si="119"/>
        <v>31</v>
      </c>
      <c r="C2497" s="9">
        <v>45866</v>
      </c>
      <c r="D2497" s="9">
        <v>45870</v>
      </c>
      <c r="E2497" s="14">
        <f>VLOOKUP(F2497,CarrierID!A:B,2,0)</f>
        <v>10</v>
      </c>
      <c r="F2497" s="15" t="s">
        <v>8</v>
      </c>
      <c r="G2497" t="str">
        <f>VLOOKUP(F2497,Carrier_Category!A:B,2,0)</f>
        <v>Intercity</v>
      </c>
      <c r="H2497" s="16">
        <v>50</v>
      </c>
      <c r="I2497" s="17">
        <f t="shared" si="120"/>
        <v>23</v>
      </c>
      <c r="J2497" s="16">
        <v>1771</v>
      </c>
      <c r="K2497" s="18">
        <f t="shared" si="121"/>
        <v>35.42</v>
      </c>
    </row>
    <row r="2498" spans="1:11" x14ac:dyDescent="0.3">
      <c r="A2498" s="14">
        <v>2025</v>
      </c>
      <c r="B2498" s="14">
        <f t="shared" si="119"/>
        <v>31</v>
      </c>
      <c r="C2498" s="9">
        <v>45866</v>
      </c>
      <c r="D2498" s="9">
        <v>45870</v>
      </c>
      <c r="E2498" s="14">
        <f>VLOOKUP(F2498,CarrierID!A:B,2,0)</f>
        <v>6</v>
      </c>
      <c r="F2498" s="15" t="s">
        <v>9</v>
      </c>
      <c r="G2498" t="str">
        <f>VLOOKUP(F2498,Carrier_Category!A:B,2,0)</f>
        <v>Commuter</v>
      </c>
      <c r="H2498" s="16">
        <v>86</v>
      </c>
      <c r="I2498" s="17">
        <f t="shared" si="120"/>
        <v>50</v>
      </c>
      <c r="J2498" s="16">
        <v>1718</v>
      </c>
      <c r="K2498" s="18">
        <f>J2498/H2498</f>
        <v>19.976744186046513</v>
      </c>
    </row>
    <row r="2499" spans="1:11" x14ac:dyDescent="0.3">
      <c r="I2499" s="7"/>
    </row>
    <row r="2500" spans="1:11" x14ac:dyDescent="0.3">
      <c r="I2500" s="7"/>
    </row>
    <row r="2501" spans="1:11" x14ac:dyDescent="0.3">
      <c r="I2501" s="7"/>
    </row>
    <row r="2502" spans="1:11" x14ac:dyDescent="0.3">
      <c r="I2502" s="7"/>
    </row>
    <row r="2503" spans="1:11" x14ac:dyDescent="0.3">
      <c r="I2503" s="7"/>
    </row>
    <row r="2504" spans="1:11" x14ac:dyDescent="0.3">
      <c r="I2504" s="7"/>
    </row>
    <row r="2505" spans="1:11" x14ac:dyDescent="0.3">
      <c r="I2505" s="7"/>
    </row>
    <row r="2506" spans="1:11" x14ac:dyDescent="0.3">
      <c r="I2506" s="7"/>
    </row>
    <row r="2507" spans="1:11" x14ac:dyDescent="0.3">
      <c r="I2507" s="7"/>
    </row>
    <row r="2508" spans="1:11" x14ac:dyDescent="0.3">
      <c r="I2508" s="7"/>
    </row>
    <row r="2509" spans="1:11" x14ac:dyDescent="0.3">
      <c r="I2509" s="7"/>
    </row>
    <row r="2510" spans="1:11" x14ac:dyDescent="0.3">
      <c r="I2510" s="7"/>
    </row>
    <row r="2511" spans="1:11" x14ac:dyDescent="0.3">
      <c r="I2511" s="7"/>
    </row>
    <row r="2512" spans="1:11" x14ac:dyDescent="0.3">
      <c r="I2512" s="7"/>
    </row>
    <row r="2513" spans="9:9" x14ac:dyDescent="0.3">
      <c r="I2513" s="7"/>
    </row>
    <row r="2514" spans="9:9" x14ac:dyDescent="0.3">
      <c r="I2514" s="7"/>
    </row>
    <row r="2515" spans="9:9" x14ac:dyDescent="0.3">
      <c r="I2515" s="7"/>
    </row>
    <row r="2516" spans="9:9" x14ac:dyDescent="0.3">
      <c r="I2516" s="7"/>
    </row>
    <row r="2517" spans="9:9" x14ac:dyDescent="0.3">
      <c r="I2517" s="7"/>
    </row>
    <row r="2518" spans="9:9" x14ac:dyDescent="0.3">
      <c r="I2518" s="7"/>
    </row>
    <row r="2519" spans="9:9" x14ac:dyDescent="0.3">
      <c r="I2519" s="7"/>
    </row>
    <row r="2520" spans="9:9" x14ac:dyDescent="0.3">
      <c r="I2520" s="7"/>
    </row>
    <row r="2521" spans="9:9" x14ac:dyDescent="0.3">
      <c r="I2521" s="7"/>
    </row>
  </sheetData>
  <autoFilter ref="A1:K2522" xr:uid="{A191CC17-11E4-42E3-973D-12DCD90C1513}"/>
  <phoneticPr fontId="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E1D54-1487-4264-90EA-55B32DD693DC}">
  <sheetPr>
    <tabColor theme="4" tint="-0.499984740745262"/>
  </sheetPr>
  <dimension ref="A1:D13"/>
  <sheetViews>
    <sheetView workbookViewId="0"/>
  </sheetViews>
  <sheetFormatPr defaultRowHeight="14.4" x14ac:dyDescent="0.3"/>
  <cols>
    <col min="1" max="3" width="15.88671875" customWidth="1"/>
    <col min="4" max="4" width="22.6640625" bestFit="1" customWidth="1"/>
    <col min="8" max="8" width="15.88671875" bestFit="1" customWidth="1"/>
    <col min="9" max="9" width="5" bestFit="1" customWidth="1"/>
  </cols>
  <sheetData>
    <row r="1" spans="1:4" x14ac:dyDescent="0.3">
      <c r="A1" s="1" t="s">
        <v>13</v>
      </c>
      <c r="B1" s="1" t="s">
        <v>18</v>
      </c>
      <c r="C1" s="1" t="s">
        <v>19</v>
      </c>
      <c r="D1" s="1" t="s">
        <v>20</v>
      </c>
    </row>
    <row r="2" spans="1:4" x14ac:dyDescent="0.3">
      <c r="A2" t="s">
        <v>0</v>
      </c>
      <c r="B2" s="5">
        <v>113</v>
      </c>
      <c r="C2" s="5">
        <v>4152</v>
      </c>
      <c r="D2" t="s">
        <v>21</v>
      </c>
    </row>
    <row r="3" spans="1:4" x14ac:dyDescent="0.3">
      <c r="A3" t="s">
        <v>1</v>
      </c>
      <c r="B3" s="5">
        <v>118</v>
      </c>
      <c r="C3" s="5">
        <v>3262</v>
      </c>
      <c r="D3" t="s">
        <v>21</v>
      </c>
    </row>
    <row r="4" spans="1:4" x14ac:dyDescent="0.3">
      <c r="A4" t="s">
        <v>2</v>
      </c>
      <c r="B4" s="5">
        <v>47</v>
      </c>
      <c r="C4" s="5">
        <v>1771</v>
      </c>
      <c r="D4" t="s">
        <v>21</v>
      </c>
    </row>
    <row r="5" spans="1:4" x14ac:dyDescent="0.3">
      <c r="A5" t="s">
        <v>3</v>
      </c>
      <c r="B5" s="5">
        <v>2500</v>
      </c>
      <c r="C5" s="5">
        <v>86541</v>
      </c>
      <c r="D5" t="s">
        <v>21</v>
      </c>
    </row>
    <row r="6" spans="1:4" x14ac:dyDescent="0.3">
      <c r="A6" t="s">
        <v>4</v>
      </c>
      <c r="B6" s="5">
        <v>75</v>
      </c>
      <c r="C6" s="5">
        <v>2819</v>
      </c>
      <c r="D6" t="s">
        <v>21</v>
      </c>
    </row>
    <row r="7" spans="1:4" x14ac:dyDescent="0.3">
      <c r="A7" t="s">
        <v>5</v>
      </c>
      <c r="B7" s="5">
        <v>35</v>
      </c>
      <c r="C7" s="5">
        <v>752</v>
      </c>
      <c r="D7" t="s">
        <v>21</v>
      </c>
    </row>
    <row r="8" spans="1:4" x14ac:dyDescent="0.3">
      <c r="A8" t="s">
        <v>6</v>
      </c>
      <c r="B8" s="5">
        <v>460</v>
      </c>
      <c r="C8" s="5">
        <v>14129</v>
      </c>
      <c r="D8" t="s">
        <v>21</v>
      </c>
    </row>
    <row r="9" spans="1:4" x14ac:dyDescent="0.3">
      <c r="A9" t="s">
        <v>7</v>
      </c>
      <c r="B9" s="5">
        <v>61</v>
      </c>
      <c r="C9" s="5">
        <v>1843</v>
      </c>
      <c r="D9" t="s">
        <v>21</v>
      </c>
    </row>
    <row r="10" spans="1:4" x14ac:dyDescent="0.3">
      <c r="A10" t="s">
        <v>8</v>
      </c>
      <c r="B10" s="5">
        <v>44</v>
      </c>
      <c r="C10" s="5">
        <v>1048</v>
      </c>
      <c r="D10" t="s">
        <v>21</v>
      </c>
    </row>
    <row r="11" spans="1:4" x14ac:dyDescent="0.3">
      <c r="A11" t="s">
        <v>44</v>
      </c>
      <c r="B11" s="5">
        <v>3</v>
      </c>
      <c r="C11" s="5">
        <v>55</v>
      </c>
      <c r="D11" t="s">
        <v>21</v>
      </c>
    </row>
    <row r="12" spans="1:4" x14ac:dyDescent="0.3">
      <c r="A12" t="s">
        <v>9</v>
      </c>
      <c r="B12" s="5">
        <v>295</v>
      </c>
      <c r="C12" s="5">
        <v>5504</v>
      </c>
      <c r="D12" t="s">
        <v>21</v>
      </c>
    </row>
    <row r="13" spans="1:4" x14ac:dyDescent="0.3">
      <c r="A13" s="10" t="s">
        <v>39</v>
      </c>
      <c r="B13" s="6">
        <f>SUM(B2:B12)</f>
        <v>3751</v>
      </c>
      <c r="C13" s="6">
        <f>SUM(C2:C12)</f>
        <v>121876</v>
      </c>
      <c r="D1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C1982-1026-47EB-84E8-7A4F2BB7B88A}">
  <sheetPr>
    <tabColor theme="4" tint="-0.249977111117893"/>
  </sheetPr>
  <dimension ref="A1:O2497"/>
  <sheetViews>
    <sheetView workbookViewId="0"/>
  </sheetViews>
  <sheetFormatPr defaultRowHeight="14.4" x14ac:dyDescent="0.3"/>
  <cols>
    <col min="2" max="2" width="11.77734375" customWidth="1"/>
    <col min="3" max="3" width="9.88671875" bestFit="1" customWidth="1"/>
    <col min="4" max="5" width="14.5546875" bestFit="1" customWidth="1"/>
    <col min="7" max="7" width="5" bestFit="1" customWidth="1"/>
    <col min="8" max="8" width="12.5546875" bestFit="1" customWidth="1"/>
    <col min="9" max="10" width="21.109375" bestFit="1" customWidth="1"/>
    <col min="13" max="13" width="5" bestFit="1" customWidth="1"/>
    <col min="14" max="15" width="9.88671875" bestFit="1" customWidth="1"/>
  </cols>
  <sheetData>
    <row r="1" spans="1:15" x14ac:dyDescent="0.3">
      <c r="A1" s="1" t="s">
        <v>31</v>
      </c>
      <c r="B1" s="8" t="s">
        <v>42</v>
      </c>
      <c r="C1" s="8" t="s">
        <v>43</v>
      </c>
      <c r="D1" s="8" t="s">
        <v>22</v>
      </c>
      <c r="E1" s="8" t="s">
        <v>23</v>
      </c>
    </row>
    <row r="2" spans="1:15" x14ac:dyDescent="0.3">
      <c r="A2">
        <f>YEAR(B2)</f>
        <v>2020</v>
      </c>
      <c r="B2" s="9">
        <v>44165</v>
      </c>
      <c r="C2" s="9">
        <f>VLOOKUP(B2,Fact_Carrier_Weekly!C:D,2,0)</f>
        <v>44171</v>
      </c>
      <c r="D2" s="5">
        <f>SUMIF(Fact_Carrier_Weekly!$C:$C, $B2, Fact_Carrier_Weekly!$H:$H)</f>
        <v>2406</v>
      </c>
      <c r="E2" s="5">
        <f>SUMIF(Fact_Carrier_Weekly!$C:$C, $B2, Fact_Carrier_Weekly!$J:$J)</f>
        <v>32301</v>
      </c>
      <c r="F2" s="9"/>
      <c r="H2" s="11" t="s">
        <v>32</v>
      </c>
      <c r="I2" t="s">
        <v>36</v>
      </c>
      <c r="L2" s="9"/>
      <c r="N2" s="9"/>
      <c r="O2" s="9"/>
    </row>
    <row r="3" spans="1:15" x14ac:dyDescent="0.3">
      <c r="A3">
        <f t="shared" ref="A3:A66" si="0">YEAR(B3)</f>
        <v>2020</v>
      </c>
      <c r="B3" s="9">
        <v>44172</v>
      </c>
      <c r="C3" s="9">
        <f>VLOOKUP(B3,Fact_Carrier_Weekly!C:D,2,0)</f>
        <v>44176</v>
      </c>
      <c r="D3" s="5">
        <f>SUMIF(Fact_Carrier_Weekly!$C:$C, $B3, Fact_Carrier_Weekly!$H:$H)</f>
        <v>2489</v>
      </c>
      <c r="E3" s="5">
        <f>SUMIF(Fact_Carrier_Weekly!$C:$C, $B3, Fact_Carrier_Weekly!$J:$J)</f>
        <v>32805</v>
      </c>
      <c r="F3" s="9"/>
      <c r="H3" s="11" t="s">
        <v>33</v>
      </c>
      <c r="I3" t="s">
        <v>36</v>
      </c>
      <c r="L3" s="9"/>
      <c r="N3" s="9"/>
      <c r="O3" s="9"/>
    </row>
    <row r="4" spans="1:15" x14ac:dyDescent="0.3">
      <c r="A4">
        <f t="shared" si="0"/>
        <v>2020</v>
      </c>
      <c r="B4" s="9">
        <v>44179</v>
      </c>
      <c r="C4" s="9">
        <f>VLOOKUP(B4,Fact_Carrier_Weekly!C:D,2,0)</f>
        <v>44183</v>
      </c>
      <c r="D4" s="5">
        <f>SUMIF(Fact_Carrier_Weekly!$C:$C, $B4, Fact_Carrier_Weekly!$H:$H)</f>
        <v>2326</v>
      </c>
      <c r="E4" s="5">
        <f>SUMIF(Fact_Carrier_Weekly!$C:$C, $B4, Fact_Carrier_Weekly!$J:$J)</f>
        <v>32046</v>
      </c>
      <c r="F4" s="9"/>
      <c r="L4" s="9"/>
      <c r="N4" s="9"/>
      <c r="O4" s="9"/>
    </row>
    <row r="5" spans="1:15" x14ac:dyDescent="0.3">
      <c r="A5">
        <f t="shared" si="0"/>
        <v>2020</v>
      </c>
      <c r="B5" s="9">
        <v>44186</v>
      </c>
      <c r="C5" s="9">
        <f>VLOOKUP(B5,Fact_Carrier_Weekly!C:D,2,0)</f>
        <v>44190</v>
      </c>
      <c r="D5" s="5">
        <f>SUMIF(Fact_Carrier_Weekly!$C:$C, $B5, Fact_Carrier_Weekly!$H:$H)</f>
        <v>2407</v>
      </c>
      <c r="E5" s="5">
        <f>SUMIF(Fact_Carrier_Weekly!$C:$C, $B5, Fact_Carrier_Weekly!$J:$J)</f>
        <v>30884</v>
      </c>
      <c r="F5" s="9"/>
      <c r="H5" s="11" t="s">
        <v>34</v>
      </c>
      <c r="I5" t="s">
        <v>37</v>
      </c>
      <c r="J5" t="s">
        <v>38</v>
      </c>
      <c r="L5" s="9"/>
      <c r="N5" s="9"/>
      <c r="O5" s="9"/>
    </row>
    <row r="6" spans="1:15" x14ac:dyDescent="0.3">
      <c r="A6">
        <f t="shared" si="0"/>
        <v>2020</v>
      </c>
      <c r="B6" s="9">
        <v>44193</v>
      </c>
      <c r="C6" s="9">
        <f>VLOOKUP(B6,Fact_Carrier_Weekly!C:D,2,0)</f>
        <v>44196</v>
      </c>
      <c r="D6" s="5">
        <f>SUMIF(Fact_Carrier_Weekly!$C:$C, $B6, Fact_Carrier_Weekly!$H:$H)</f>
        <v>2176</v>
      </c>
      <c r="E6" s="5">
        <f>SUMIF(Fact_Carrier_Weekly!$C:$C, $B6, Fact_Carrier_Weekly!$J:$J)</f>
        <v>26124</v>
      </c>
      <c r="F6" s="9"/>
      <c r="H6" s="12">
        <v>2020</v>
      </c>
      <c r="I6" s="13">
        <v>11804</v>
      </c>
      <c r="J6" s="13">
        <v>154160</v>
      </c>
      <c r="L6" s="9"/>
      <c r="N6" s="9"/>
      <c r="O6" s="9"/>
    </row>
    <row r="7" spans="1:15" x14ac:dyDescent="0.3">
      <c r="A7">
        <f t="shared" si="0"/>
        <v>2021</v>
      </c>
      <c r="B7" s="9">
        <v>44200</v>
      </c>
      <c r="C7" s="9">
        <f>VLOOKUP(B7,Fact_Carrier_Weekly!C:D,2,0)</f>
        <v>44204</v>
      </c>
      <c r="D7" s="5">
        <f>SUMIF(Fact_Carrier_Weekly!$C:$C, $B7, Fact_Carrier_Weekly!$H:$H)</f>
        <v>2431</v>
      </c>
      <c r="E7" s="5">
        <f>SUMIF(Fact_Carrier_Weekly!$C:$C, $B7, Fact_Carrier_Weekly!$J:$J)</f>
        <v>31629</v>
      </c>
      <c r="F7" s="9"/>
      <c r="H7" s="12">
        <v>2021</v>
      </c>
      <c r="I7" s="13">
        <v>125114.4</v>
      </c>
      <c r="J7" s="13">
        <v>2298091</v>
      </c>
      <c r="L7" s="9"/>
      <c r="N7" s="9"/>
      <c r="O7" s="9"/>
    </row>
    <row r="8" spans="1:15" x14ac:dyDescent="0.3">
      <c r="A8">
        <f t="shared" si="0"/>
        <v>2021</v>
      </c>
      <c r="B8" s="9">
        <v>44207</v>
      </c>
      <c r="C8" s="9">
        <f>VLOOKUP(B8,Fact_Carrier_Weekly!C:D,2,0)</f>
        <v>44211</v>
      </c>
      <c r="D8" s="5">
        <f>SUMIF(Fact_Carrier_Weekly!$C:$C, $B8, Fact_Carrier_Weekly!$H:$H)</f>
        <v>2373</v>
      </c>
      <c r="E8" s="5">
        <f>SUMIF(Fact_Carrier_Weekly!$C:$C, $B8, Fact_Carrier_Weekly!$J:$J)</f>
        <v>31777</v>
      </c>
      <c r="F8" s="9"/>
      <c r="H8" s="12">
        <v>2022</v>
      </c>
      <c r="I8" s="13">
        <v>133642</v>
      </c>
      <c r="J8" s="13">
        <v>3562422.2</v>
      </c>
      <c r="L8" s="9"/>
      <c r="N8" s="9"/>
      <c r="O8" s="9"/>
    </row>
    <row r="9" spans="1:15" x14ac:dyDescent="0.3">
      <c r="A9">
        <f t="shared" si="0"/>
        <v>2021</v>
      </c>
      <c r="B9" s="9">
        <v>44214</v>
      </c>
      <c r="C9" s="9">
        <f>VLOOKUP(B9,Fact_Carrier_Weekly!C:D,2,0)</f>
        <v>44218</v>
      </c>
      <c r="D9" s="5">
        <f>SUMIF(Fact_Carrier_Weekly!$C:$C, $B9, Fact_Carrier_Weekly!$H:$H)</f>
        <v>2319</v>
      </c>
      <c r="E9" s="5">
        <f>SUMIF(Fact_Carrier_Weekly!$C:$C, $B9, Fact_Carrier_Weekly!$J:$J)</f>
        <v>29413</v>
      </c>
      <c r="F9" s="9"/>
      <c r="H9" s="12">
        <v>2023</v>
      </c>
      <c r="I9" s="13">
        <v>145317</v>
      </c>
      <c r="J9" s="13">
        <v>4520408.4000000004</v>
      </c>
      <c r="L9" s="9"/>
      <c r="N9" s="9"/>
      <c r="O9" s="9"/>
    </row>
    <row r="10" spans="1:15" x14ac:dyDescent="0.3">
      <c r="A10">
        <f t="shared" si="0"/>
        <v>2021</v>
      </c>
      <c r="B10" s="9">
        <v>44221</v>
      </c>
      <c r="C10" s="9">
        <f>VLOOKUP(B10,Fact_Carrier_Weekly!C:D,2,0)</f>
        <v>44225</v>
      </c>
      <c r="D10" s="5">
        <f>SUMIF(Fact_Carrier_Weekly!$C:$C, $B10, Fact_Carrier_Weekly!$H:$H)</f>
        <v>2336</v>
      </c>
      <c r="E10" s="5">
        <f>SUMIF(Fact_Carrier_Weekly!$C:$C, $B10, Fact_Carrier_Weekly!$J:$J)</f>
        <v>32199</v>
      </c>
      <c r="F10" s="9"/>
      <c r="H10" s="12">
        <v>2024</v>
      </c>
      <c r="I10" s="13">
        <v>143135</v>
      </c>
      <c r="J10" s="13">
        <v>4707851</v>
      </c>
      <c r="L10" s="9"/>
      <c r="N10" s="9"/>
      <c r="O10" s="9"/>
    </row>
    <row r="11" spans="1:15" x14ac:dyDescent="0.3">
      <c r="A11">
        <f t="shared" si="0"/>
        <v>2021</v>
      </c>
      <c r="B11" s="9">
        <v>44228</v>
      </c>
      <c r="C11" s="9">
        <f>VLOOKUP(B11,Fact_Carrier_Weekly!C:D,2,0)</f>
        <v>44232</v>
      </c>
      <c r="D11" s="5">
        <f>SUMIF(Fact_Carrier_Weekly!$C:$C, $B11, Fact_Carrier_Weekly!$H:$H)</f>
        <v>2358</v>
      </c>
      <c r="E11" s="5">
        <f>SUMIF(Fact_Carrier_Weekly!$C:$C, $B11, Fact_Carrier_Weekly!$J:$J)</f>
        <v>30725</v>
      </c>
      <c r="F11" s="9"/>
      <c r="H11" s="12">
        <v>2025</v>
      </c>
      <c r="I11" s="13">
        <v>88826</v>
      </c>
      <c r="J11" s="13">
        <v>2979836</v>
      </c>
      <c r="L11" s="9"/>
      <c r="N11" s="9"/>
      <c r="O11" s="9"/>
    </row>
    <row r="12" spans="1:15" x14ac:dyDescent="0.3">
      <c r="A12">
        <f t="shared" si="0"/>
        <v>2021</v>
      </c>
      <c r="B12" s="9">
        <v>44235</v>
      </c>
      <c r="C12" s="9">
        <f>VLOOKUP(B12,Fact_Carrier_Weekly!C:D,2,0)</f>
        <v>44239</v>
      </c>
      <c r="D12" s="5">
        <f>SUMIF(Fact_Carrier_Weekly!$C:$C, $B12, Fact_Carrier_Weekly!$H:$H)</f>
        <v>2328</v>
      </c>
      <c r="E12" s="5">
        <f>SUMIF(Fact_Carrier_Weekly!$C:$C, $B12, Fact_Carrier_Weekly!$J:$J)</f>
        <v>32185</v>
      </c>
      <c r="F12" s="9"/>
      <c r="H12" s="12" t="s">
        <v>35</v>
      </c>
      <c r="I12" s="13">
        <v>647838.4</v>
      </c>
      <c r="J12" s="13">
        <v>18222768.600000001</v>
      </c>
      <c r="L12" s="9"/>
      <c r="N12" s="9"/>
      <c r="O12" s="9"/>
    </row>
    <row r="13" spans="1:15" x14ac:dyDescent="0.3">
      <c r="A13">
        <f t="shared" si="0"/>
        <v>2021</v>
      </c>
      <c r="B13" s="9">
        <v>44242</v>
      </c>
      <c r="C13" s="9">
        <f>VLOOKUP(B13,Fact_Carrier_Weekly!C:D,2,0)</f>
        <v>44246</v>
      </c>
      <c r="D13" s="5">
        <f>SUMIF(Fact_Carrier_Weekly!$C:$C, $B13, Fact_Carrier_Weekly!$H:$H)</f>
        <v>2559</v>
      </c>
      <c r="E13" s="5">
        <f>SUMIF(Fact_Carrier_Weekly!$C:$C, $B13, Fact_Carrier_Weekly!$J:$J)</f>
        <v>32827</v>
      </c>
      <c r="F13" s="9"/>
      <c r="L13" s="9"/>
      <c r="N13" s="9"/>
      <c r="O13" s="9"/>
    </row>
    <row r="14" spans="1:15" x14ac:dyDescent="0.3">
      <c r="A14">
        <f t="shared" si="0"/>
        <v>2021</v>
      </c>
      <c r="B14" s="9">
        <v>44249</v>
      </c>
      <c r="C14" s="9">
        <f>VLOOKUP(B14,Fact_Carrier_Weekly!C:D,2,0)</f>
        <v>44253</v>
      </c>
      <c r="D14" s="5">
        <f>SUMIF(Fact_Carrier_Weekly!$C:$C, $B14, Fact_Carrier_Weekly!$H:$H)</f>
        <v>2359</v>
      </c>
      <c r="E14" s="5">
        <f>SUMIF(Fact_Carrier_Weekly!$C:$C, $B14, Fact_Carrier_Weekly!$J:$J)</f>
        <v>32990</v>
      </c>
      <c r="F14" s="9"/>
      <c r="L14" s="9"/>
      <c r="N14" s="9"/>
      <c r="O14" s="9"/>
    </row>
    <row r="15" spans="1:15" x14ac:dyDescent="0.3">
      <c r="A15">
        <f t="shared" si="0"/>
        <v>2021</v>
      </c>
      <c r="B15" s="9">
        <v>44257</v>
      </c>
      <c r="C15" s="9">
        <f>VLOOKUP(B15,Fact_Carrier_Weekly!C:D,2,0)</f>
        <v>44260</v>
      </c>
      <c r="D15" s="5">
        <f>SUMIF(Fact_Carrier_Weekly!$C:$C, $B15, Fact_Carrier_Weekly!$H:$H)</f>
        <v>2372</v>
      </c>
      <c r="E15" s="5">
        <f>SUMIF(Fact_Carrier_Weekly!$C:$C, $B15, Fact_Carrier_Weekly!$J:$J)</f>
        <v>35070</v>
      </c>
      <c r="F15" s="9"/>
      <c r="L15" s="9"/>
      <c r="N15" s="9"/>
      <c r="O15" s="9"/>
    </row>
    <row r="16" spans="1:15" x14ac:dyDescent="0.3">
      <c r="A16">
        <f t="shared" si="0"/>
        <v>2021</v>
      </c>
      <c r="B16" s="9">
        <v>44263</v>
      </c>
      <c r="C16" s="9">
        <f>VLOOKUP(B16,Fact_Carrier_Weekly!C:D,2,0)</f>
        <v>44267</v>
      </c>
      <c r="D16" s="5">
        <f>SUMIF(Fact_Carrier_Weekly!$C:$C, $B16, Fact_Carrier_Weekly!$H:$H)</f>
        <v>2384</v>
      </c>
      <c r="E16" s="5">
        <f>SUMIF(Fact_Carrier_Weekly!$C:$C, $B16, Fact_Carrier_Weekly!$J:$J)</f>
        <v>34906</v>
      </c>
      <c r="F16" s="9"/>
      <c r="L16" s="9"/>
      <c r="N16" s="9"/>
      <c r="O16" s="9"/>
    </row>
    <row r="17" spans="1:15" x14ac:dyDescent="0.3">
      <c r="A17">
        <f t="shared" si="0"/>
        <v>2021</v>
      </c>
      <c r="B17" s="9">
        <v>44270</v>
      </c>
      <c r="C17" s="9">
        <f>VLOOKUP(B17,Fact_Carrier_Weekly!C:D,2,0)</f>
        <v>44274</v>
      </c>
      <c r="D17" s="5">
        <f>SUMIF(Fact_Carrier_Weekly!$C:$C, $B17, Fact_Carrier_Weekly!$H:$H)</f>
        <v>2426</v>
      </c>
      <c r="E17" s="5">
        <f>SUMIF(Fact_Carrier_Weekly!$C:$C, $B17, Fact_Carrier_Weekly!$J:$J)</f>
        <v>34201</v>
      </c>
      <c r="F17" s="9"/>
      <c r="L17" s="9"/>
      <c r="N17" s="9"/>
      <c r="O17" s="9"/>
    </row>
    <row r="18" spans="1:15" x14ac:dyDescent="0.3">
      <c r="A18">
        <f t="shared" si="0"/>
        <v>2021</v>
      </c>
      <c r="B18" s="9">
        <v>44277</v>
      </c>
      <c r="C18" s="9">
        <f>VLOOKUP(B18,Fact_Carrier_Weekly!C:D,2,0)</f>
        <v>44281</v>
      </c>
      <c r="D18" s="5">
        <f>SUMIF(Fact_Carrier_Weekly!$C:$C, $B18, Fact_Carrier_Weekly!$H:$H)</f>
        <v>2339</v>
      </c>
      <c r="E18" s="5">
        <f>SUMIF(Fact_Carrier_Weekly!$C:$C, $B18, Fact_Carrier_Weekly!$J:$J)</f>
        <v>33989</v>
      </c>
      <c r="F18" s="9"/>
      <c r="L18" s="9"/>
      <c r="N18" s="9"/>
      <c r="O18" s="9"/>
    </row>
    <row r="19" spans="1:15" x14ac:dyDescent="0.3">
      <c r="A19">
        <f t="shared" si="0"/>
        <v>2021</v>
      </c>
      <c r="B19" s="9">
        <v>44284</v>
      </c>
      <c r="C19" s="9">
        <f>VLOOKUP(B19,Fact_Carrier_Weekly!C:D,2,0)</f>
        <v>44288</v>
      </c>
      <c r="D19" s="5">
        <f>SUMIF(Fact_Carrier_Weekly!$C:$C, $B19, Fact_Carrier_Weekly!$H:$H)</f>
        <v>2439</v>
      </c>
      <c r="E19" s="5">
        <f>SUMIF(Fact_Carrier_Weekly!$C:$C, $B19, Fact_Carrier_Weekly!$J:$J)</f>
        <v>35640</v>
      </c>
      <c r="F19" s="9"/>
      <c r="L19" s="9"/>
      <c r="N19" s="9"/>
      <c r="O19" s="9"/>
    </row>
    <row r="20" spans="1:15" x14ac:dyDescent="0.3">
      <c r="A20">
        <f t="shared" si="0"/>
        <v>2021</v>
      </c>
      <c r="B20" s="9">
        <v>44291</v>
      </c>
      <c r="C20" s="9">
        <f>VLOOKUP(B20,Fact_Carrier_Weekly!C:D,2,0)</f>
        <v>44295</v>
      </c>
      <c r="D20" s="5">
        <f>SUMIF(Fact_Carrier_Weekly!$C:$C, $B20, Fact_Carrier_Weekly!$H:$H)</f>
        <v>2549</v>
      </c>
      <c r="E20" s="5">
        <f>SUMIF(Fact_Carrier_Weekly!$C:$C, $B20, Fact_Carrier_Weekly!$J:$J)</f>
        <v>37202</v>
      </c>
      <c r="F20" s="9"/>
      <c r="L20" s="9"/>
      <c r="N20" s="9"/>
      <c r="O20" s="9"/>
    </row>
    <row r="21" spans="1:15" x14ac:dyDescent="0.3">
      <c r="A21">
        <f t="shared" si="0"/>
        <v>2021</v>
      </c>
      <c r="B21" s="9">
        <v>44298</v>
      </c>
      <c r="C21" s="9">
        <f>VLOOKUP(B21,Fact_Carrier_Weekly!C:D,2,0)</f>
        <v>44302</v>
      </c>
      <c r="D21" s="5">
        <f>SUMIF(Fact_Carrier_Weekly!$C:$C, $B21, Fact_Carrier_Weekly!$H:$H)</f>
        <v>2563</v>
      </c>
      <c r="E21" s="5">
        <f>SUMIF(Fact_Carrier_Weekly!$C:$C, $B21, Fact_Carrier_Weekly!$J:$J)</f>
        <v>36468</v>
      </c>
      <c r="F21" s="9"/>
      <c r="L21" s="9"/>
      <c r="N21" s="9"/>
      <c r="O21" s="9"/>
    </row>
    <row r="22" spans="1:15" x14ac:dyDescent="0.3">
      <c r="A22">
        <f t="shared" si="0"/>
        <v>2021</v>
      </c>
      <c r="B22" s="9">
        <v>44305</v>
      </c>
      <c r="C22" s="9">
        <f>VLOOKUP(B22,Fact_Carrier_Weekly!C:D,2,0)</f>
        <v>44309</v>
      </c>
      <c r="D22" s="5">
        <f>SUMIF(Fact_Carrier_Weekly!$C:$C, $B22, Fact_Carrier_Weekly!$H:$H)</f>
        <v>2448</v>
      </c>
      <c r="E22" s="5">
        <f>SUMIF(Fact_Carrier_Weekly!$C:$C, $B22, Fact_Carrier_Weekly!$J:$J)</f>
        <v>38491</v>
      </c>
      <c r="F22" s="9"/>
      <c r="L22" s="9"/>
      <c r="N22" s="9"/>
      <c r="O22" s="9"/>
    </row>
    <row r="23" spans="1:15" x14ac:dyDescent="0.3">
      <c r="A23">
        <f t="shared" si="0"/>
        <v>2021</v>
      </c>
      <c r="B23" s="9">
        <v>44312</v>
      </c>
      <c r="C23" s="9">
        <f>VLOOKUP(B23,Fact_Carrier_Weekly!C:D,2,0)</f>
        <v>44316</v>
      </c>
      <c r="D23" s="5">
        <f>SUMIF(Fact_Carrier_Weekly!$C:$C, $B23, Fact_Carrier_Weekly!$H:$H)</f>
        <v>2583</v>
      </c>
      <c r="E23" s="5">
        <f>SUMIF(Fact_Carrier_Weekly!$C:$C, $B23, Fact_Carrier_Weekly!$J:$J)</f>
        <v>39306</v>
      </c>
      <c r="F23" s="9"/>
      <c r="L23" s="9"/>
      <c r="N23" s="9"/>
      <c r="O23" s="9"/>
    </row>
    <row r="24" spans="1:15" x14ac:dyDescent="0.3">
      <c r="A24">
        <f t="shared" si="0"/>
        <v>2021</v>
      </c>
      <c r="B24" s="9">
        <v>44319</v>
      </c>
      <c r="C24" s="9">
        <f>VLOOKUP(B24,Fact_Carrier_Weekly!C:D,2,0)</f>
        <v>44323</v>
      </c>
      <c r="D24" s="5">
        <f>SUMIF(Fact_Carrier_Weekly!$C:$C, $B24, Fact_Carrier_Weekly!$H:$H)</f>
        <v>2558</v>
      </c>
      <c r="E24" s="5">
        <f>SUMIF(Fact_Carrier_Weekly!$C:$C, $B24, Fact_Carrier_Weekly!$J:$J)</f>
        <v>38612</v>
      </c>
      <c r="F24" s="9"/>
      <c r="L24" s="9"/>
      <c r="N24" s="9"/>
      <c r="O24" s="9"/>
    </row>
    <row r="25" spans="1:15" x14ac:dyDescent="0.3">
      <c r="A25">
        <f t="shared" si="0"/>
        <v>2021</v>
      </c>
      <c r="B25" s="9">
        <v>44326</v>
      </c>
      <c r="C25" s="9">
        <f>VLOOKUP(B25,Fact_Carrier_Weekly!C:D,2,0)</f>
        <v>44330</v>
      </c>
      <c r="D25" s="5">
        <f>SUMIF(Fact_Carrier_Weekly!$C:$C, $B25, Fact_Carrier_Weekly!$H:$H)</f>
        <v>2547</v>
      </c>
      <c r="E25" s="5">
        <f>SUMIF(Fact_Carrier_Weekly!$C:$C, $B25, Fact_Carrier_Weekly!$J:$J)</f>
        <v>39775</v>
      </c>
      <c r="F25" s="9"/>
      <c r="L25" s="9"/>
      <c r="N25" s="9"/>
      <c r="O25" s="9"/>
    </row>
    <row r="26" spans="1:15" x14ac:dyDescent="0.3">
      <c r="A26">
        <f t="shared" si="0"/>
        <v>2021</v>
      </c>
      <c r="B26" s="9">
        <v>44333</v>
      </c>
      <c r="C26" s="9">
        <f>VLOOKUP(B26,Fact_Carrier_Weekly!C:D,2,0)</f>
        <v>44337</v>
      </c>
      <c r="D26" s="5">
        <f>SUMIF(Fact_Carrier_Weekly!$C:$C, $B26, Fact_Carrier_Weekly!$H:$H)</f>
        <v>2446</v>
      </c>
      <c r="E26" s="5">
        <f>SUMIF(Fact_Carrier_Weekly!$C:$C, $B26, Fact_Carrier_Weekly!$J:$J)</f>
        <v>41467</v>
      </c>
      <c r="F26" s="9"/>
      <c r="L26" s="9"/>
      <c r="O26" s="9"/>
    </row>
    <row r="27" spans="1:15" x14ac:dyDescent="0.3">
      <c r="A27">
        <f t="shared" si="0"/>
        <v>2021</v>
      </c>
      <c r="B27" s="9">
        <v>44340</v>
      </c>
      <c r="C27" s="9">
        <f>VLOOKUP(B27,Fact_Carrier_Weekly!C:D,2,0)</f>
        <v>44344</v>
      </c>
      <c r="D27" s="5">
        <f>SUMIF(Fact_Carrier_Weekly!$C:$C, $B27, Fact_Carrier_Weekly!$H:$H)</f>
        <v>2583</v>
      </c>
      <c r="E27" s="5">
        <f>SUMIF(Fact_Carrier_Weekly!$C:$C, $B27, Fact_Carrier_Weekly!$J:$J)</f>
        <v>42550</v>
      </c>
      <c r="F27" s="9"/>
      <c r="L27" s="9"/>
      <c r="O27" s="9"/>
    </row>
    <row r="28" spans="1:15" x14ac:dyDescent="0.3">
      <c r="A28">
        <f t="shared" si="0"/>
        <v>2021</v>
      </c>
      <c r="B28" s="9">
        <v>44347</v>
      </c>
      <c r="C28" s="9">
        <f>VLOOKUP(B28,Fact_Carrier_Weekly!C:D,2,0)</f>
        <v>44351</v>
      </c>
      <c r="D28" s="5">
        <f>SUMIF(Fact_Carrier_Weekly!$C:$C, $B28, Fact_Carrier_Weekly!$H:$H)</f>
        <v>2587.4</v>
      </c>
      <c r="E28" s="5">
        <f>SUMIF(Fact_Carrier_Weekly!$C:$C, $B28, Fact_Carrier_Weekly!$J:$J)</f>
        <v>43933</v>
      </c>
      <c r="F28" s="9"/>
      <c r="L28" s="9"/>
      <c r="O28" s="9"/>
    </row>
    <row r="29" spans="1:15" x14ac:dyDescent="0.3">
      <c r="A29">
        <f t="shared" si="0"/>
        <v>2021</v>
      </c>
      <c r="B29" s="9">
        <v>44354</v>
      </c>
      <c r="C29" s="9">
        <f>VLOOKUP(B29,Fact_Carrier_Weekly!C:D,2,0)</f>
        <v>44358</v>
      </c>
      <c r="D29" s="5">
        <f>SUMIF(Fact_Carrier_Weekly!$C:$C, $B29, Fact_Carrier_Weekly!$H:$H)</f>
        <v>2617</v>
      </c>
      <c r="E29" s="5">
        <f>SUMIF(Fact_Carrier_Weekly!$C:$C, $B29, Fact_Carrier_Weekly!$J:$J)</f>
        <v>43798</v>
      </c>
      <c r="F29" s="9"/>
      <c r="L29" s="9"/>
      <c r="O29" s="9"/>
    </row>
    <row r="30" spans="1:15" x14ac:dyDescent="0.3">
      <c r="A30">
        <f t="shared" si="0"/>
        <v>2021</v>
      </c>
      <c r="B30" s="9">
        <v>44361</v>
      </c>
      <c r="C30" s="9">
        <f>VLOOKUP(B30,Fact_Carrier_Weekly!C:D,2,0)</f>
        <v>44365</v>
      </c>
      <c r="D30" s="5">
        <f>SUMIF(Fact_Carrier_Weekly!$C:$C, $B30, Fact_Carrier_Weekly!$H:$H)</f>
        <v>2563</v>
      </c>
      <c r="E30" s="5">
        <f>SUMIF(Fact_Carrier_Weekly!$C:$C, $B30, Fact_Carrier_Weekly!$J:$J)</f>
        <v>48078</v>
      </c>
      <c r="F30" s="9"/>
      <c r="L30" s="9"/>
      <c r="O30" s="9"/>
    </row>
    <row r="31" spans="1:15" x14ac:dyDescent="0.3">
      <c r="A31">
        <f t="shared" si="0"/>
        <v>2021</v>
      </c>
      <c r="B31" s="9">
        <v>44368</v>
      </c>
      <c r="C31" s="9">
        <f>VLOOKUP(B31,Fact_Carrier_Weekly!C:D,2,0)</f>
        <v>44372</v>
      </c>
      <c r="D31" s="5">
        <f>SUMIF(Fact_Carrier_Weekly!$C:$C, $B31, Fact_Carrier_Weekly!$H:$H)</f>
        <v>2603</v>
      </c>
      <c r="E31" s="5">
        <f>SUMIF(Fact_Carrier_Weekly!$C:$C, $B31, Fact_Carrier_Weekly!$J:$J)</f>
        <v>49076</v>
      </c>
      <c r="F31" s="9"/>
      <c r="L31" s="9"/>
      <c r="O31" s="9"/>
    </row>
    <row r="32" spans="1:15" x14ac:dyDescent="0.3">
      <c r="A32">
        <f t="shared" si="0"/>
        <v>2021</v>
      </c>
      <c r="B32" s="9">
        <v>44375</v>
      </c>
      <c r="C32" s="9">
        <f>VLOOKUP(B32,Fact_Carrier_Weekly!C:D,2,0)</f>
        <v>44379</v>
      </c>
      <c r="D32" s="5">
        <f>SUMIF(Fact_Carrier_Weekly!$C:$C, $B32, Fact_Carrier_Weekly!$H:$H)</f>
        <v>2523</v>
      </c>
      <c r="E32" s="5">
        <f>SUMIF(Fact_Carrier_Weekly!$C:$C, $B32, Fact_Carrier_Weekly!$J:$J)</f>
        <v>49183</v>
      </c>
      <c r="F32" s="9"/>
      <c r="L32" s="9"/>
      <c r="O32" s="9"/>
    </row>
    <row r="33" spans="1:15" x14ac:dyDescent="0.3">
      <c r="A33">
        <f t="shared" si="0"/>
        <v>2021</v>
      </c>
      <c r="B33" s="9">
        <v>44382</v>
      </c>
      <c r="C33" s="9">
        <f>VLOOKUP(B33,Fact_Carrier_Weekly!C:D,2,0)</f>
        <v>44386</v>
      </c>
      <c r="D33" s="5">
        <f>SUMIF(Fact_Carrier_Weekly!$C:$C, $B33, Fact_Carrier_Weekly!$H:$H)</f>
        <v>2530</v>
      </c>
      <c r="E33" s="5">
        <f>SUMIF(Fact_Carrier_Weekly!$C:$C, $B33, Fact_Carrier_Weekly!$J:$J)</f>
        <v>49242</v>
      </c>
      <c r="F33" s="9"/>
      <c r="L33" s="9"/>
      <c r="O33" s="9"/>
    </row>
    <row r="34" spans="1:15" x14ac:dyDescent="0.3">
      <c r="A34">
        <f t="shared" si="0"/>
        <v>2021</v>
      </c>
      <c r="B34" s="9">
        <v>44389</v>
      </c>
      <c r="C34" s="9">
        <f>VLOOKUP(B34,Fact_Carrier_Weekly!C:D,2,0)</f>
        <v>44393</v>
      </c>
      <c r="D34" s="5">
        <f>SUMIF(Fact_Carrier_Weekly!$C:$C, $B34, Fact_Carrier_Weekly!$H:$H)</f>
        <v>2537</v>
      </c>
      <c r="E34" s="5">
        <f>SUMIF(Fact_Carrier_Weekly!$C:$C, $B34, Fact_Carrier_Weekly!$J:$J)</f>
        <v>50581</v>
      </c>
      <c r="F34" s="9"/>
      <c r="L34" s="9"/>
      <c r="O34" s="9"/>
    </row>
    <row r="35" spans="1:15" x14ac:dyDescent="0.3">
      <c r="A35">
        <f t="shared" si="0"/>
        <v>2021</v>
      </c>
      <c r="B35" s="9">
        <v>44396</v>
      </c>
      <c r="C35" s="9">
        <f>VLOOKUP(B35,Fact_Carrier_Weekly!C:D,2,0)</f>
        <v>44400</v>
      </c>
      <c r="D35" s="5">
        <f>SUMIF(Fact_Carrier_Weekly!$C:$C, $B35, Fact_Carrier_Weekly!$H:$H)</f>
        <v>2488</v>
      </c>
      <c r="E35" s="5">
        <f>SUMIF(Fact_Carrier_Weekly!$C:$C, $B35, Fact_Carrier_Weekly!$J:$J)</f>
        <v>49407</v>
      </c>
      <c r="F35" s="9"/>
      <c r="L35" s="9"/>
      <c r="O35" s="9"/>
    </row>
    <row r="36" spans="1:15" x14ac:dyDescent="0.3">
      <c r="A36">
        <f t="shared" si="0"/>
        <v>2021</v>
      </c>
      <c r="B36" s="9">
        <v>44403</v>
      </c>
      <c r="C36" s="9">
        <f>VLOOKUP(B36,Fact_Carrier_Weekly!C:D,2,0)</f>
        <v>44407</v>
      </c>
      <c r="D36" s="5">
        <f>SUMIF(Fact_Carrier_Weekly!$C:$C, $B36, Fact_Carrier_Weekly!$H:$H)</f>
        <v>2479</v>
      </c>
      <c r="E36" s="5">
        <f>SUMIF(Fact_Carrier_Weekly!$C:$C, $B36, Fact_Carrier_Weekly!$J:$J)</f>
        <v>50066</v>
      </c>
      <c r="F36" s="9"/>
      <c r="L36" s="9"/>
      <c r="O36" s="9"/>
    </row>
    <row r="37" spans="1:15" x14ac:dyDescent="0.3">
      <c r="A37">
        <f t="shared" si="0"/>
        <v>2021</v>
      </c>
      <c r="B37" s="9">
        <v>44410</v>
      </c>
      <c r="C37" s="9">
        <f>VLOOKUP(B37,Fact_Carrier_Weekly!C:D,2,0)</f>
        <v>44414</v>
      </c>
      <c r="D37" s="5">
        <f>SUMIF(Fact_Carrier_Weekly!$C:$C, $B37, Fact_Carrier_Weekly!$H:$H)</f>
        <v>2519</v>
      </c>
      <c r="E37" s="5">
        <f>SUMIF(Fact_Carrier_Weekly!$C:$C, $B37, Fact_Carrier_Weekly!$J:$J)</f>
        <v>50193</v>
      </c>
      <c r="F37" s="9"/>
      <c r="L37" s="9"/>
      <c r="O37" s="9"/>
    </row>
    <row r="38" spans="1:15" x14ac:dyDescent="0.3">
      <c r="A38">
        <f t="shared" si="0"/>
        <v>2021</v>
      </c>
      <c r="B38" s="9">
        <v>44417</v>
      </c>
      <c r="C38" s="9">
        <f>VLOOKUP(B38,Fact_Carrier_Weekly!C:D,2,0)</f>
        <v>44421</v>
      </c>
      <c r="D38" s="5">
        <f>SUMIF(Fact_Carrier_Weekly!$C:$C, $B38, Fact_Carrier_Weekly!$H:$H)</f>
        <v>2545</v>
      </c>
      <c r="E38" s="5">
        <f>SUMIF(Fact_Carrier_Weekly!$C:$C, $B38, Fact_Carrier_Weekly!$J:$J)</f>
        <v>50556</v>
      </c>
      <c r="F38" s="9"/>
      <c r="L38" s="9"/>
      <c r="O38" s="9"/>
    </row>
    <row r="39" spans="1:15" x14ac:dyDescent="0.3">
      <c r="A39">
        <f t="shared" si="0"/>
        <v>2021</v>
      </c>
      <c r="B39" s="9">
        <v>44424</v>
      </c>
      <c r="C39" s="9">
        <f>VLOOKUP(B39,Fact_Carrier_Weekly!C:D,2,0)</f>
        <v>44428</v>
      </c>
      <c r="D39" s="5">
        <f>SUMIF(Fact_Carrier_Weekly!$C:$C, $B39, Fact_Carrier_Weekly!$H:$H)</f>
        <v>2551</v>
      </c>
      <c r="E39" s="5">
        <f>SUMIF(Fact_Carrier_Weekly!$C:$C, $B39, Fact_Carrier_Weekly!$J:$J)</f>
        <v>50244</v>
      </c>
      <c r="F39" s="9"/>
      <c r="L39" s="9"/>
      <c r="O39" s="9"/>
    </row>
    <row r="40" spans="1:15" x14ac:dyDescent="0.3">
      <c r="A40">
        <f t="shared" si="0"/>
        <v>2021</v>
      </c>
      <c r="B40" s="9">
        <v>44431</v>
      </c>
      <c r="C40" s="9">
        <f>VLOOKUP(B40,Fact_Carrier_Weekly!C:D,2,0)</f>
        <v>44435</v>
      </c>
      <c r="D40" s="5">
        <f>SUMIF(Fact_Carrier_Weekly!$C:$C, $B40, Fact_Carrier_Weekly!$H:$H)</f>
        <v>2550</v>
      </c>
      <c r="E40" s="5">
        <f>SUMIF(Fact_Carrier_Weekly!$C:$C, $B40, Fact_Carrier_Weekly!$J:$J)</f>
        <v>50786</v>
      </c>
      <c r="F40" s="9"/>
      <c r="L40" s="9"/>
      <c r="O40" s="9"/>
    </row>
    <row r="41" spans="1:15" x14ac:dyDescent="0.3">
      <c r="A41">
        <f t="shared" si="0"/>
        <v>2021</v>
      </c>
      <c r="B41" s="9">
        <v>44438</v>
      </c>
      <c r="C41" s="9">
        <f>VLOOKUP(B41,Fact_Carrier_Weekly!C:D,2,0)</f>
        <v>44442</v>
      </c>
      <c r="D41" s="5">
        <f>SUMIF(Fact_Carrier_Weekly!$C:$C, $B41, Fact_Carrier_Weekly!$H:$H)</f>
        <v>2425</v>
      </c>
      <c r="E41" s="5">
        <f>SUMIF(Fact_Carrier_Weekly!$C:$C, $B41, Fact_Carrier_Weekly!$J:$J)</f>
        <v>45835</v>
      </c>
      <c r="F41" s="9"/>
      <c r="L41" s="9"/>
      <c r="O41" s="9"/>
    </row>
    <row r="42" spans="1:15" x14ac:dyDescent="0.3">
      <c r="A42">
        <f t="shared" si="0"/>
        <v>2021</v>
      </c>
      <c r="B42" s="9">
        <v>44445</v>
      </c>
      <c r="C42" s="9">
        <f>VLOOKUP(B42,Fact_Carrier_Weekly!C:D,2,0)</f>
        <v>44449</v>
      </c>
      <c r="D42" s="5">
        <f>SUMIF(Fact_Carrier_Weekly!$C:$C, $B42, Fact_Carrier_Weekly!$H:$H)</f>
        <v>2537</v>
      </c>
      <c r="E42" s="5">
        <f>SUMIF(Fact_Carrier_Weekly!$C:$C, $B42, Fact_Carrier_Weekly!$J:$J)</f>
        <v>51359</v>
      </c>
      <c r="F42" s="9"/>
      <c r="L42" s="9"/>
      <c r="O42" s="9"/>
    </row>
    <row r="43" spans="1:15" x14ac:dyDescent="0.3">
      <c r="A43">
        <f t="shared" si="0"/>
        <v>2021</v>
      </c>
      <c r="B43" s="9">
        <v>44452</v>
      </c>
      <c r="C43" s="9">
        <f>VLOOKUP(B43,Fact_Carrier_Weekly!C:D,2,0)</f>
        <v>44456</v>
      </c>
      <c r="D43" s="5">
        <f>SUMIF(Fact_Carrier_Weekly!$C:$C, $B43, Fact_Carrier_Weekly!$H:$H)</f>
        <v>2548</v>
      </c>
      <c r="E43" s="5">
        <f>SUMIF(Fact_Carrier_Weekly!$C:$C, $B43, Fact_Carrier_Weekly!$J:$J)</f>
        <v>55607</v>
      </c>
      <c r="F43" s="9"/>
      <c r="L43" s="9"/>
      <c r="O43" s="9"/>
    </row>
    <row r="44" spans="1:15" x14ac:dyDescent="0.3">
      <c r="A44">
        <f t="shared" si="0"/>
        <v>2021</v>
      </c>
      <c r="B44" s="9">
        <v>44459</v>
      </c>
      <c r="C44" s="9">
        <f>VLOOKUP(B44,Fact_Carrier_Weekly!C:D,2,0)</f>
        <v>44463</v>
      </c>
      <c r="D44" s="5">
        <f>SUMIF(Fact_Carrier_Weekly!$C:$C, $B44, Fact_Carrier_Weekly!$H:$H)</f>
        <v>2567</v>
      </c>
      <c r="E44" s="5">
        <f>SUMIF(Fact_Carrier_Weekly!$C:$C, $B44, Fact_Carrier_Weekly!$J:$J)</f>
        <v>56204</v>
      </c>
      <c r="F44" s="9"/>
      <c r="L44" s="9"/>
      <c r="O44" s="9"/>
    </row>
    <row r="45" spans="1:15" x14ac:dyDescent="0.3">
      <c r="A45">
        <f t="shared" si="0"/>
        <v>2021</v>
      </c>
      <c r="B45" s="9">
        <v>44466</v>
      </c>
      <c r="C45" s="9">
        <f>VLOOKUP(B45,Fact_Carrier_Weekly!C:D,2,0)</f>
        <v>44470</v>
      </c>
      <c r="D45" s="5">
        <f>SUMIF(Fact_Carrier_Weekly!$C:$C, $B45, Fact_Carrier_Weekly!$H:$H)</f>
        <v>2578</v>
      </c>
      <c r="E45" s="5">
        <f>SUMIF(Fact_Carrier_Weekly!$C:$C, $B45, Fact_Carrier_Weekly!$J:$J)</f>
        <v>56404</v>
      </c>
      <c r="F45" s="9"/>
      <c r="L45" s="9"/>
      <c r="O45" s="9"/>
    </row>
    <row r="46" spans="1:15" x14ac:dyDescent="0.3">
      <c r="A46">
        <f t="shared" si="0"/>
        <v>2021</v>
      </c>
      <c r="B46" s="9">
        <v>44473</v>
      </c>
      <c r="C46" s="9">
        <f>VLOOKUP(B46,Fact_Carrier_Weekly!C:D,2,0)</f>
        <v>44477</v>
      </c>
      <c r="D46" s="5">
        <f>SUMIF(Fact_Carrier_Weekly!$C:$C, $B46, Fact_Carrier_Weekly!$H:$H)</f>
        <v>2588</v>
      </c>
      <c r="E46" s="5">
        <f>SUMIF(Fact_Carrier_Weekly!$C:$C, $B46, Fact_Carrier_Weekly!$J:$J)</f>
        <v>58791</v>
      </c>
      <c r="F46" s="9"/>
      <c r="L46" s="9"/>
      <c r="O46" s="9"/>
    </row>
    <row r="47" spans="1:15" x14ac:dyDescent="0.3">
      <c r="A47">
        <f t="shared" si="0"/>
        <v>2021</v>
      </c>
      <c r="B47" s="9">
        <v>44480</v>
      </c>
      <c r="C47" s="9">
        <f>VLOOKUP(B47,Fact_Carrier_Weekly!C:D,2,0)</f>
        <v>44484</v>
      </c>
      <c r="D47" s="5">
        <f>SUMIF(Fact_Carrier_Weekly!$C:$C, $B47, Fact_Carrier_Weekly!$H:$H)</f>
        <v>2613</v>
      </c>
      <c r="E47" s="5">
        <f>SUMIF(Fact_Carrier_Weekly!$C:$C, $B47, Fact_Carrier_Weekly!$J:$J)</f>
        <v>61052</v>
      </c>
      <c r="F47" s="9"/>
      <c r="L47" s="9"/>
      <c r="O47" s="9"/>
    </row>
    <row r="48" spans="1:15" x14ac:dyDescent="0.3">
      <c r="A48">
        <f t="shared" si="0"/>
        <v>2021</v>
      </c>
      <c r="B48" s="9">
        <v>44487</v>
      </c>
      <c r="C48" s="9">
        <f>VLOOKUP(B48,Fact_Carrier_Weekly!C:D,2,0)</f>
        <v>44491</v>
      </c>
      <c r="D48" s="5">
        <f>SUMIF(Fact_Carrier_Weekly!$C:$C, $B48, Fact_Carrier_Weekly!$H:$H)</f>
        <v>2569</v>
      </c>
      <c r="E48" s="5">
        <f>SUMIF(Fact_Carrier_Weekly!$C:$C, $B48, Fact_Carrier_Weekly!$J:$J)</f>
        <v>60672</v>
      </c>
      <c r="F48" s="9"/>
      <c r="L48" s="9"/>
      <c r="O48" s="9"/>
    </row>
    <row r="49" spans="1:15" x14ac:dyDescent="0.3">
      <c r="A49">
        <f t="shared" si="0"/>
        <v>2021</v>
      </c>
      <c r="B49" s="9">
        <v>44494</v>
      </c>
      <c r="C49" s="9">
        <f>VLOOKUP(B49,Fact_Carrier_Weekly!C:D,2,0)</f>
        <v>44498</v>
      </c>
      <c r="D49" s="5">
        <f>SUMIF(Fact_Carrier_Weekly!$C:$C, $B49, Fact_Carrier_Weekly!$H:$H)</f>
        <v>2561</v>
      </c>
      <c r="E49" s="5">
        <f>SUMIF(Fact_Carrier_Weekly!$C:$C, $B49, Fact_Carrier_Weekly!$J:$J)</f>
        <v>61213</v>
      </c>
      <c r="F49" s="9"/>
      <c r="L49" s="9"/>
      <c r="O49" s="9"/>
    </row>
    <row r="50" spans="1:15" x14ac:dyDescent="0.3">
      <c r="A50">
        <f t="shared" si="0"/>
        <v>2021</v>
      </c>
      <c r="B50" s="9">
        <v>44501</v>
      </c>
      <c r="C50" s="9">
        <f>VLOOKUP(B50,Fact_Carrier_Weekly!C:D,2,0)</f>
        <v>44505</v>
      </c>
      <c r="D50" s="5">
        <f>SUMIF(Fact_Carrier_Weekly!$C:$C, $B50, Fact_Carrier_Weekly!$H:$H)</f>
        <v>2587</v>
      </c>
      <c r="E50" s="5">
        <f>SUMIF(Fact_Carrier_Weekly!$C:$C, $B50, Fact_Carrier_Weekly!$J:$J)</f>
        <v>61593</v>
      </c>
      <c r="F50" s="9"/>
      <c r="L50" s="9"/>
      <c r="O50" s="9"/>
    </row>
    <row r="51" spans="1:15" x14ac:dyDescent="0.3">
      <c r="A51">
        <f t="shared" si="0"/>
        <v>2021</v>
      </c>
      <c r="B51" s="9">
        <v>44508</v>
      </c>
      <c r="C51" s="9">
        <f>VLOOKUP(B51,Fact_Carrier_Weekly!C:D,2,0)</f>
        <v>44512</v>
      </c>
      <c r="D51" s="5">
        <f>SUMIF(Fact_Carrier_Weekly!$C:$C, $B51, Fact_Carrier_Weekly!$H:$H)</f>
        <v>2579</v>
      </c>
      <c r="E51" s="5">
        <f>SUMIF(Fact_Carrier_Weekly!$C:$C, $B51, Fact_Carrier_Weekly!$J:$J)</f>
        <v>63555</v>
      </c>
      <c r="F51" s="9"/>
      <c r="L51" s="9"/>
      <c r="O51" s="9"/>
    </row>
    <row r="52" spans="1:15" x14ac:dyDescent="0.3">
      <c r="A52">
        <f t="shared" si="0"/>
        <v>2021</v>
      </c>
      <c r="B52" s="9">
        <v>44515</v>
      </c>
      <c r="C52" s="9">
        <f>VLOOKUP(B52,Fact_Carrier_Weekly!C:D,2,0)</f>
        <v>44519</v>
      </c>
      <c r="D52" s="5">
        <f>SUMIF(Fact_Carrier_Weekly!$C:$C, $B52, Fact_Carrier_Weekly!$H:$H)</f>
        <v>2589</v>
      </c>
      <c r="E52" s="5">
        <f>SUMIF(Fact_Carrier_Weekly!$C:$C, $B52, Fact_Carrier_Weekly!$J:$J)</f>
        <v>62952</v>
      </c>
      <c r="F52" s="9"/>
      <c r="L52" s="9"/>
      <c r="O52" s="9"/>
    </row>
    <row r="53" spans="1:15" x14ac:dyDescent="0.3">
      <c r="A53">
        <f t="shared" si="0"/>
        <v>2021</v>
      </c>
      <c r="B53" s="9">
        <v>44529</v>
      </c>
      <c r="C53" s="9">
        <f>VLOOKUP(B53,Fact_Carrier_Weekly!C:D,2,0)</f>
        <v>44533</v>
      </c>
      <c r="D53" s="5">
        <f>SUMIF(Fact_Carrier_Weekly!$C:$C, $B53, Fact_Carrier_Weekly!$H:$H)</f>
        <v>2617</v>
      </c>
      <c r="E53" s="5">
        <f>SUMIF(Fact_Carrier_Weekly!$C:$C, $B53, Fact_Carrier_Weekly!$J:$J)</f>
        <v>63695</v>
      </c>
      <c r="F53" s="9"/>
      <c r="L53" s="9"/>
      <c r="O53" s="9"/>
    </row>
    <row r="54" spans="1:15" x14ac:dyDescent="0.3">
      <c r="A54">
        <f t="shared" si="0"/>
        <v>2021</v>
      </c>
      <c r="B54" s="9">
        <v>44536</v>
      </c>
      <c r="C54" s="9">
        <f>VLOOKUP(B54,Fact_Carrier_Weekly!C:D,2,0)</f>
        <v>44540</v>
      </c>
      <c r="D54" s="5">
        <f>SUMIF(Fact_Carrier_Weekly!$C:$C, $B54, Fact_Carrier_Weekly!$H:$H)</f>
        <v>2609</v>
      </c>
      <c r="E54" s="5">
        <f>SUMIF(Fact_Carrier_Weekly!$C:$C, $B54, Fact_Carrier_Weekly!$J:$J)</f>
        <v>62716</v>
      </c>
      <c r="F54" s="9"/>
      <c r="L54" s="9"/>
      <c r="O54" s="9"/>
    </row>
    <row r="55" spans="1:15" x14ac:dyDescent="0.3">
      <c r="A55">
        <f t="shared" si="0"/>
        <v>2021</v>
      </c>
      <c r="B55" s="9">
        <v>44543</v>
      </c>
      <c r="C55" s="9">
        <f>VLOOKUP(B55,Fact_Carrier_Weekly!C:D,2,0)</f>
        <v>44547</v>
      </c>
      <c r="D55" s="5">
        <f>SUMIF(Fact_Carrier_Weekly!$C:$C, $B55, Fact_Carrier_Weekly!$H:$H)</f>
        <v>2617</v>
      </c>
      <c r="E55" s="5">
        <f>SUMIF(Fact_Carrier_Weekly!$C:$C, $B55, Fact_Carrier_Weekly!$J:$J)</f>
        <v>61137</v>
      </c>
      <c r="F55" s="9"/>
      <c r="L55" s="9"/>
      <c r="O55" s="9"/>
    </row>
    <row r="56" spans="1:15" x14ac:dyDescent="0.3">
      <c r="A56">
        <f t="shared" si="0"/>
        <v>2021</v>
      </c>
      <c r="B56" s="9">
        <v>44550</v>
      </c>
      <c r="C56" s="9">
        <f>VLOOKUP(B56,Fact_Carrier_Weekly!C:D,2,0)</f>
        <v>44554</v>
      </c>
      <c r="D56" s="5">
        <f>SUMIF(Fact_Carrier_Weekly!$C:$C, $B56, Fact_Carrier_Weekly!$H:$H)</f>
        <v>2138</v>
      </c>
      <c r="E56" s="5">
        <f>SUMIF(Fact_Carrier_Weekly!$C:$C, $B56, Fact_Carrier_Weekly!$J:$J)</f>
        <v>38741</v>
      </c>
      <c r="F56" s="9"/>
      <c r="L56" s="9"/>
      <c r="O56" s="9"/>
    </row>
    <row r="57" spans="1:15" x14ac:dyDescent="0.3">
      <c r="A57">
        <f t="shared" si="0"/>
        <v>2022</v>
      </c>
      <c r="B57" s="9">
        <v>44564</v>
      </c>
      <c r="C57" s="9">
        <f>VLOOKUP(B57,Fact_Carrier_Weekly!C:D,2,0)</f>
        <v>44568</v>
      </c>
      <c r="D57" s="5">
        <f>SUMIF(Fact_Carrier_Weekly!$C:$C, $B57, Fact_Carrier_Weekly!$H:$H)</f>
        <v>2431</v>
      </c>
      <c r="E57" s="5">
        <f>SUMIF(Fact_Carrier_Weekly!$C:$C, $B57, Fact_Carrier_Weekly!$J:$J)</f>
        <v>42023</v>
      </c>
      <c r="F57" s="9"/>
      <c r="L57" s="9"/>
      <c r="O57" s="9"/>
    </row>
    <row r="58" spans="1:15" x14ac:dyDescent="0.3">
      <c r="A58">
        <f t="shared" si="0"/>
        <v>2022</v>
      </c>
      <c r="B58" s="9">
        <v>44571</v>
      </c>
      <c r="C58" s="9">
        <f>VLOOKUP(B58,Fact_Carrier_Weekly!C:D,2,0)</f>
        <v>44575</v>
      </c>
      <c r="D58" s="5">
        <f>SUMIF(Fact_Carrier_Weekly!$C:$C, $B58, Fact_Carrier_Weekly!$H:$H)</f>
        <v>2562</v>
      </c>
      <c r="E58" s="5">
        <f>SUMIF(Fact_Carrier_Weekly!$C:$C, $B58, Fact_Carrier_Weekly!$J:$J)</f>
        <v>44766</v>
      </c>
      <c r="F58" s="9"/>
      <c r="L58" s="9"/>
      <c r="O58" s="9"/>
    </row>
    <row r="59" spans="1:15" x14ac:dyDescent="0.3">
      <c r="A59">
        <f t="shared" si="0"/>
        <v>2022</v>
      </c>
      <c r="B59" s="9">
        <v>44578</v>
      </c>
      <c r="C59" s="9">
        <f>VLOOKUP(B59,Fact_Carrier_Weekly!C:D,2,0)</f>
        <v>44582</v>
      </c>
      <c r="D59" s="5">
        <f>SUMIF(Fact_Carrier_Weekly!$C:$C, $B59, Fact_Carrier_Weekly!$H:$H)</f>
        <v>2571</v>
      </c>
      <c r="E59" s="5">
        <f>SUMIF(Fact_Carrier_Weekly!$C:$C, $B59, Fact_Carrier_Weekly!$J:$J)</f>
        <v>48573</v>
      </c>
      <c r="F59" s="9"/>
      <c r="L59" s="9"/>
      <c r="O59" s="9"/>
    </row>
    <row r="60" spans="1:15" x14ac:dyDescent="0.3">
      <c r="A60">
        <f t="shared" si="0"/>
        <v>2022</v>
      </c>
      <c r="B60" s="9">
        <v>44585</v>
      </c>
      <c r="C60" s="9">
        <f>VLOOKUP(B60,Fact_Carrier_Weekly!C:D,2,0)</f>
        <v>44589</v>
      </c>
      <c r="D60" s="5">
        <f>SUMIF(Fact_Carrier_Weekly!$C:$C, $B60, Fact_Carrier_Weekly!$H:$H)</f>
        <v>2584</v>
      </c>
      <c r="E60" s="5">
        <f>SUMIF(Fact_Carrier_Weekly!$C:$C, $B60, Fact_Carrier_Weekly!$J:$J)</f>
        <v>49246</v>
      </c>
      <c r="F60" s="9"/>
      <c r="L60" s="9"/>
      <c r="O60" s="9"/>
    </row>
    <row r="61" spans="1:15" x14ac:dyDescent="0.3">
      <c r="A61">
        <f t="shared" si="0"/>
        <v>2022</v>
      </c>
      <c r="B61" s="9">
        <v>44592</v>
      </c>
      <c r="C61" s="9">
        <f>VLOOKUP(B61,Fact_Carrier_Weekly!C:D,2,0)</f>
        <v>44596</v>
      </c>
      <c r="D61" s="5">
        <f>SUMIF(Fact_Carrier_Weekly!$C:$C, $B61, Fact_Carrier_Weekly!$H:$H)</f>
        <v>2543</v>
      </c>
      <c r="E61" s="5">
        <f>SUMIF(Fact_Carrier_Weekly!$C:$C, $B61, Fact_Carrier_Weekly!$J:$J)</f>
        <v>53876</v>
      </c>
      <c r="F61" s="9"/>
      <c r="L61" s="9"/>
      <c r="O61" s="9"/>
    </row>
    <row r="62" spans="1:15" x14ac:dyDescent="0.3">
      <c r="A62">
        <f t="shared" si="0"/>
        <v>2022</v>
      </c>
      <c r="B62" s="9">
        <v>44599</v>
      </c>
      <c r="C62" s="9">
        <f>VLOOKUP(B62,Fact_Carrier_Weekly!C:D,2,0)</f>
        <v>44603</v>
      </c>
      <c r="D62" s="5">
        <f>SUMIF(Fact_Carrier_Weekly!$C:$C, $B62, Fact_Carrier_Weekly!$H:$H)</f>
        <v>2555</v>
      </c>
      <c r="E62" s="5">
        <f>SUMIF(Fact_Carrier_Weekly!$C:$C, $B62, Fact_Carrier_Weekly!$J:$J)</f>
        <v>55347</v>
      </c>
      <c r="F62" s="9"/>
      <c r="L62" s="9"/>
      <c r="O62" s="9"/>
    </row>
    <row r="63" spans="1:15" x14ac:dyDescent="0.3">
      <c r="A63">
        <f t="shared" si="0"/>
        <v>2022</v>
      </c>
      <c r="B63" s="9">
        <v>44606</v>
      </c>
      <c r="C63" s="9">
        <f>VLOOKUP(B63,Fact_Carrier_Weekly!C:D,2,0)</f>
        <v>44610</v>
      </c>
      <c r="D63" s="5">
        <f>SUMIF(Fact_Carrier_Weekly!$C:$C, $B63, Fact_Carrier_Weekly!$H:$H)</f>
        <v>2544</v>
      </c>
      <c r="E63" s="5">
        <f>SUMIF(Fact_Carrier_Weekly!$C:$C, $B63, Fact_Carrier_Weekly!$J:$J)</f>
        <v>57132</v>
      </c>
      <c r="F63" s="9"/>
      <c r="L63" s="9"/>
      <c r="O63" s="9"/>
    </row>
    <row r="64" spans="1:15" x14ac:dyDescent="0.3">
      <c r="A64">
        <f t="shared" si="0"/>
        <v>2022</v>
      </c>
      <c r="B64" s="9">
        <v>44613</v>
      </c>
      <c r="C64" s="9">
        <f>VLOOKUP(B64,Fact_Carrier_Weekly!C:D,2,0)</f>
        <v>44617</v>
      </c>
      <c r="D64" s="5">
        <f>SUMIF(Fact_Carrier_Weekly!$C:$C, $B64, Fact_Carrier_Weekly!$H:$H)</f>
        <v>2548</v>
      </c>
      <c r="E64" s="5">
        <f>SUMIF(Fact_Carrier_Weekly!$C:$C, $B64, Fact_Carrier_Weekly!$J:$J)</f>
        <v>58881</v>
      </c>
      <c r="F64" s="9"/>
      <c r="L64" s="9"/>
      <c r="O64" s="9"/>
    </row>
    <row r="65" spans="1:15" x14ac:dyDescent="0.3">
      <c r="A65">
        <f t="shared" si="0"/>
        <v>2022</v>
      </c>
      <c r="B65" s="9">
        <v>44620</v>
      </c>
      <c r="C65" s="9">
        <f>VLOOKUP(B65,Fact_Carrier_Weekly!C:D,2,0)</f>
        <v>44624</v>
      </c>
      <c r="D65" s="5">
        <f>SUMIF(Fact_Carrier_Weekly!$C:$C, $B65, Fact_Carrier_Weekly!$H:$H)</f>
        <v>2583</v>
      </c>
      <c r="E65" s="5">
        <f>SUMIF(Fact_Carrier_Weekly!$C:$C, $B65, Fact_Carrier_Weekly!$J:$J)</f>
        <v>62023</v>
      </c>
      <c r="F65" s="9"/>
      <c r="L65" s="9"/>
      <c r="O65" s="9"/>
    </row>
    <row r="66" spans="1:15" x14ac:dyDescent="0.3">
      <c r="A66">
        <f t="shared" si="0"/>
        <v>2022</v>
      </c>
      <c r="B66" s="9">
        <v>44627</v>
      </c>
      <c r="C66" s="9">
        <f>VLOOKUP(B66,Fact_Carrier_Weekly!C:D,2,0)</f>
        <v>44631</v>
      </c>
      <c r="D66" s="5">
        <f>SUMIF(Fact_Carrier_Weekly!$C:$C, $B66, Fact_Carrier_Weekly!$H:$H)</f>
        <v>2592</v>
      </c>
      <c r="E66" s="5">
        <f>SUMIF(Fact_Carrier_Weekly!$C:$C, $B66, Fact_Carrier_Weekly!$J:$J)</f>
        <v>60655</v>
      </c>
      <c r="F66" s="9"/>
      <c r="L66" s="9"/>
      <c r="O66" s="9"/>
    </row>
    <row r="67" spans="1:15" x14ac:dyDescent="0.3">
      <c r="A67">
        <f t="shared" ref="A67:A130" si="1">YEAR(B67)</f>
        <v>2022</v>
      </c>
      <c r="B67" s="9">
        <v>44634</v>
      </c>
      <c r="C67" s="9">
        <f>VLOOKUP(B67,Fact_Carrier_Weekly!C:D,2,0)</f>
        <v>44638</v>
      </c>
      <c r="D67" s="5">
        <f>SUMIF(Fact_Carrier_Weekly!$C:$C, $B67, Fact_Carrier_Weekly!$H:$H)</f>
        <v>2596</v>
      </c>
      <c r="E67" s="5">
        <f>SUMIF(Fact_Carrier_Weekly!$C:$C, $B67, Fact_Carrier_Weekly!$J:$J)</f>
        <v>66386</v>
      </c>
      <c r="F67" s="9"/>
      <c r="L67" s="9"/>
      <c r="O67" s="9"/>
    </row>
    <row r="68" spans="1:15" x14ac:dyDescent="0.3">
      <c r="A68">
        <f t="shared" si="1"/>
        <v>2022</v>
      </c>
      <c r="B68" s="9">
        <v>44641</v>
      </c>
      <c r="C68" s="9">
        <f>VLOOKUP(B68,Fact_Carrier_Weekly!C:D,2,0)</f>
        <v>44645</v>
      </c>
      <c r="D68" s="5">
        <f>SUMIF(Fact_Carrier_Weekly!$C:$C, $B68, Fact_Carrier_Weekly!$H:$H)</f>
        <v>2600</v>
      </c>
      <c r="E68" s="5">
        <f>SUMIF(Fact_Carrier_Weekly!$C:$C, $B68, Fact_Carrier_Weekly!$J:$J)</f>
        <v>65959</v>
      </c>
      <c r="F68" s="9"/>
      <c r="L68" s="9"/>
      <c r="O68" s="9"/>
    </row>
    <row r="69" spans="1:15" x14ac:dyDescent="0.3">
      <c r="A69">
        <f t="shared" si="1"/>
        <v>2022</v>
      </c>
      <c r="B69" s="9">
        <v>44648</v>
      </c>
      <c r="C69" s="9">
        <f>VLOOKUP(B69,Fact_Carrier_Weekly!C:D,2,0)</f>
        <v>44652</v>
      </c>
      <c r="D69" s="5">
        <f>SUMIF(Fact_Carrier_Weekly!$C:$C, $B69, Fact_Carrier_Weekly!$H:$H)</f>
        <v>2581</v>
      </c>
      <c r="E69" s="5">
        <f>SUMIF(Fact_Carrier_Weekly!$C:$C, $B69, Fact_Carrier_Weekly!$J:$J)</f>
        <v>65991</v>
      </c>
      <c r="F69" s="9"/>
      <c r="L69" s="9"/>
      <c r="O69" s="9"/>
    </row>
    <row r="70" spans="1:15" x14ac:dyDescent="0.3">
      <c r="A70">
        <f t="shared" si="1"/>
        <v>2022</v>
      </c>
      <c r="B70" s="9">
        <v>44655</v>
      </c>
      <c r="C70" s="9">
        <f>VLOOKUP(B70,Fact_Carrier_Weekly!C:D,2,0)</f>
        <v>44659</v>
      </c>
      <c r="D70" s="5">
        <f>SUMIF(Fact_Carrier_Weekly!$C:$C, $B70, Fact_Carrier_Weekly!$H:$H)</f>
        <v>2588</v>
      </c>
      <c r="E70" s="5">
        <f>SUMIF(Fact_Carrier_Weekly!$C:$C, $B70, Fact_Carrier_Weekly!$J:$J)</f>
        <v>66279</v>
      </c>
      <c r="F70" s="9"/>
      <c r="L70" s="9"/>
      <c r="O70" s="9"/>
    </row>
    <row r="71" spans="1:15" x14ac:dyDescent="0.3">
      <c r="A71">
        <f t="shared" si="1"/>
        <v>2022</v>
      </c>
      <c r="B71" s="9">
        <v>44662</v>
      </c>
      <c r="C71" s="9">
        <f>VLOOKUP(B71,Fact_Carrier_Weekly!C:D,2,0)</f>
        <v>44666</v>
      </c>
      <c r="D71" s="5">
        <f>SUMIF(Fact_Carrier_Weekly!$C:$C, $B71, Fact_Carrier_Weekly!$H:$H)</f>
        <v>2610</v>
      </c>
      <c r="E71" s="5">
        <f>SUMIF(Fact_Carrier_Weekly!$C:$C, $B71, Fact_Carrier_Weekly!$J:$J)</f>
        <v>67754</v>
      </c>
      <c r="F71" s="9"/>
      <c r="L71" s="9"/>
      <c r="O71" s="9"/>
    </row>
    <row r="72" spans="1:15" x14ac:dyDescent="0.3">
      <c r="A72">
        <f t="shared" si="1"/>
        <v>2022</v>
      </c>
      <c r="B72" s="9">
        <v>44669</v>
      </c>
      <c r="C72" s="9">
        <f>VLOOKUP(B72,Fact_Carrier_Weekly!C:D,2,0)</f>
        <v>44673</v>
      </c>
      <c r="D72" s="5">
        <f>SUMIF(Fact_Carrier_Weekly!$C:$C, $B72, Fact_Carrier_Weekly!$H:$H)</f>
        <v>2617</v>
      </c>
      <c r="E72" s="5">
        <f>SUMIF(Fact_Carrier_Weekly!$C:$C, $B72, Fact_Carrier_Weekly!$J:$J)</f>
        <v>68073</v>
      </c>
      <c r="F72" s="9"/>
      <c r="L72" s="9"/>
      <c r="O72" s="9"/>
    </row>
    <row r="73" spans="1:15" x14ac:dyDescent="0.3">
      <c r="A73">
        <f t="shared" si="1"/>
        <v>2022</v>
      </c>
      <c r="B73" s="9">
        <v>44676</v>
      </c>
      <c r="C73" s="9">
        <f>VLOOKUP(B73,Fact_Carrier_Weekly!C:D,2,0)</f>
        <v>44680</v>
      </c>
      <c r="D73" s="5">
        <f>SUMIF(Fact_Carrier_Weekly!$C:$C, $B73, Fact_Carrier_Weekly!$H:$H)</f>
        <v>2598</v>
      </c>
      <c r="E73" s="5">
        <f>SUMIF(Fact_Carrier_Weekly!$C:$C, $B73, Fact_Carrier_Weekly!$J:$J)</f>
        <v>68097</v>
      </c>
      <c r="F73" s="9"/>
      <c r="L73" s="9"/>
      <c r="O73" s="9"/>
    </row>
    <row r="74" spans="1:15" x14ac:dyDescent="0.3">
      <c r="A74">
        <f t="shared" si="1"/>
        <v>2022</v>
      </c>
      <c r="B74" s="9">
        <v>44683</v>
      </c>
      <c r="C74" s="9">
        <f>VLOOKUP(B74,Fact_Carrier_Weekly!C:D,2,0)</f>
        <v>44687</v>
      </c>
      <c r="D74" s="5">
        <f>SUMIF(Fact_Carrier_Weekly!$C:$C, $B74, Fact_Carrier_Weekly!$H:$H)</f>
        <v>2591</v>
      </c>
      <c r="E74" s="5">
        <f>SUMIF(Fact_Carrier_Weekly!$C:$C, $B74, Fact_Carrier_Weekly!$J:$J)</f>
        <v>67687</v>
      </c>
      <c r="F74" s="9"/>
      <c r="L74" s="9"/>
      <c r="O74" s="9"/>
    </row>
    <row r="75" spans="1:15" x14ac:dyDescent="0.3">
      <c r="A75">
        <f t="shared" si="1"/>
        <v>2022</v>
      </c>
      <c r="B75" s="9">
        <v>44690</v>
      </c>
      <c r="C75" s="9">
        <f>VLOOKUP(B75,Fact_Carrier_Weekly!C:D,2,0)</f>
        <v>44694</v>
      </c>
      <c r="D75" s="5">
        <f>SUMIF(Fact_Carrier_Weekly!$C:$C, $B75, Fact_Carrier_Weekly!$H:$H)</f>
        <v>2601</v>
      </c>
      <c r="E75" s="5">
        <f>SUMIF(Fact_Carrier_Weekly!$C:$C, $B75, Fact_Carrier_Weekly!$J:$J)</f>
        <v>69696.2</v>
      </c>
      <c r="F75" s="9"/>
      <c r="L75" s="9"/>
      <c r="O75" s="9"/>
    </row>
    <row r="76" spans="1:15" x14ac:dyDescent="0.3">
      <c r="A76">
        <f t="shared" si="1"/>
        <v>2022</v>
      </c>
      <c r="B76" s="9">
        <v>44697</v>
      </c>
      <c r="C76" s="9">
        <f>VLOOKUP(B76,Fact_Carrier_Weekly!C:D,2,0)</f>
        <v>44701</v>
      </c>
      <c r="D76" s="5">
        <f>SUMIF(Fact_Carrier_Weekly!$C:$C, $B76, Fact_Carrier_Weekly!$H:$H)</f>
        <v>2586</v>
      </c>
      <c r="E76" s="5">
        <f>SUMIF(Fact_Carrier_Weekly!$C:$C, $B76, Fact_Carrier_Weekly!$J:$J)</f>
        <v>71224</v>
      </c>
      <c r="F76" s="9"/>
      <c r="L76" s="9"/>
      <c r="O76" s="9"/>
    </row>
    <row r="77" spans="1:15" x14ac:dyDescent="0.3">
      <c r="A77">
        <f t="shared" si="1"/>
        <v>2022</v>
      </c>
      <c r="B77" s="9">
        <v>44704</v>
      </c>
      <c r="C77" s="9">
        <f>VLOOKUP(B77,Fact_Carrier_Weekly!C:D,2,0)</f>
        <v>44708</v>
      </c>
      <c r="D77" s="5">
        <f>SUMIF(Fact_Carrier_Weekly!$C:$C, $B77, Fact_Carrier_Weekly!$H:$H)</f>
        <v>2601</v>
      </c>
      <c r="E77" s="5">
        <f>SUMIF(Fact_Carrier_Weekly!$C:$C, $B77, Fact_Carrier_Weekly!$J:$J)</f>
        <v>70002</v>
      </c>
      <c r="F77" s="9"/>
      <c r="L77" s="9"/>
      <c r="O77" s="9"/>
    </row>
    <row r="78" spans="1:15" x14ac:dyDescent="0.3">
      <c r="A78">
        <f t="shared" si="1"/>
        <v>2022</v>
      </c>
      <c r="B78" s="9">
        <v>44711</v>
      </c>
      <c r="C78" s="9">
        <f>VLOOKUP(B78,Fact_Carrier_Weekly!C:D,2,0)</f>
        <v>44715</v>
      </c>
      <c r="D78" s="5">
        <f>SUMIF(Fact_Carrier_Weekly!$C:$C, $B78, Fact_Carrier_Weekly!$H:$H)</f>
        <v>2622</v>
      </c>
      <c r="E78" s="5">
        <f>SUMIF(Fact_Carrier_Weekly!$C:$C, $B78, Fact_Carrier_Weekly!$J:$J)</f>
        <v>71240</v>
      </c>
      <c r="F78" s="9"/>
      <c r="L78" s="9"/>
      <c r="O78" s="9"/>
    </row>
    <row r="79" spans="1:15" x14ac:dyDescent="0.3">
      <c r="A79">
        <f t="shared" si="1"/>
        <v>2022</v>
      </c>
      <c r="B79" s="9">
        <v>44718</v>
      </c>
      <c r="C79" s="9">
        <f>VLOOKUP(B79,Fact_Carrier_Weekly!C:D,2,0)</f>
        <v>44722</v>
      </c>
      <c r="D79" s="5">
        <f>SUMIF(Fact_Carrier_Weekly!$C:$C, $B79, Fact_Carrier_Weekly!$H:$H)</f>
        <v>2610</v>
      </c>
      <c r="E79" s="5">
        <f>SUMIF(Fact_Carrier_Weekly!$C:$C, $B79, Fact_Carrier_Weekly!$J:$J)</f>
        <v>72706</v>
      </c>
      <c r="F79" s="9"/>
      <c r="L79" s="9"/>
      <c r="O79" s="9"/>
    </row>
    <row r="80" spans="1:15" x14ac:dyDescent="0.3">
      <c r="A80">
        <f t="shared" si="1"/>
        <v>2022</v>
      </c>
      <c r="B80" s="9">
        <v>44725</v>
      </c>
      <c r="C80" s="9">
        <f>VLOOKUP(B80,Fact_Carrier_Weekly!C:D,2,0)</f>
        <v>44729</v>
      </c>
      <c r="D80" s="5">
        <f>SUMIF(Fact_Carrier_Weekly!$C:$C, $B80, Fact_Carrier_Weekly!$H:$H)</f>
        <v>2605</v>
      </c>
      <c r="E80" s="5">
        <f>SUMIF(Fact_Carrier_Weekly!$C:$C, $B80, Fact_Carrier_Weekly!$J:$J)</f>
        <v>73707</v>
      </c>
      <c r="F80" s="9"/>
      <c r="L80" s="9"/>
      <c r="O80" s="9"/>
    </row>
    <row r="81" spans="1:15" x14ac:dyDescent="0.3">
      <c r="A81">
        <f t="shared" si="1"/>
        <v>2022</v>
      </c>
      <c r="B81" s="9">
        <v>44732</v>
      </c>
      <c r="C81" s="9">
        <f>VLOOKUP(B81,Fact_Carrier_Weekly!C:D,2,0)</f>
        <v>44736</v>
      </c>
      <c r="D81" s="5">
        <f>SUMIF(Fact_Carrier_Weekly!$C:$C, $B81, Fact_Carrier_Weekly!$H:$H)</f>
        <v>2616</v>
      </c>
      <c r="E81" s="5">
        <f>SUMIF(Fact_Carrier_Weekly!$C:$C, $B81, Fact_Carrier_Weekly!$J:$J)</f>
        <v>73009</v>
      </c>
      <c r="F81" s="9"/>
      <c r="L81" s="9"/>
      <c r="O81" s="9"/>
    </row>
    <row r="82" spans="1:15" x14ac:dyDescent="0.3">
      <c r="A82">
        <f t="shared" si="1"/>
        <v>2022</v>
      </c>
      <c r="B82" s="9">
        <v>44739</v>
      </c>
      <c r="C82" s="9">
        <f>VLOOKUP(B82,Fact_Carrier_Weekly!C:D,2,0)</f>
        <v>44743</v>
      </c>
      <c r="D82" s="5">
        <f>SUMIF(Fact_Carrier_Weekly!$C:$C, $B82, Fact_Carrier_Weekly!$H:$H)</f>
        <v>2630</v>
      </c>
      <c r="E82" s="5">
        <f>SUMIF(Fact_Carrier_Weekly!$C:$C, $B82, Fact_Carrier_Weekly!$J:$J)</f>
        <v>73801</v>
      </c>
      <c r="F82" s="9"/>
      <c r="L82" s="9"/>
      <c r="O82" s="9"/>
    </row>
    <row r="83" spans="1:15" x14ac:dyDescent="0.3">
      <c r="A83">
        <f t="shared" si="1"/>
        <v>2022</v>
      </c>
      <c r="B83" s="9">
        <v>44746</v>
      </c>
      <c r="C83" s="9">
        <f>VLOOKUP(B83,Fact_Carrier_Weekly!C:D,2,0)</f>
        <v>44750</v>
      </c>
      <c r="D83" s="5">
        <f>SUMIF(Fact_Carrier_Weekly!$C:$C, $B83, Fact_Carrier_Weekly!$H:$H)</f>
        <v>2641</v>
      </c>
      <c r="E83" s="5">
        <f>SUMIF(Fact_Carrier_Weekly!$C:$C, $B83, Fact_Carrier_Weekly!$J:$J)</f>
        <v>70974</v>
      </c>
      <c r="F83" s="9"/>
      <c r="L83" s="9"/>
      <c r="O83" s="9"/>
    </row>
    <row r="84" spans="1:15" x14ac:dyDescent="0.3">
      <c r="A84">
        <f t="shared" si="1"/>
        <v>2022</v>
      </c>
      <c r="B84" s="9">
        <v>44753</v>
      </c>
      <c r="C84" s="9">
        <f>VLOOKUP(B84,Fact_Carrier_Weekly!C:D,2,0)</f>
        <v>44757</v>
      </c>
      <c r="D84" s="5">
        <f>SUMIF(Fact_Carrier_Weekly!$C:$C, $B84, Fact_Carrier_Weekly!$H:$H)</f>
        <v>2640</v>
      </c>
      <c r="E84" s="5">
        <f>SUMIF(Fact_Carrier_Weekly!$C:$C, $B84, Fact_Carrier_Weekly!$J:$J)</f>
        <v>72757</v>
      </c>
      <c r="F84" s="9"/>
      <c r="L84" s="9"/>
      <c r="O84" s="9"/>
    </row>
    <row r="85" spans="1:15" x14ac:dyDescent="0.3">
      <c r="A85">
        <f t="shared" si="1"/>
        <v>2022</v>
      </c>
      <c r="B85" s="9">
        <v>44760</v>
      </c>
      <c r="C85" s="9">
        <f>VLOOKUP(B85,Fact_Carrier_Weekly!C:D,2,0)</f>
        <v>44764</v>
      </c>
      <c r="D85" s="5">
        <f>SUMIF(Fact_Carrier_Weekly!$C:$C, $B85, Fact_Carrier_Weekly!$H:$H)</f>
        <v>2643</v>
      </c>
      <c r="E85" s="5">
        <f>SUMIF(Fact_Carrier_Weekly!$C:$C, $B85, Fact_Carrier_Weekly!$J:$J)</f>
        <v>73543</v>
      </c>
      <c r="F85" s="9"/>
      <c r="L85" s="9"/>
      <c r="O85" s="9"/>
    </row>
    <row r="86" spans="1:15" x14ac:dyDescent="0.3">
      <c r="A86">
        <f t="shared" si="1"/>
        <v>2022</v>
      </c>
      <c r="B86" s="9">
        <v>44767</v>
      </c>
      <c r="C86" s="9">
        <f>VLOOKUP(B86,Fact_Carrier_Weekly!C:D,2,0)</f>
        <v>44771</v>
      </c>
      <c r="D86" s="5">
        <f>SUMIF(Fact_Carrier_Weekly!$C:$C, $B86, Fact_Carrier_Weekly!$H:$H)</f>
        <v>2652</v>
      </c>
      <c r="E86" s="5">
        <f>SUMIF(Fact_Carrier_Weekly!$C:$C, $B86, Fact_Carrier_Weekly!$J:$J)</f>
        <v>75619</v>
      </c>
      <c r="F86" s="9"/>
      <c r="L86" s="9"/>
      <c r="O86" s="9"/>
    </row>
    <row r="87" spans="1:15" x14ac:dyDescent="0.3">
      <c r="A87">
        <f t="shared" si="1"/>
        <v>2022</v>
      </c>
      <c r="B87" s="9">
        <v>44774</v>
      </c>
      <c r="C87" s="9">
        <f>VLOOKUP(B87,Fact_Carrier_Weekly!C:D,2,0)</f>
        <v>44778</v>
      </c>
      <c r="D87" s="5">
        <f>SUMIF(Fact_Carrier_Weekly!$C:$C, $B87, Fact_Carrier_Weekly!$H:$H)</f>
        <v>2671</v>
      </c>
      <c r="E87" s="5">
        <f>SUMIF(Fact_Carrier_Weekly!$C:$C, $B87, Fact_Carrier_Weekly!$J:$J)</f>
        <v>74592</v>
      </c>
      <c r="F87" s="9"/>
      <c r="L87" s="9"/>
      <c r="O87" s="9"/>
    </row>
    <row r="88" spans="1:15" x14ac:dyDescent="0.3">
      <c r="A88">
        <f t="shared" si="1"/>
        <v>2022</v>
      </c>
      <c r="B88" s="9">
        <v>44781</v>
      </c>
      <c r="C88" s="9">
        <f>VLOOKUP(B88,Fact_Carrier_Weekly!C:D,2,0)</f>
        <v>44785</v>
      </c>
      <c r="D88" s="5">
        <f>SUMIF(Fact_Carrier_Weekly!$C:$C, $B88, Fact_Carrier_Weekly!$H:$H)</f>
        <v>2658</v>
      </c>
      <c r="E88" s="5">
        <f>SUMIF(Fact_Carrier_Weekly!$C:$C, $B88, Fact_Carrier_Weekly!$J:$J)</f>
        <v>74099</v>
      </c>
      <c r="F88" s="9"/>
      <c r="L88" s="9"/>
      <c r="O88" s="9"/>
    </row>
    <row r="89" spans="1:15" x14ac:dyDescent="0.3">
      <c r="A89">
        <f t="shared" si="1"/>
        <v>2022</v>
      </c>
      <c r="B89" s="9">
        <v>44788</v>
      </c>
      <c r="C89" s="9">
        <f>VLOOKUP(B89,Fact_Carrier_Weekly!C:D,2,0)</f>
        <v>44792</v>
      </c>
      <c r="D89" s="5">
        <f>SUMIF(Fact_Carrier_Weekly!$C:$C, $B89, Fact_Carrier_Weekly!$H:$H)</f>
        <v>2654</v>
      </c>
      <c r="E89" s="5">
        <f>SUMIF(Fact_Carrier_Weekly!$C:$C, $B89, Fact_Carrier_Weekly!$J:$J)</f>
        <v>73844</v>
      </c>
      <c r="F89" s="9"/>
      <c r="L89" s="9"/>
      <c r="O89" s="9"/>
    </row>
    <row r="90" spans="1:15" x14ac:dyDescent="0.3">
      <c r="A90">
        <f t="shared" si="1"/>
        <v>2022</v>
      </c>
      <c r="B90" s="9">
        <v>44795</v>
      </c>
      <c r="C90" s="9">
        <f>VLOOKUP(B90,Fact_Carrier_Weekly!C:D,2,0)</f>
        <v>44799</v>
      </c>
      <c r="D90" s="5">
        <f>SUMIF(Fact_Carrier_Weekly!$C:$C, $B90, Fact_Carrier_Weekly!$H:$H)</f>
        <v>2658</v>
      </c>
      <c r="E90" s="5">
        <f>SUMIF(Fact_Carrier_Weekly!$C:$C, $B90, Fact_Carrier_Weekly!$J:$J)</f>
        <v>72565</v>
      </c>
      <c r="F90" s="9"/>
      <c r="L90" s="9"/>
      <c r="O90" s="9"/>
    </row>
    <row r="91" spans="1:15" x14ac:dyDescent="0.3">
      <c r="A91">
        <f t="shared" si="1"/>
        <v>2022</v>
      </c>
      <c r="B91" s="9">
        <v>44802</v>
      </c>
      <c r="C91" s="9">
        <f>VLOOKUP(B91,Fact_Carrier_Weekly!C:D,2,0)</f>
        <v>44806</v>
      </c>
      <c r="D91" s="5">
        <f>SUMIF(Fact_Carrier_Weekly!$C:$C, $B91, Fact_Carrier_Weekly!$H:$H)</f>
        <v>2642</v>
      </c>
      <c r="E91" s="5">
        <f>SUMIF(Fact_Carrier_Weekly!$C:$C, $B91, Fact_Carrier_Weekly!$J:$J)</f>
        <v>71059</v>
      </c>
      <c r="F91" s="9"/>
      <c r="L91" s="9"/>
      <c r="O91" s="9"/>
    </row>
    <row r="92" spans="1:15" x14ac:dyDescent="0.3">
      <c r="A92">
        <f t="shared" si="1"/>
        <v>2022</v>
      </c>
      <c r="B92" s="9">
        <v>44809</v>
      </c>
      <c r="C92" s="9">
        <f>VLOOKUP(B92,Fact_Carrier_Weekly!C:D,2,0)</f>
        <v>44813</v>
      </c>
      <c r="D92" s="5">
        <f>SUMIF(Fact_Carrier_Weekly!$C:$C, $B92, Fact_Carrier_Weekly!$H:$H)</f>
        <v>2638</v>
      </c>
      <c r="E92" s="5">
        <f>SUMIF(Fact_Carrier_Weekly!$C:$C, $B92, Fact_Carrier_Weekly!$J:$J)</f>
        <v>76784</v>
      </c>
      <c r="F92" s="9"/>
      <c r="L92" s="9"/>
      <c r="O92" s="9"/>
    </row>
    <row r="93" spans="1:15" x14ac:dyDescent="0.3">
      <c r="A93">
        <f t="shared" si="1"/>
        <v>2022</v>
      </c>
      <c r="B93" s="9">
        <v>44816</v>
      </c>
      <c r="C93" s="9">
        <f>VLOOKUP(B93,Fact_Carrier_Weekly!C:D,2,0)</f>
        <v>44820</v>
      </c>
      <c r="D93" s="5">
        <f>SUMIF(Fact_Carrier_Weekly!$C:$C, $B93, Fact_Carrier_Weekly!$H:$H)</f>
        <v>2666</v>
      </c>
      <c r="E93" s="5">
        <f>SUMIF(Fact_Carrier_Weekly!$C:$C, $B93, Fact_Carrier_Weekly!$J:$J)</f>
        <v>81574</v>
      </c>
      <c r="F93" s="9"/>
      <c r="L93" s="9"/>
      <c r="O93" s="9"/>
    </row>
    <row r="94" spans="1:15" x14ac:dyDescent="0.3">
      <c r="A94">
        <f t="shared" si="1"/>
        <v>2022</v>
      </c>
      <c r="B94" s="9">
        <v>44823</v>
      </c>
      <c r="C94" s="9">
        <f>VLOOKUP(B94,Fact_Carrier_Weekly!C:D,2,0)</f>
        <v>44827</v>
      </c>
      <c r="D94" s="5">
        <f>SUMIF(Fact_Carrier_Weekly!$C:$C, $B94, Fact_Carrier_Weekly!$H:$H)</f>
        <v>2621</v>
      </c>
      <c r="E94" s="5">
        <f>SUMIF(Fact_Carrier_Weekly!$C:$C, $B94, Fact_Carrier_Weekly!$J:$J)</f>
        <v>82375</v>
      </c>
      <c r="F94" s="9"/>
      <c r="L94" s="9"/>
      <c r="O94" s="9"/>
    </row>
    <row r="95" spans="1:15" x14ac:dyDescent="0.3">
      <c r="A95">
        <f t="shared" si="1"/>
        <v>2022</v>
      </c>
      <c r="B95" s="9">
        <v>44830</v>
      </c>
      <c r="C95" s="9">
        <f>VLOOKUP(B95,Fact_Carrier_Weekly!C:D,2,0)</f>
        <v>44834</v>
      </c>
      <c r="D95" s="5">
        <f>SUMIF(Fact_Carrier_Weekly!$C:$C, $B95, Fact_Carrier_Weekly!$H:$H)</f>
        <v>2678</v>
      </c>
      <c r="E95" s="5">
        <f>SUMIF(Fact_Carrier_Weekly!$C:$C, $B95, Fact_Carrier_Weekly!$J:$J)</f>
        <v>79263</v>
      </c>
      <c r="F95" s="9"/>
      <c r="L95" s="9"/>
      <c r="O95" s="9"/>
    </row>
    <row r="96" spans="1:15" x14ac:dyDescent="0.3">
      <c r="A96">
        <f t="shared" si="1"/>
        <v>2022</v>
      </c>
      <c r="B96" s="9">
        <v>44837</v>
      </c>
      <c r="C96" s="9">
        <f>VLOOKUP(B96,Fact_Carrier_Weekly!C:D,2,0)</f>
        <v>44841</v>
      </c>
      <c r="D96" s="5">
        <f>SUMIF(Fact_Carrier_Weekly!$C:$C, $B96, Fact_Carrier_Weekly!$H:$H)</f>
        <v>2681</v>
      </c>
      <c r="E96" s="5">
        <f>SUMIF(Fact_Carrier_Weekly!$C:$C, $B96, Fact_Carrier_Weekly!$J:$J)</f>
        <v>72118</v>
      </c>
      <c r="F96" s="9"/>
      <c r="L96" s="9"/>
      <c r="O96" s="9"/>
    </row>
    <row r="97" spans="1:15" x14ac:dyDescent="0.3">
      <c r="A97">
        <f t="shared" si="1"/>
        <v>2022</v>
      </c>
      <c r="B97" s="9">
        <v>44844</v>
      </c>
      <c r="C97" s="9">
        <f>VLOOKUP(B97,Fact_Carrier_Weekly!C:D,2,0)</f>
        <v>44848</v>
      </c>
      <c r="D97" s="5">
        <f>SUMIF(Fact_Carrier_Weekly!$C:$C, $B97, Fact_Carrier_Weekly!$H:$H)</f>
        <v>2654</v>
      </c>
      <c r="E97" s="5">
        <f>SUMIF(Fact_Carrier_Weekly!$C:$C, $B97, Fact_Carrier_Weekly!$J:$J)</f>
        <v>81695</v>
      </c>
      <c r="F97" s="9"/>
      <c r="L97" s="9"/>
      <c r="O97" s="9"/>
    </row>
    <row r="98" spans="1:15" x14ac:dyDescent="0.3">
      <c r="A98">
        <f t="shared" si="1"/>
        <v>2022</v>
      </c>
      <c r="B98" s="9">
        <v>44851</v>
      </c>
      <c r="C98" s="9">
        <f>VLOOKUP(B98,Fact_Carrier_Weekly!C:D,2,0)</f>
        <v>44855</v>
      </c>
      <c r="D98" s="5">
        <f>SUMIF(Fact_Carrier_Weekly!$C:$C, $B98, Fact_Carrier_Weekly!$H:$H)</f>
        <v>2681</v>
      </c>
      <c r="E98" s="5">
        <f>SUMIF(Fact_Carrier_Weekly!$C:$C, $B98, Fact_Carrier_Weekly!$J:$J)</f>
        <v>82929</v>
      </c>
      <c r="F98" s="9"/>
      <c r="L98" s="9"/>
      <c r="O98" s="9"/>
    </row>
    <row r="99" spans="1:15" x14ac:dyDescent="0.3">
      <c r="A99">
        <f t="shared" si="1"/>
        <v>2022</v>
      </c>
      <c r="B99" s="9">
        <v>44858</v>
      </c>
      <c r="C99" s="9">
        <f>VLOOKUP(B99,Fact_Carrier_Weekly!C:D,2,0)</f>
        <v>44862</v>
      </c>
      <c r="D99" s="5">
        <f>SUMIF(Fact_Carrier_Weekly!$C:$C, $B99, Fact_Carrier_Weekly!$H:$H)</f>
        <v>2683</v>
      </c>
      <c r="E99" s="5">
        <f>SUMIF(Fact_Carrier_Weekly!$C:$C, $B99, Fact_Carrier_Weekly!$J:$J)</f>
        <v>80974</v>
      </c>
      <c r="F99" s="9"/>
      <c r="L99" s="9"/>
      <c r="O99" s="9"/>
    </row>
    <row r="100" spans="1:15" x14ac:dyDescent="0.3">
      <c r="A100">
        <f t="shared" si="1"/>
        <v>2022</v>
      </c>
      <c r="B100" s="9">
        <v>44865</v>
      </c>
      <c r="C100" s="9">
        <f>VLOOKUP(B100,Fact_Carrier_Weekly!C:D,2,0)</f>
        <v>44869</v>
      </c>
      <c r="D100" s="5">
        <f>SUMIF(Fact_Carrier_Weekly!$C:$C, $B100, Fact_Carrier_Weekly!$H:$H)</f>
        <v>2679</v>
      </c>
      <c r="E100" s="5">
        <f>SUMIF(Fact_Carrier_Weekly!$C:$C, $B100, Fact_Carrier_Weekly!$J:$J)</f>
        <v>82310</v>
      </c>
      <c r="F100" s="9"/>
      <c r="L100" s="9"/>
      <c r="O100" s="9"/>
    </row>
    <row r="101" spans="1:15" x14ac:dyDescent="0.3">
      <c r="A101">
        <f t="shared" si="1"/>
        <v>2022</v>
      </c>
      <c r="B101" s="9">
        <v>44872</v>
      </c>
      <c r="C101" s="9">
        <f>VLOOKUP(B101,Fact_Carrier_Weekly!C:D,2,0)</f>
        <v>44876</v>
      </c>
      <c r="D101" s="5">
        <f>SUMIF(Fact_Carrier_Weekly!$C:$C, $B101, Fact_Carrier_Weekly!$H:$H)</f>
        <v>2684</v>
      </c>
      <c r="E101" s="5">
        <f>SUMIF(Fact_Carrier_Weekly!$C:$C, $B101, Fact_Carrier_Weekly!$J:$J)</f>
        <v>80445</v>
      </c>
      <c r="F101" s="9"/>
      <c r="L101" s="9"/>
      <c r="O101" s="9"/>
    </row>
    <row r="102" spans="1:15" x14ac:dyDescent="0.3">
      <c r="A102">
        <f t="shared" si="1"/>
        <v>2022</v>
      </c>
      <c r="B102" s="9">
        <v>44879</v>
      </c>
      <c r="C102" s="9">
        <f>VLOOKUP(B102,Fact_Carrier_Weekly!C:D,2,0)</f>
        <v>44883</v>
      </c>
      <c r="D102" s="5">
        <f>SUMIF(Fact_Carrier_Weekly!$C:$C, $B102, Fact_Carrier_Weekly!$H:$H)</f>
        <v>2674</v>
      </c>
      <c r="E102" s="5">
        <f>SUMIF(Fact_Carrier_Weekly!$C:$C, $B102, Fact_Carrier_Weekly!$J:$J)</f>
        <v>78620</v>
      </c>
      <c r="F102" s="9"/>
      <c r="L102" s="9"/>
      <c r="O102" s="9"/>
    </row>
    <row r="103" spans="1:15" x14ac:dyDescent="0.3">
      <c r="A103">
        <f t="shared" si="1"/>
        <v>2022</v>
      </c>
      <c r="B103" s="9">
        <v>44893</v>
      </c>
      <c r="C103" s="9">
        <f>VLOOKUP(B103,Fact_Carrier_Weekly!C:D,2,0)</f>
        <v>44897</v>
      </c>
      <c r="D103" s="5">
        <f>SUMIF(Fact_Carrier_Weekly!$C:$C, $B103, Fact_Carrier_Weekly!$H:$H)</f>
        <v>2698</v>
      </c>
      <c r="E103" s="5">
        <f>SUMIF(Fact_Carrier_Weekly!$C:$C, $B103, Fact_Carrier_Weekly!$J:$J)</f>
        <v>78424</v>
      </c>
      <c r="F103" s="9"/>
      <c r="L103" s="9"/>
      <c r="O103" s="9"/>
    </row>
    <row r="104" spans="1:15" x14ac:dyDescent="0.3">
      <c r="A104">
        <f t="shared" si="1"/>
        <v>2022</v>
      </c>
      <c r="B104" s="9">
        <v>44900</v>
      </c>
      <c r="C104" s="9">
        <f>VLOOKUP(B104,Fact_Carrier_Weekly!C:D,2,0)</f>
        <v>44904</v>
      </c>
      <c r="D104" s="5">
        <f>SUMIF(Fact_Carrier_Weekly!$C:$C, $B104, Fact_Carrier_Weekly!$H:$H)</f>
        <v>2660</v>
      </c>
      <c r="E104" s="5">
        <f>SUMIF(Fact_Carrier_Weekly!$C:$C, $B104, Fact_Carrier_Weekly!$J:$J)</f>
        <v>80527</v>
      </c>
      <c r="F104" s="9"/>
      <c r="L104" s="9"/>
      <c r="O104" s="9"/>
    </row>
    <row r="105" spans="1:15" x14ac:dyDescent="0.3">
      <c r="A105">
        <f t="shared" si="1"/>
        <v>2022</v>
      </c>
      <c r="B105" s="9">
        <v>44907</v>
      </c>
      <c r="C105" s="9">
        <f>VLOOKUP(B105,Fact_Carrier_Weekly!C:D,2,0)</f>
        <v>44911</v>
      </c>
      <c r="D105" s="5">
        <f>SUMIF(Fact_Carrier_Weekly!$C:$C, $B105, Fact_Carrier_Weekly!$H:$H)</f>
        <v>2656</v>
      </c>
      <c r="E105" s="5">
        <f>SUMIF(Fact_Carrier_Weekly!$C:$C, $B105, Fact_Carrier_Weekly!$J:$J)</f>
        <v>79636</v>
      </c>
      <c r="F105" s="9"/>
      <c r="L105" s="9"/>
      <c r="O105" s="9"/>
    </row>
    <row r="106" spans="1:15" x14ac:dyDescent="0.3">
      <c r="A106">
        <f t="shared" si="1"/>
        <v>2022</v>
      </c>
      <c r="B106" s="9">
        <v>44914</v>
      </c>
      <c r="C106" s="9">
        <f>VLOOKUP(B106,Fact_Carrier_Weekly!C:D,2,0)</f>
        <v>44918</v>
      </c>
      <c r="D106" s="5">
        <f>SUMIF(Fact_Carrier_Weekly!$C:$C, $B106, Fact_Carrier_Weekly!$H:$H)</f>
        <v>2661</v>
      </c>
      <c r="E106" s="5">
        <f>SUMIF(Fact_Carrier_Weekly!$C:$C, $B106, Fact_Carrier_Weekly!$J:$J)</f>
        <v>73751</v>
      </c>
      <c r="F106" s="9"/>
      <c r="L106" s="9"/>
      <c r="O106" s="9"/>
    </row>
    <row r="107" spans="1:15" x14ac:dyDescent="0.3">
      <c r="A107">
        <f t="shared" si="1"/>
        <v>2022</v>
      </c>
      <c r="B107" s="9">
        <v>44921</v>
      </c>
      <c r="C107" s="9">
        <f>VLOOKUP(B107,Fact_Carrier_Weekly!C:D,2,0)</f>
        <v>44925</v>
      </c>
      <c r="D107" s="5">
        <f>SUMIF(Fact_Carrier_Weekly!$C:$C, $B107, Fact_Carrier_Weekly!$H:$H)</f>
        <v>2604</v>
      </c>
      <c r="E107" s="5">
        <f>SUMIF(Fact_Carrier_Weekly!$C:$C, $B107, Fact_Carrier_Weekly!$J:$J)</f>
        <v>67812</v>
      </c>
      <c r="F107" s="9"/>
      <c r="L107" s="9"/>
      <c r="O107" s="9"/>
    </row>
    <row r="108" spans="1:15" x14ac:dyDescent="0.3">
      <c r="A108">
        <f t="shared" si="1"/>
        <v>2023</v>
      </c>
      <c r="B108" s="9">
        <v>44928</v>
      </c>
      <c r="C108" s="9">
        <f>VLOOKUP(B108,Fact_Carrier_Weekly!C:D,2,0)</f>
        <v>44932</v>
      </c>
      <c r="D108" s="5">
        <f>SUMIF(Fact_Carrier_Weekly!$C:$C, $B108, Fact_Carrier_Weekly!$H:$H)</f>
        <v>2654</v>
      </c>
      <c r="E108" s="5">
        <f>SUMIF(Fact_Carrier_Weekly!$C:$C, $B108, Fact_Carrier_Weekly!$J:$J)</f>
        <v>78352</v>
      </c>
      <c r="F108" s="9"/>
      <c r="L108" s="9"/>
      <c r="O108" s="9"/>
    </row>
    <row r="109" spans="1:15" x14ac:dyDescent="0.3">
      <c r="A109">
        <f t="shared" si="1"/>
        <v>2023</v>
      </c>
      <c r="B109" s="9">
        <v>44935</v>
      </c>
      <c r="C109" s="9">
        <f>VLOOKUP(B109,Fact_Carrier_Weekly!C:D,2,0)</f>
        <v>44939</v>
      </c>
      <c r="D109" s="5">
        <f>SUMIF(Fact_Carrier_Weekly!$C:$C, $B109, Fact_Carrier_Weekly!$H:$H)</f>
        <v>2665</v>
      </c>
      <c r="E109" s="5">
        <f>SUMIF(Fact_Carrier_Weekly!$C:$C, $B109, Fact_Carrier_Weekly!$J:$J)</f>
        <v>78701</v>
      </c>
      <c r="F109" s="9"/>
      <c r="L109" s="9"/>
      <c r="O109" s="9"/>
    </row>
    <row r="110" spans="1:15" x14ac:dyDescent="0.3">
      <c r="A110">
        <f t="shared" si="1"/>
        <v>2023</v>
      </c>
      <c r="B110" s="9">
        <v>44942</v>
      </c>
      <c r="C110" s="9">
        <f>VLOOKUP(B110,Fact_Carrier_Weekly!C:D,2,0)</f>
        <v>44946</v>
      </c>
      <c r="D110" s="5">
        <f>SUMIF(Fact_Carrier_Weekly!$C:$C, $B110, Fact_Carrier_Weekly!$H:$H)</f>
        <v>2677</v>
      </c>
      <c r="E110" s="5">
        <f>SUMIF(Fact_Carrier_Weekly!$C:$C, $B110, Fact_Carrier_Weekly!$J:$J)</f>
        <v>79625</v>
      </c>
      <c r="F110" s="9"/>
      <c r="L110" s="9"/>
      <c r="O110" s="9"/>
    </row>
    <row r="111" spans="1:15" x14ac:dyDescent="0.3">
      <c r="A111">
        <f t="shared" si="1"/>
        <v>2023</v>
      </c>
      <c r="B111" s="9">
        <v>44949</v>
      </c>
      <c r="C111" s="9">
        <f>VLOOKUP(B111,Fact_Carrier_Weekly!C:D,2,0)</f>
        <v>44953</v>
      </c>
      <c r="D111" s="5">
        <f>SUMIF(Fact_Carrier_Weekly!$C:$C, $B111, Fact_Carrier_Weekly!$H:$H)</f>
        <v>2702</v>
      </c>
      <c r="E111" s="5">
        <f>SUMIF(Fact_Carrier_Weekly!$C:$C, $B111, Fact_Carrier_Weekly!$J:$J)</f>
        <v>76450.399999999994</v>
      </c>
      <c r="F111" s="9"/>
      <c r="L111" s="9"/>
      <c r="O111" s="9"/>
    </row>
    <row r="112" spans="1:15" x14ac:dyDescent="0.3">
      <c r="A112">
        <f t="shared" si="1"/>
        <v>2023</v>
      </c>
      <c r="B112" s="9">
        <v>44956</v>
      </c>
      <c r="C112" s="9">
        <f>VLOOKUP(B112,Fact_Carrier_Weekly!C:D,2,0)</f>
        <v>44960</v>
      </c>
      <c r="D112" s="5">
        <f>SUMIF(Fact_Carrier_Weekly!$C:$C, $B112, Fact_Carrier_Weekly!$H:$H)</f>
        <v>2694</v>
      </c>
      <c r="E112" s="5">
        <f>SUMIF(Fact_Carrier_Weekly!$C:$C, $B112, Fact_Carrier_Weekly!$J:$J)</f>
        <v>80020</v>
      </c>
      <c r="F112" s="9"/>
      <c r="L112" s="9"/>
      <c r="O112" s="9"/>
    </row>
    <row r="113" spans="1:15" x14ac:dyDescent="0.3">
      <c r="A113">
        <f t="shared" si="1"/>
        <v>2023</v>
      </c>
      <c r="B113" s="9">
        <v>44963</v>
      </c>
      <c r="C113" s="9">
        <f>VLOOKUP(B113,Fact_Carrier_Weekly!C:D,2,0)</f>
        <v>44967</v>
      </c>
      <c r="D113" s="5">
        <f>SUMIF(Fact_Carrier_Weekly!$C:$C, $B113, Fact_Carrier_Weekly!$H:$H)</f>
        <v>2738</v>
      </c>
      <c r="E113" s="5">
        <f>SUMIF(Fact_Carrier_Weekly!$C:$C, $B113, Fact_Carrier_Weekly!$J:$J)</f>
        <v>80689</v>
      </c>
      <c r="F113" s="9"/>
      <c r="L113" s="9"/>
      <c r="O113" s="9"/>
    </row>
    <row r="114" spans="1:15" x14ac:dyDescent="0.3">
      <c r="A114">
        <f t="shared" si="1"/>
        <v>2023</v>
      </c>
      <c r="B114" s="9">
        <v>44970</v>
      </c>
      <c r="C114" s="9">
        <f>VLOOKUP(B114,Fact_Carrier_Weekly!C:D,2,0)</f>
        <v>44974</v>
      </c>
      <c r="D114" s="5">
        <f>SUMIF(Fact_Carrier_Weekly!$C:$C, $B114, Fact_Carrier_Weekly!$H:$H)</f>
        <v>2735</v>
      </c>
      <c r="E114" s="5">
        <f>SUMIF(Fact_Carrier_Weekly!$C:$C, $B114, Fact_Carrier_Weekly!$J:$J)</f>
        <v>80260</v>
      </c>
      <c r="F114" s="9"/>
      <c r="L114" s="9"/>
      <c r="O114" s="9"/>
    </row>
    <row r="115" spans="1:15" x14ac:dyDescent="0.3">
      <c r="A115">
        <f t="shared" si="1"/>
        <v>2023</v>
      </c>
      <c r="B115" s="9">
        <v>44977</v>
      </c>
      <c r="C115" s="9">
        <f>VLOOKUP(B115,Fact_Carrier_Weekly!C:D,2,0)</f>
        <v>44981</v>
      </c>
      <c r="D115" s="5">
        <f>SUMIF(Fact_Carrier_Weekly!$C:$C, $B115, Fact_Carrier_Weekly!$H:$H)</f>
        <v>2675</v>
      </c>
      <c r="E115" s="5">
        <f>SUMIF(Fact_Carrier_Weekly!$C:$C, $B115, Fact_Carrier_Weekly!$J:$J)</f>
        <v>78098</v>
      </c>
      <c r="F115" s="9"/>
      <c r="L115" s="9"/>
      <c r="O115" s="9"/>
    </row>
    <row r="116" spans="1:15" x14ac:dyDescent="0.3">
      <c r="A116">
        <f t="shared" si="1"/>
        <v>2023</v>
      </c>
      <c r="B116" s="9">
        <v>44984</v>
      </c>
      <c r="C116" s="9">
        <f>VLOOKUP(B116,Fact_Carrier_Weekly!C:D,2,0)</f>
        <v>44988</v>
      </c>
      <c r="D116" s="5">
        <f>SUMIF(Fact_Carrier_Weekly!$C:$C, $B116, Fact_Carrier_Weekly!$H:$H)</f>
        <v>2712</v>
      </c>
      <c r="E116" s="5">
        <f>SUMIF(Fact_Carrier_Weekly!$C:$C, $B116, Fact_Carrier_Weekly!$J:$J)</f>
        <v>80271</v>
      </c>
      <c r="F116" s="9"/>
      <c r="L116" s="9"/>
      <c r="O116" s="9"/>
    </row>
    <row r="117" spans="1:15" x14ac:dyDescent="0.3">
      <c r="A117">
        <f t="shared" si="1"/>
        <v>2023</v>
      </c>
      <c r="B117" s="9">
        <v>44991</v>
      </c>
      <c r="C117" s="9">
        <f>VLOOKUP(B117,Fact_Carrier_Weekly!C:D,2,0)</f>
        <v>44995</v>
      </c>
      <c r="D117" s="5">
        <f>SUMIF(Fact_Carrier_Weekly!$C:$C, $B117, Fact_Carrier_Weekly!$H:$H)</f>
        <v>2720</v>
      </c>
      <c r="E117" s="5">
        <f>SUMIF(Fact_Carrier_Weekly!$C:$C, $B117, Fact_Carrier_Weekly!$J:$J)</f>
        <v>81732</v>
      </c>
      <c r="F117" s="9"/>
      <c r="L117" s="9"/>
      <c r="O117" s="9"/>
    </row>
    <row r="118" spans="1:15" x14ac:dyDescent="0.3">
      <c r="A118">
        <f t="shared" si="1"/>
        <v>2023</v>
      </c>
      <c r="B118" s="9">
        <v>44998</v>
      </c>
      <c r="C118" s="9">
        <f>VLOOKUP(B118,Fact_Carrier_Weekly!C:D,2,0)</f>
        <v>45002</v>
      </c>
      <c r="D118" s="5">
        <f>SUMIF(Fact_Carrier_Weekly!$C:$C, $B118, Fact_Carrier_Weekly!$H:$H)</f>
        <v>2715</v>
      </c>
      <c r="E118" s="5">
        <f>SUMIF(Fact_Carrier_Weekly!$C:$C, $B118, Fact_Carrier_Weekly!$J:$J)</f>
        <v>83269</v>
      </c>
      <c r="F118" s="9"/>
      <c r="L118" s="9"/>
      <c r="O118" s="9"/>
    </row>
    <row r="119" spans="1:15" x14ac:dyDescent="0.3">
      <c r="A119">
        <f t="shared" si="1"/>
        <v>2023</v>
      </c>
      <c r="B119" s="9">
        <v>45005</v>
      </c>
      <c r="C119" s="9">
        <f>VLOOKUP(B119,Fact_Carrier_Weekly!C:D,2,0)</f>
        <v>45009</v>
      </c>
      <c r="D119" s="5">
        <f>SUMIF(Fact_Carrier_Weekly!$C:$C, $B119, Fact_Carrier_Weekly!$H:$H)</f>
        <v>2730</v>
      </c>
      <c r="E119" s="5">
        <f>SUMIF(Fact_Carrier_Weekly!$C:$C, $B119, Fact_Carrier_Weekly!$J:$J)</f>
        <v>84119</v>
      </c>
      <c r="F119" s="9"/>
      <c r="L119" s="9"/>
      <c r="O119" s="9"/>
    </row>
    <row r="120" spans="1:15" x14ac:dyDescent="0.3">
      <c r="A120">
        <f t="shared" si="1"/>
        <v>2023</v>
      </c>
      <c r="B120" s="9">
        <v>45012</v>
      </c>
      <c r="C120" s="9">
        <f>VLOOKUP(B120,Fact_Carrier_Weekly!C:D,2,0)</f>
        <v>45016</v>
      </c>
      <c r="D120" s="5">
        <f>SUMIF(Fact_Carrier_Weekly!$C:$C, $B120, Fact_Carrier_Weekly!$H:$H)</f>
        <v>2728</v>
      </c>
      <c r="E120" s="5">
        <f>SUMIF(Fact_Carrier_Weekly!$C:$C, $B120, Fact_Carrier_Weekly!$J:$J)</f>
        <v>83498</v>
      </c>
      <c r="F120" s="9"/>
      <c r="L120" s="9"/>
      <c r="O120" s="9"/>
    </row>
    <row r="121" spans="1:15" x14ac:dyDescent="0.3">
      <c r="A121">
        <f t="shared" si="1"/>
        <v>2023</v>
      </c>
      <c r="B121" s="9">
        <v>45019</v>
      </c>
      <c r="C121" s="9">
        <f>VLOOKUP(B121,Fact_Carrier_Weekly!C:D,2,0)</f>
        <v>45023</v>
      </c>
      <c r="D121" s="5">
        <f>SUMIF(Fact_Carrier_Weekly!$C:$C, $B121, Fact_Carrier_Weekly!$H:$H)</f>
        <v>2700</v>
      </c>
      <c r="E121" s="5">
        <f>SUMIF(Fact_Carrier_Weekly!$C:$C, $B121, Fact_Carrier_Weekly!$J:$J)</f>
        <v>82635</v>
      </c>
      <c r="F121" s="9"/>
      <c r="L121" s="9"/>
      <c r="O121" s="9"/>
    </row>
    <row r="122" spans="1:15" x14ac:dyDescent="0.3">
      <c r="A122">
        <f t="shared" si="1"/>
        <v>2023</v>
      </c>
      <c r="B122" s="9">
        <v>45026</v>
      </c>
      <c r="C122" s="9">
        <f>VLOOKUP(B122,Fact_Carrier_Weekly!C:D,2,0)</f>
        <v>45030</v>
      </c>
      <c r="D122" s="5">
        <f>SUMIF(Fact_Carrier_Weekly!$C:$C, $B122, Fact_Carrier_Weekly!$H:$H)</f>
        <v>2750</v>
      </c>
      <c r="E122" s="5">
        <f>SUMIF(Fact_Carrier_Weekly!$C:$C, $B122, Fact_Carrier_Weekly!$J:$J)</f>
        <v>83126</v>
      </c>
      <c r="F122" s="9"/>
      <c r="L122" s="9"/>
      <c r="O122" s="9"/>
    </row>
    <row r="123" spans="1:15" x14ac:dyDescent="0.3">
      <c r="A123">
        <f t="shared" si="1"/>
        <v>2023</v>
      </c>
      <c r="B123" s="9">
        <v>45033</v>
      </c>
      <c r="C123" s="9">
        <f>VLOOKUP(B123,Fact_Carrier_Weekly!C:D,2,0)</f>
        <v>45037</v>
      </c>
      <c r="D123" s="5">
        <f>SUMIF(Fact_Carrier_Weekly!$C:$C, $B123, Fact_Carrier_Weekly!$H:$H)</f>
        <v>2777</v>
      </c>
      <c r="E123" s="5">
        <f>SUMIF(Fact_Carrier_Weekly!$C:$C, $B123, Fact_Carrier_Weekly!$J:$J)</f>
        <v>84436</v>
      </c>
      <c r="F123" s="9"/>
      <c r="L123" s="9"/>
      <c r="O123" s="9"/>
    </row>
    <row r="124" spans="1:15" x14ac:dyDescent="0.3">
      <c r="A124">
        <f t="shared" si="1"/>
        <v>2023</v>
      </c>
      <c r="B124" s="9">
        <v>45040</v>
      </c>
      <c r="C124" s="9">
        <f>VLOOKUP(B124,Fact_Carrier_Weekly!C:D,2,0)</f>
        <v>45044</v>
      </c>
      <c r="D124" s="5">
        <f>SUMIF(Fact_Carrier_Weekly!$C:$C, $B124, Fact_Carrier_Weekly!$H:$H)</f>
        <v>2784</v>
      </c>
      <c r="E124" s="5">
        <f>SUMIF(Fact_Carrier_Weekly!$C:$C, $B124, Fact_Carrier_Weekly!$J:$J)</f>
        <v>86046</v>
      </c>
      <c r="F124" s="9"/>
      <c r="L124" s="9"/>
      <c r="O124" s="9"/>
    </row>
    <row r="125" spans="1:15" x14ac:dyDescent="0.3">
      <c r="A125">
        <f t="shared" si="1"/>
        <v>2023</v>
      </c>
      <c r="B125" s="9">
        <v>45047</v>
      </c>
      <c r="C125" s="9">
        <f>VLOOKUP(B125,Fact_Carrier_Weekly!C:D,2,0)</f>
        <v>45051</v>
      </c>
      <c r="D125" s="5">
        <f>SUMIF(Fact_Carrier_Weekly!$C:$C, $B125, Fact_Carrier_Weekly!$H:$H)</f>
        <v>2775</v>
      </c>
      <c r="E125" s="5">
        <f>SUMIF(Fact_Carrier_Weekly!$C:$C, $B125, Fact_Carrier_Weekly!$J:$J)</f>
        <v>90444</v>
      </c>
      <c r="F125" s="9"/>
      <c r="L125" s="9"/>
      <c r="O125" s="9"/>
    </row>
    <row r="126" spans="1:15" x14ac:dyDescent="0.3">
      <c r="A126">
        <f t="shared" si="1"/>
        <v>2023</v>
      </c>
      <c r="B126" s="9">
        <v>45054</v>
      </c>
      <c r="C126" s="9">
        <f>VLOOKUP(B126,Fact_Carrier_Weekly!C:D,2,0)</f>
        <v>45058</v>
      </c>
      <c r="D126" s="5">
        <f>SUMIF(Fact_Carrier_Weekly!$C:$C, $B126, Fact_Carrier_Weekly!$H:$H)</f>
        <v>2767</v>
      </c>
      <c r="E126" s="5">
        <f>SUMIF(Fact_Carrier_Weekly!$C:$C, $B126, Fact_Carrier_Weekly!$J:$J)</f>
        <v>87201</v>
      </c>
      <c r="F126" s="9"/>
      <c r="L126" s="9"/>
      <c r="O126" s="9"/>
    </row>
    <row r="127" spans="1:15" x14ac:dyDescent="0.3">
      <c r="A127">
        <f t="shared" si="1"/>
        <v>2023</v>
      </c>
      <c r="B127" s="9">
        <v>45061</v>
      </c>
      <c r="C127" s="9">
        <f>VLOOKUP(B127,Fact_Carrier_Weekly!C:D,2,0)</f>
        <v>45065</v>
      </c>
      <c r="D127" s="5">
        <f>SUMIF(Fact_Carrier_Weekly!$C:$C, $B127, Fact_Carrier_Weekly!$H:$H)</f>
        <v>2767</v>
      </c>
      <c r="E127" s="5">
        <f>SUMIF(Fact_Carrier_Weekly!$C:$C, $B127, Fact_Carrier_Weekly!$J:$J)</f>
        <v>89591</v>
      </c>
      <c r="F127" s="9"/>
      <c r="L127" s="9"/>
      <c r="O127" s="9"/>
    </row>
    <row r="128" spans="1:15" x14ac:dyDescent="0.3">
      <c r="A128">
        <f t="shared" si="1"/>
        <v>2023</v>
      </c>
      <c r="B128" s="9">
        <v>45068</v>
      </c>
      <c r="C128" s="9">
        <f>VLOOKUP(B128,Fact_Carrier_Weekly!C:D,2,0)</f>
        <v>45072</v>
      </c>
      <c r="D128" s="5">
        <f>SUMIF(Fact_Carrier_Weekly!$C:$C, $B128, Fact_Carrier_Weekly!$H:$H)</f>
        <v>2783</v>
      </c>
      <c r="E128" s="5">
        <f>SUMIF(Fact_Carrier_Weekly!$C:$C, $B128, Fact_Carrier_Weekly!$J:$J)</f>
        <v>88749</v>
      </c>
      <c r="F128" s="9"/>
      <c r="L128" s="9"/>
      <c r="O128" s="9"/>
    </row>
    <row r="129" spans="1:15" x14ac:dyDescent="0.3">
      <c r="A129">
        <f t="shared" si="1"/>
        <v>2023</v>
      </c>
      <c r="B129" s="9">
        <v>45075</v>
      </c>
      <c r="C129" s="9">
        <f>VLOOKUP(B129,Fact_Carrier_Weekly!C:D,2,0)</f>
        <v>45079</v>
      </c>
      <c r="D129" s="5">
        <f>SUMIF(Fact_Carrier_Weekly!$C:$C, $B129, Fact_Carrier_Weekly!$H:$H)</f>
        <v>2753</v>
      </c>
      <c r="E129" s="5">
        <f>SUMIF(Fact_Carrier_Weekly!$C:$C, $B129, Fact_Carrier_Weekly!$J:$J)</f>
        <v>87179</v>
      </c>
      <c r="F129" s="9"/>
      <c r="L129" s="9"/>
      <c r="O129" s="9"/>
    </row>
    <row r="130" spans="1:15" x14ac:dyDescent="0.3">
      <c r="A130">
        <f t="shared" si="1"/>
        <v>2023</v>
      </c>
      <c r="B130" s="9">
        <v>45082</v>
      </c>
      <c r="C130" s="9">
        <f>VLOOKUP(B130,Fact_Carrier_Weekly!C:D,2,0)</f>
        <v>45086</v>
      </c>
      <c r="D130" s="5">
        <f>SUMIF(Fact_Carrier_Weekly!$C:$C, $B130, Fact_Carrier_Weekly!$H:$H)</f>
        <v>2774</v>
      </c>
      <c r="E130" s="5">
        <f>SUMIF(Fact_Carrier_Weekly!$C:$C, $B130, Fact_Carrier_Weekly!$J:$J)</f>
        <v>86906</v>
      </c>
      <c r="F130" s="9"/>
      <c r="L130" s="9"/>
      <c r="O130" s="9"/>
    </row>
    <row r="131" spans="1:15" x14ac:dyDescent="0.3">
      <c r="A131">
        <f t="shared" ref="A131:A194" si="2">YEAR(B131)</f>
        <v>2023</v>
      </c>
      <c r="B131" s="9">
        <v>45089</v>
      </c>
      <c r="C131" s="9">
        <f>VLOOKUP(B131,Fact_Carrier_Weekly!C:D,2,0)</f>
        <v>45093</v>
      </c>
      <c r="D131" s="5">
        <f>SUMIF(Fact_Carrier_Weekly!$C:$C, $B131, Fact_Carrier_Weekly!$H:$H)</f>
        <v>2786</v>
      </c>
      <c r="E131" s="5">
        <f>SUMIF(Fact_Carrier_Weekly!$C:$C, $B131, Fact_Carrier_Weekly!$J:$J)</f>
        <v>89429</v>
      </c>
      <c r="F131" s="9"/>
      <c r="L131" s="9"/>
      <c r="O131" s="9"/>
    </row>
    <row r="132" spans="1:15" x14ac:dyDescent="0.3">
      <c r="A132">
        <f t="shared" si="2"/>
        <v>2023</v>
      </c>
      <c r="B132" s="9">
        <v>45096</v>
      </c>
      <c r="C132" s="9">
        <f>VLOOKUP(B132,Fact_Carrier_Weekly!C:D,2,0)</f>
        <v>45100</v>
      </c>
      <c r="D132" s="5">
        <f>SUMIF(Fact_Carrier_Weekly!$C:$C, $B132, Fact_Carrier_Weekly!$H:$H)</f>
        <v>2772</v>
      </c>
      <c r="E132" s="5">
        <f>SUMIF(Fact_Carrier_Weekly!$C:$C, $B132, Fact_Carrier_Weekly!$J:$J)</f>
        <v>89431</v>
      </c>
      <c r="F132" s="9"/>
      <c r="L132" s="9"/>
      <c r="O132" s="9"/>
    </row>
    <row r="133" spans="1:15" x14ac:dyDescent="0.3">
      <c r="A133">
        <f t="shared" si="2"/>
        <v>2023</v>
      </c>
      <c r="B133" s="9">
        <v>45103</v>
      </c>
      <c r="C133" s="9">
        <f>VLOOKUP(B133,Fact_Carrier_Weekly!C:D,2,0)</f>
        <v>45107</v>
      </c>
      <c r="D133" s="5">
        <f>SUMIF(Fact_Carrier_Weekly!$C:$C, $B133, Fact_Carrier_Weekly!$H:$H)</f>
        <v>2806</v>
      </c>
      <c r="E133" s="5">
        <f>SUMIF(Fact_Carrier_Weekly!$C:$C, $B133, Fact_Carrier_Weekly!$J:$J)</f>
        <v>88936</v>
      </c>
      <c r="F133" s="9"/>
      <c r="L133" s="9"/>
      <c r="O133" s="9"/>
    </row>
    <row r="134" spans="1:15" x14ac:dyDescent="0.3">
      <c r="A134">
        <f t="shared" si="2"/>
        <v>2023</v>
      </c>
      <c r="B134" s="9">
        <v>45110</v>
      </c>
      <c r="C134" s="9">
        <f>VLOOKUP(B134,Fact_Carrier_Weekly!C:D,2,0)</f>
        <v>45114</v>
      </c>
      <c r="D134" s="5">
        <f>SUMIF(Fact_Carrier_Weekly!$C:$C, $B134, Fact_Carrier_Weekly!$H:$H)</f>
        <v>2769</v>
      </c>
      <c r="E134" s="5">
        <f>SUMIF(Fact_Carrier_Weekly!$C:$C, $B134, Fact_Carrier_Weekly!$J:$J)</f>
        <v>79458</v>
      </c>
      <c r="F134" s="9"/>
      <c r="L134" s="9"/>
      <c r="O134" s="9"/>
    </row>
    <row r="135" spans="1:15" x14ac:dyDescent="0.3">
      <c r="A135">
        <f t="shared" si="2"/>
        <v>2023</v>
      </c>
      <c r="B135" s="9">
        <v>45117</v>
      </c>
      <c r="C135" s="9">
        <f>VLOOKUP(B135,Fact_Carrier_Weekly!C:D,2,0)</f>
        <v>45121</v>
      </c>
      <c r="D135" s="5">
        <f>SUMIF(Fact_Carrier_Weekly!$C:$C, $B135, Fact_Carrier_Weekly!$H:$H)</f>
        <v>2820</v>
      </c>
      <c r="E135" s="5">
        <f>SUMIF(Fact_Carrier_Weekly!$C:$C, $B135, Fact_Carrier_Weekly!$J:$J)</f>
        <v>88866</v>
      </c>
      <c r="F135" s="9"/>
      <c r="L135" s="9"/>
      <c r="O135" s="9"/>
    </row>
    <row r="136" spans="1:15" x14ac:dyDescent="0.3">
      <c r="A136">
        <f t="shared" si="2"/>
        <v>2023</v>
      </c>
      <c r="B136" s="9">
        <v>45124</v>
      </c>
      <c r="C136" s="9">
        <f>VLOOKUP(B136,Fact_Carrier_Weekly!C:D,2,0)</f>
        <v>45128</v>
      </c>
      <c r="D136" s="5">
        <f>SUMIF(Fact_Carrier_Weekly!$C:$C, $B136, Fact_Carrier_Weekly!$H:$H)</f>
        <v>2829</v>
      </c>
      <c r="E136" s="5">
        <f>SUMIF(Fact_Carrier_Weekly!$C:$C, $B136, Fact_Carrier_Weekly!$J:$J)</f>
        <v>89731</v>
      </c>
      <c r="F136" s="9"/>
      <c r="L136" s="9"/>
      <c r="O136" s="9"/>
    </row>
    <row r="137" spans="1:15" x14ac:dyDescent="0.3">
      <c r="A137">
        <f t="shared" si="2"/>
        <v>2023</v>
      </c>
      <c r="B137" s="9">
        <v>45131</v>
      </c>
      <c r="C137" s="9">
        <f>VLOOKUP(B137,Fact_Carrier_Weekly!C:D,2,0)</f>
        <v>45135</v>
      </c>
      <c r="D137" s="5">
        <f>SUMIF(Fact_Carrier_Weekly!$C:$C, $B137, Fact_Carrier_Weekly!$H:$H)</f>
        <v>2722</v>
      </c>
      <c r="E137" s="5">
        <f>SUMIF(Fact_Carrier_Weekly!$C:$C, $B137, Fact_Carrier_Weekly!$J:$J)</f>
        <v>88605</v>
      </c>
      <c r="F137" s="9"/>
      <c r="L137" s="9"/>
      <c r="O137" s="9"/>
    </row>
    <row r="138" spans="1:15" x14ac:dyDescent="0.3">
      <c r="A138">
        <f t="shared" si="2"/>
        <v>2023</v>
      </c>
      <c r="B138" s="9">
        <v>45138</v>
      </c>
      <c r="C138" s="9">
        <f>VLOOKUP(B138,Fact_Carrier_Weekly!C:D,2,0)</f>
        <v>45142</v>
      </c>
      <c r="D138" s="5">
        <f>SUMIF(Fact_Carrier_Weekly!$C:$C, $B138, Fact_Carrier_Weekly!$H:$H)</f>
        <v>2838</v>
      </c>
      <c r="E138" s="5">
        <f>SUMIF(Fact_Carrier_Weekly!$C:$C, $B138, Fact_Carrier_Weekly!$J:$J)</f>
        <v>90059</v>
      </c>
      <c r="F138" s="9"/>
      <c r="L138" s="9"/>
      <c r="O138" s="9"/>
    </row>
    <row r="139" spans="1:15" x14ac:dyDescent="0.3">
      <c r="A139">
        <f t="shared" si="2"/>
        <v>2023</v>
      </c>
      <c r="B139" s="9">
        <v>45145</v>
      </c>
      <c r="C139" s="9">
        <f>VLOOKUP(B139,Fact_Carrier_Weekly!C:D,2,0)</f>
        <v>45149</v>
      </c>
      <c r="D139" s="5">
        <f>SUMIF(Fact_Carrier_Weekly!$C:$C, $B139, Fact_Carrier_Weekly!$H:$H)</f>
        <v>2839</v>
      </c>
      <c r="E139" s="5">
        <f>SUMIF(Fact_Carrier_Weekly!$C:$C, $B139, Fact_Carrier_Weekly!$J:$J)</f>
        <v>90071</v>
      </c>
      <c r="F139" s="9"/>
      <c r="L139" s="9"/>
      <c r="O139" s="9"/>
    </row>
    <row r="140" spans="1:15" x14ac:dyDescent="0.3">
      <c r="A140">
        <f t="shared" si="2"/>
        <v>2023</v>
      </c>
      <c r="B140" s="9">
        <v>45152</v>
      </c>
      <c r="C140" s="9">
        <f>VLOOKUP(B140,Fact_Carrier_Weekly!C:D,2,0)</f>
        <v>45156</v>
      </c>
      <c r="D140" s="5">
        <f>SUMIF(Fact_Carrier_Weekly!$C:$C, $B140, Fact_Carrier_Weekly!$H:$H)</f>
        <v>2822</v>
      </c>
      <c r="E140" s="5">
        <f>SUMIF(Fact_Carrier_Weekly!$C:$C, $B140, Fact_Carrier_Weekly!$J:$J)</f>
        <v>89043</v>
      </c>
      <c r="F140" s="9"/>
      <c r="L140" s="9"/>
      <c r="O140" s="9"/>
    </row>
    <row r="141" spans="1:15" x14ac:dyDescent="0.3">
      <c r="A141">
        <f t="shared" si="2"/>
        <v>2023</v>
      </c>
      <c r="B141" s="9">
        <v>45159</v>
      </c>
      <c r="C141" s="9">
        <f>VLOOKUP(B141,Fact_Carrier_Weekly!C:D,2,0)</f>
        <v>45163</v>
      </c>
      <c r="D141" s="5">
        <f>SUMIF(Fact_Carrier_Weekly!$C:$C, $B141, Fact_Carrier_Weekly!$H:$H)</f>
        <v>2851</v>
      </c>
      <c r="E141" s="5">
        <f>SUMIF(Fact_Carrier_Weekly!$C:$C, $B141, Fact_Carrier_Weekly!$J:$J)</f>
        <v>86621</v>
      </c>
      <c r="F141" s="9"/>
      <c r="L141" s="9"/>
      <c r="O141" s="9"/>
    </row>
    <row r="142" spans="1:15" x14ac:dyDescent="0.3">
      <c r="A142">
        <f t="shared" si="2"/>
        <v>2023</v>
      </c>
      <c r="B142" s="9">
        <v>45166</v>
      </c>
      <c r="C142" s="9">
        <f>VLOOKUP(B142,Fact_Carrier_Weekly!C:D,2,0)</f>
        <v>45170</v>
      </c>
      <c r="D142" s="5">
        <f>SUMIF(Fact_Carrier_Weekly!$C:$C, $B142, Fact_Carrier_Weekly!$H:$H)</f>
        <v>2827</v>
      </c>
      <c r="E142" s="5">
        <f>SUMIF(Fact_Carrier_Weekly!$C:$C, $B142, Fact_Carrier_Weekly!$J:$J)</f>
        <v>83505</v>
      </c>
      <c r="F142" s="9"/>
      <c r="L142" s="9"/>
      <c r="O142" s="9"/>
    </row>
    <row r="143" spans="1:15" x14ac:dyDescent="0.3">
      <c r="A143">
        <f t="shared" si="2"/>
        <v>2023</v>
      </c>
      <c r="B143" s="9">
        <v>45173</v>
      </c>
      <c r="C143" s="9">
        <f>VLOOKUP(B143,Fact_Carrier_Weekly!C:D,2,0)</f>
        <v>45268</v>
      </c>
      <c r="D143" s="5">
        <f>SUMIF(Fact_Carrier_Weekly!$C:$C, $B143, Fact_Carrier_Weekly!$H:$H)</f>
        <v>2834</v>
      </c>
      <c r="E143" s="5">
        <f>SUMIF(Fact_Carrier_Weekly!$C:$C, $B143, Fact_Carrier_Weekly!$J:$J)</f>
        <v>89818</v>
      </c>
      <c r="F143" s="9"/>
      <c r="L143" s="9"/>
      <c r="O143" s="9"/>
    </row>
    <row r="144" spans="1:15" x14ac:dyDescent="0.3">
      <c r="A144">
        <f t="shared" si="2"/>
        <v>2023</v>
      </c>
      <c r="B144" s="9">
        <v>45180</v>
      </c>
      <c r="C144" s="9">
        <f>VLOOKUP(B144,Fact_Carrier_Weekly!C:D,2,0)</f>
        <v>45265</v>
      </c>
      <c r="D144" s="5">
        <f>SUMIF(Fact_Carrier_Weekly!$C:$C, $B144, Fact_Carrier_Weekly!$H:$H)</f>
        <v>2894</v>
      </c>
      <c r="E144" s="5">
        <f>SUMIF(Fact_Carrier_Weekly!$C:$C, $B144, Fact_Carrier_Weekly!$J:$J)</f>
        <v>92744</v>
      </c>
      <c r="F144" s="9"/>
      <c r="L144" s="9"/>
      <c r="O144" s="9"/>
    </row>
    <row r="145" spans="1:15" x14ac:dyDescent="0.3">
      <c r="A145">
        <f t="shared" si="2"/>
        <v>2023</v>
      </c>
      <c r="B145" s="9">
        <v>45187</v>
      </c>
      <c r="C145" s="9">
        <f>VLOOKUP(B145,Fact_Carrier_Weekly!C:D,2,0)</f>
        <v>45262</v>
      </c>
      <c r="D145" s="5">
        <f>SUMIF(Fact_Carrier_Weekly!$C:$C, $B145, Fact_Carrier_Weekly!$H:$H)</f>
        <v>2909</v>
      </c>
      <c r="E145" s="5">
        <f>SUMIF(Fact_Carrier_Weekly!$C:$C, $B145, Fact_Carrier_Weekly!$J:$J)</f>
        <v>95514</v>
      </c>
      <c r="F145" s="9"/>
      <c r="L145" s="9"/>
      <c r="O145" s="9"/>
    </row>
    <row r="146" spans="1:15" x14ac:dyDescent="0.3">
      <c r="A146">
        <f t="shared" si="2"/>
        <v>2023</v>
      </c>
      <c r="B146" s="9">
        <v>45194</v>
      </c>
      <c r="C146" s="9">
        <f>VLOOKUP(B146,Fact_Carrier_Weekly!C:D,2,0)</f>
        <v>45269</v>
      </c>
      <c r="D146" s="5">
        <f>SUMIF(Fact_Carrier_Weekly!$C:$C, $B146, Fact_Carrier_Weekly!$H:$H)</f>
        <v>2885</v>
      </c>
      <c r="E146" s="5">
        <f>SUMIF(Fact_Carrier_Weekly!$C:$C, $B146, Fact_Carrier_Weekly!$J:$J)</f>
        <v>93858</v>
      </c>
      <c r="F146" s="9"/>
      <c r="L146" s="9"/>
      <c r="O146" s="9"/>
    </row>
    <row r="147" spans="1:15" x14ac:dyDescent="0.3">
      <c r="A147">
        <f t="shared" si="2"/>
        <v>2023</v>
      </c>
      <c r="B147" s="9">
        <v>45201</v>
      </c>
      <c r="C147" s="9">
        <f>VLOOKUP(B147,Fact_Carrier_Weekly!C:D,2,0)</f>
        <v>45266</v>
      </c>
      <c r="D147" s="5">
        <f>SUMIF(Fact_Carrier_Weekly!$C:$C, $B147, Fact_Carrier_Weekly!$H:$H)</f>
        <v>2908</v>
      </c>
      <c r="E147" s="5">
        <f>SUMIF(Fact_Carrier_Weekly!$C:$C, $B147, Fact_Carrier_Weekly!$J:$J)</f>
        <v>92766</v>
      </c>
      <c r="F147" s="9"/>
      <c r="L147" s="9"/>
      <c r="O147" s="9"/>
    </row>
    <row r="148" spans="1:15" x14ac:dyDescent="0.3">
      <c r="A148">
        <f t="shared" si="2"/>
        <v>2023</v>
      </c>
      <c r="B148" s="9">
        <v>45208</v>
      </c>
      <c r="C148" s="9">
        <f>VLOOKUP(B148,Fact_Carrier_Weekly!C:D,2,0)</f>
        <v>45263</v>
      </c>
      <c r="D148" s="5">
        <f>SUMIF(Fact_Carrier_Weekly!$C:$C, $B148, Fact_Carrier_Weekly!$H:$H)</f>
        <v>2913</v>
      </c>
      <c r="E148" s="5">
        <f>SUMIF(Fact_Carrier_Weekly!$C:$C, $B148, Fact_Carrier_Weekly!$J:$J)</f>
        <v>94602</v>
      </c>
      <c r="F148" s="9"/>
      <c r="L148" s="9"/>
      <c r="O148" s="9"/>
    </row>
    <row r="149" spans="1:15" x14ac:dyDescent="0.3">
      <c r="A149">
        <f t="shared" si="2"/>
        <v>2023</v>
      </c>
      <c r="B149" s="9">
        <v>45215</v>
      </c>
      <c r="C149" s="9">
        <f>VLOOKUP(B149,Fact_Carrier_Weekly!C:D,2,0)</f>
        <v>45260</v>
      </c>
      <c r="D149" s="5">
        <f>SUMIF(Fact_Carrier_Weekly!$C:$C, $B149, Fact_Carrier_Weekly!$H:$H)</f>
        <v>2904</v>
      </c>
      <c r="E149" s="5">
        <f>SUMIF(Fact_Carrier_Weekly!$C:$C, $B149, Fact_Carrier_Weekly!$J:$J)</f>
        <v>94683</v>
      </c>
      <c r="F149" s="9"/>
      <c r="L149" s="9"/>
      <c r="O149" s="9"/>
    </row>
    <row r="150" spans="1:15" x14ac:dyDescent="0.3">
      <c r="A150">
        <f t="shared" si="2"/>
        <v>2023</v>
      </c>
      <c r="B150" s="9">
        <v>45222</v>
      </c>
      <c r="C150" s="9">
        <f>VLOOKUP(B150,Fact_Carrier_Weekly!C:D,2,0)</f>
        <v>45267</v>
      </c>
      <c r="D150" s="5">
        <f>SUMIF(Fact_Carrier_Weekly!$C:$C, $B150, Fact_Carrier_Weekly!$H:$H)</f>
        <v>2903</v>
      </c>
      <c r="E150" s="5">
        <f>SUMIF(Fact_Carrier_Weekly!$C:$C, $B150, Fact_Carrier_Weekly!$J:$J)</f>
        <v>96023</v>
      </c>
      <c r="F150" s="9"/>
      <c r="L150" s="9"/>
      <c r="O150" s="9"/>
    </row>
    <row r="151" spans="1:15" x14ac:dyDescent="0.3">
      <c r="A151">
        <f t="shared" si="2"/>
        <v>2023</v>
      </c>
      <c r="B151" s="9">
        <v>45229</v>
      </c>
      <c r="C151" s="9">
        <f>VLOOKUP(B151,Fact_Carrier_Weekly!C:D,2,0)</f>
        <v>45233</v>
      </c>
      <c r="D151" s="5">
        <f>SUMIF(Fact_Carrier_Weekly!$C:$C, $B151, Fact_Carrier_Weekly!$H:$H)</f>
        <v>2811</v>
      </c>
      <c r="E151" s="5">
        <f>SUMIF(Fact_Carrier_Weekly!$C:$C, $B151, Fact_Carrier_Weekly!$J:$J)</f>
        <v>94473</v>
      </c>
      <c r="F151" s="9"/>
      <c r="L151" s="9"/>
      <c r="O151" s="9"/>
    </row>
    <row r="152" spans="1:15" x14ac:dyDescent="0.3">
      <c r="A152">
        <f t="shared" si="2"/>
        <v>2023</v>
      </c>
      <c r="B152" s="9">
        <v>45236</v>
      </c>
      <c r="C152" s="9">
        <f>VLOOKUP(B152,Fact_Carrier_Weekly!C:D,2,0)</f>
        <v>45261</v>
      </c>
      <c r="D152" s="5">
        <f>SUMIF(Fact_Carrier_Weekly!$C:$C, $B152, Fact_Carrier_Weekly!$H:$H)</f>
        <v>2863</v>
      </c>
      <c r="E152" s="5">
        <f>SUMIF(Fact_Carrier_Weekly!$C:$C, $B152, Fact_Carrier_Weekly!$J:$J)</f>
        <v>94948</v>
      </c>
      <c r="F152" s="9"/>
      <c r="L152" s="9"/>
      <c r="O152" s="9"/>
    </row>
    <row r="153" spans="1:15" x14ac:dyDescent="0.3">
      <c r="A153">
        <f t="shared" si="2"/>
        <v>2023</v>
      </c>
      <c r="B153" s="9">
        <v>45243</v>
      </c>
      <c r="C153" s="9">
        <f>VLOOKUP(B153,Fact_Carrier_Weekly!C:D,2,0)</f>
        <v>45268</v>
      </c>
      <c r="D153" s="5">
        <f>SUMIF(Fact_Carrier_Weekly!$C:$C, $B153, Fact_Carrier_Weekly!$H:$H)</f>
        <v>2864</v>
      </c>
      <c r="E153" s="5">
        <f>SUMIF(Fact_Carrier_Weekly!$C:$C, $B153, Fact_Carrier_Weekly!$J:$J)</f>
        <v>92774</v>
      </c>
      <c r="F153" s="9"/>
      <c r="L153" s="9"/>
      <c r="O153" s="9"/>
    </row>
    <row r="154" spans="1:15" x14ac:dyDescent="0.3">
      <c r="A154">
        <f t="shared" si="2"/>
        <v>2023</v>
      </c>
      <c r="B154" s="9">
        <v>45250</v>
      </c>
      <c r="C154" s="9">
        <f>VLOOKUP(B154,Fact_Carrier_Weekly!C:D,2,0)</f>
        <v>45265</v>
      </c>
      <c r="D154" s="5">
        <f>SUMIF(Fact_Carrier_Weekly!$C:$C, $B154, Fact_Carrier_Weekly!$H:$H)</f>
        <v>2812</v>
      </c>
      <c r="E154" s="5">
        <f>SUMIF(Fact_Carrier_Weekly!$C:$C, $B154, Fact_Carrier_Weekly!$J:$J)</f>
        <v>77455</v>
      </c>
      <c r="F154" s="9"/>
      <c r="L154" s="9"/>
      <c r="O154" s="9"/>
    </row>
    <row r="155" spans="1:15" x14ac:dyDescent="0.3">
      <c r="A155">
        <f t="shared" si="2"/>
        <v>2023</v>
      </c>
      <c r="B155" s="9">
        <v>45257</v>
      </c>
      <c r="C155" s="9">
        <f>VLOOKUP(B155,Fact_Carrier_Weekly!C:D,2,0)</f>
        <v>45261</v>
      </c>
      <c r="D155" s="5">
        <f>SUMIF(Fact_Carrier_Weekly!$C:$C, $B155, Fact_Carrier_Weekly!$H:$H)</f>
        <v>2909</v>
      </c>
      <c r="E155" s="5">
        <f>SUMIF(Fact_Carrier_Weekly!$C:$C, $B155, Fact_Carrier_Weekly!$J:$J)</f>
        <v>93449</v>
      </c>
      <c r="F155" s="9"/>
      <c r="L155" s="9"/>
      <c r="O155" s="9"/>
    </row>
    <row r="156" spans="1:15" x14ac:dyDescent="0.3">
      <c r="A156">
        <f t="shared" si="2"/>
        <v>2023</v>
      </c>
      <c r="B156" s="9">
        <v>45264</v>
      </c>
      <c r="C156" s="9">
        <f>VLOOKUP(B156,Fact_Carrier_Weekly!C:D,2,0)</f>
        <v>45269</v>
      </c>
      <c r="D156" s="5">
        <f>SUMIF(Fact_Carrier_Weekly!$C:$C, $B156, Fact_Carrier_Weekly!$H:$H)</f>
        <v>2906</v>
      </c>
      <c r="E156" s="5">
        <f>SUMIF(Fact_Carrier_Weekly!$C:$C, $B156, Fact_Carrier_Weekly!$J:$J)</f>
        <v>97608</v>
      </c>
      <c r="F156" s="9"/>
      <c r="L156" s="9"/>
      <c r="O156" s="9"/>
    </row>
    <row r="157" spans="1:15" x14ac:dyDescent="0.3">
      <c r="A157">
        <f t="shared" si="2"/>
        <v>2023</v>
      </c>
      <c r="B157" s="9">
        <v>45271</v>
      </c>
      <c r="C157" s="9">
        <f>VLOOKUP(B157,Fact_Carrier_Weekly!C:D,2,0)</f>
        <v>45266</v>
      </c>
      <c r="D157" s="5">
        <f>SUMIF(Fact_Carrier_Weekly!$C:$C, $B157, Fact_Carrier_Weekly!$H:$H)</f>
        <v>2901</v>
      </c>
      <c r="E157" s="5">
        <f>SUMIF(Fact_Carrier_Weekly!$C:$C, $B157, Fact_Carrier_Weekly!$J:$J)</f>
        <v>94491</v>
      </c>
      <c r="F157" s="9"/>
      <c r="L157" s="9"/>
      <c r="O157" s="9"/>
    </row>
    <row r="158" spans="1:15" x14ac:dyDescent="0.3">
      <c r="A158">
        <f t="shared" si="2"/>
        <v>2023</v>
      </c>
      <c r="B158" s="9">
        <v>45278</v>
      </c>
      <c r="C158" s="9">
        <f>VLOOKUP(B158,Fact_Carrier_Weekly!C:D,2,0)</f>
        <v>45263</v>
      </c>
      <c r="D158" s="5">
        <f>SUMIF(Fact_Carrier_Weekly!$C:$C, $B158, Fact_Carrier_Weekly!$H:$H)</f>
        <v>2870</v>
      </c>
      <c r="E158" s="5">
        <f>SUMIF(Fact_Carrier_Weekly!$C:$C, $B158, Fact_Carrier_Weekly!$J:$J)</f>
        <v>86873</v>
      </c>
      <c r="F158" s="9"/>
      <c r="L158" s="9"/>
      <c r="O158" s="9"/>
    </row>
    <row r="159" spans="1:15" x14ac:dyDescent="0.3">
      <c r="A159">
        <f t="shared" si="2"/>
        <v>2023</v>
      </c>
      <c r="B159" s="9">
        <v>45285</v>
      </c>
      <c r="C159" s="9">
        <f>VLOOKUP(B159,Fact_Carrier_Weekly!C:D,2,0)</f>
        <v>45289</v>
      </c>
      <c r="D159" s="5">
        <f>SUMIF(Fact_Carrier_Weekly!$C:$C, $B159, Fact_Carrier_Weekly!$H:$H)</f>
        <v>2775</v>
      </c>
      <c r="E159" s="5">
        <f>SUMIF(Fact_Carrier_Weekly!$C:$C, $B159, Fact_Carrier_Weekly!$J:$J)</f>
        <v>73177</v>
      </c>
      <c r="F159" s="9"/>
      <c r="L159" s="9"/>
      <c r="O159" s="9"/>
    </row>
    <row r="160" spans="1:15" x14ac:dyDescent="0.3">
      <c r="A160">
        <f t="shared" si="2"/>
        <v>2024</v>
      </c>
      <c r="B160" s="9">
        <v>45292</v>
      </c>
      <c r="C160" s="9">
        <f>VLOOKUP(B160,Fact_Carrier_Weekly!C:D,2,0)</f>
        <v>45296</v>
      </c>
      <c r="D160" s="5">
        <f>SUMIF(Fact_Carrier_Weekly!$C:$C, $B160, Fact_Carrier_Weekly!$H:$H)</f>
        <v>2856</v>
      </c>
      <c r="E160" s="5">
        <f>SUMIF(Fact_Carrier_Weekly!$C:$C, $B160, Fact_Carrier_Weekly!$J:$J)</f>
        <v>89705</v>
      </c>
      <c r="F160" s="9"/>
      <c r="L160" s="9"/>
      <c r="O160" s="9"/>
    </row>
    <row r="161" spans="1:15" x14ac:dyDescent="0.3">
      <c r="A161">
        <f t="shared" si="2"/>
        <v>2024</v>
      </c>
      <c r="B161" s="9">
        <v>45299</v>
      </c>
      <c r="C161" s="9">
        <f>VLOOKUP(B161,Fact_Carrier_Weekly!C:D,2,0)</f>
        <v>45303</v>
      </c>
      <c r="D161" s="5">
        <f>SUMIF(Fact_Carrier_Weekly!$C:$C, $B161, Fact_Carrier_Weekly!$H:$H)</f>
        <v>2902</v>
      </c>
      <c r="E161" s="5">
        <f>SUMIF(Fact_Carrier_Weekly!$C:$C, $B161, Fact_Carrier_Weekly!$J:$J)</f>
        <v>84847</v>
      </c>
      <c r="F161" s="9"/>
      <c r="L161" s="9"/>
      <c r="O161" s="9"/>
    </row>
    <row r="162" spans="1:15" x14ac:dyDescent="0.3">
      <c r="A162">
        <f t="shared" si="2"/>
        <v>2024</v>
      </c>
      <c r="B162" s="9">
        <v>45306</v>
      </c>
      <c r="C162" s="9">
        <f>VLOOKUP(B162,Fact_Carrier_Weekly!C:D,2,0)</f>
        <v>45310</v>
      </c>
      <c r="D162" s="5">
        <f>SUMIF(Fact_Carrier_Weekly!$C:$C, $B162, Fact_Carrier_Weekly!$H:$H)</f>
        <v>2889</v>
      </c>
      <c r="E162" s="5">
        <f>SUMIF(Fact_Carrier_Weekly!$C:$C, $B162, Fact_Carrier_Weekly!$J:$J)</f>
        <v>87290</v>
      </c>
      <c r="F162" s="9"/>
      <c r="L162" s="9"/>
      <c r="O162" s="9"/>
    </row>
    <row r="163" spans="1:15" x14ac:dyDescent="0.3">
      <c r="A163">
        <f t="shared" si="2"/>
        <v>2024</v>
      </c>
      <c r="B163" s="9">
        <v>45313</v>
      </c>
      <c r="C163" s="9">
        <f>VLOOKUP(B163,Fact_Carrier_Weekly!C:D,2,0)</f>
        <v>45317</v>
      </c>
      <c r="D163" s="5">
        <f>SUMIF(Fact_Carrier_Weekly!$C:$C, $B163, Fact_Carrier_Weekly!$H:$H)</f>
        <v>2921</v>
      </c>
      <c r="E163" s="5">
        <f>SUMIF(Fact_Carrier_Weekly!$C:$C, $B163, Fact_Carrier_Weekly!$J:$J)</f>
        <v>89698</v>
      </c>
      <c r="F163" s="9"/>
      <c r="L163" s="9"/>
      <c r="O163" s="9"/>
    </row>
    <row r="164" spans="1:15" x14ac:dyDescent="0.3">
      <c r="A164">
        <f t="shared" si="2"/>
        <v>2024</v>
      </c>
      <c r="B164" s="9">
        <v>45320</v>
      </c>
      <c r="C164" s="9">
        <f>VLOOKUP(B164,Fact_Carrier_Weekly!C:D,2,0)</f>
        <v>45324</v>
      </c>
      <c r="D164" s="5">
        <f>SUMIF(Fact_Carrier_Weekly!$C:$C, $B164, Fact_Carrier_Weekly!$H:$H)</f>
        <v>2936</v>
      </c>
      <c r="E164" s="5">
        <f>SUMIF(Fact_Carrier_Weekly!$C:$C, $B164, Fact_Carrier_Weekly!$J:$J)</f>
        <v>92472</v>
      </c>
      <c r="F164" s="9"/>
      <c r="L164" s="9"/>
      <c r="O164" s="9"/>
    </row>
    <row r="165" spans="1:15" x14ac:dyDescent="0.3">
      <c r="A165">
        <f t="shared" si="2"/>
        <v>2024</v>
      </c>
      <c r="B165" s="9">
        <v>45327</v>
      </c>
      <c r="C165" s="9">
        <f>VLOOKUP(B165,Fact_Carrier_Weekly!C:D,2,0)</f>
        <v>45633</v>
      </c>
      <c r="D165" s="5">
        <f>SUMIF(Fact_Carrier_Weekly!$C:$C, $B165, Fact_Carrier_Weekly!$H:$H)</f>
        <v>2916</v>
      </c>
      <c r="E165" s="5">
        <f>SUMIF(Fact_Carrier_Weekly!$C:$C, $B165, Fact_Carrier_Weekly!$J:$J)</f>
        <v>93204</v>
      </c>
      <c r="F165" s="9"/>
      <c r="L165" s="9"/>
      <c r="O165" s="9"/>
    </row>
    <row r="166" spans="1:15" x14ac:dyDescent="0.3">
      <c r="A166">
        <f t="shared" si="2"/>
        <v>2024</v>
      </c>
      <c r="B166" s="9">
        <v>45334</v>
      </c>
      <c r="C166" s="9">
        <f>VLOOKUP(B166,Fact_Carrier_Weekly!C:D,2,0)</f>
        <v>45630</v>
      </c>
      <c r="D166" s="5">
        <f>SUMIF(Fact_Carrier_Weekly!$C:$C, $B166, Fact_Carrier_Weekly!$H:$H)</f>
        <v>2878</v>
      </c>
      <c r="E166" s="5">
        <f>SUMIF(Fact_Carrier_Weekly!$C:$C, $B166, Fact_Carrier_Weekly!$J:$J)</f>
        <v>91768</v>
      </c>
      <c r="F166" s="9"/>
      <c r="L166" s="9"/>
      <c r="O166" s="9"/>
    </row>
    <row r="167" spans="1:15" x14ac:dyDescent="0.3">
      <c r="A167">
        <f t="shared" si="2"/>
        <v>2024</v>
      </c>
      <c r="B167" s="9">
        <v>45341</v>
      </c>
      <c r="C167" s="9">
        <f>VLOOKUP(B167,Fact_Carrier_Weekly!C:D,2,0)</f>
        <v>45627</v>
      </c>
      <c r="D167" s="5">
        <f>SUMIF(Fact_Carrier_Weekly!$C:$C, $B167, Fact_Carrier_Weekly!$H:$H)</f>
        <v>2897</v>
      </c>
      <c r="E167" s="5">
        <f>SUMIF(Fact_Carrier_Weekly!$C:$C, $B167, Fact_Carrier_Weekly!$J:$J)</f>
        <v>91546</v>
      </c>
      <c r="F167" s="9"/>
      <c r="L167" s="9"/>
      <c r="O167" s="9"/>
    </row>
    <row r="168" spans="1:15" x14ac:dyDescent="0.3">
      <c r="A168">
        <f t="shared" si="2"/>
        <v>2024</v>
      </c>
      <c r="B168" s="9">
        <v>45348</v>
      </c>
      <c r="C168" s="9">
        <f>VLOOKUP(B168,Fact_Carrier_Weekly!C:D,2,0)</f>
        <v>45352</v>
      </c>
      <c r="D168" s="5">
        <f>SUMIF(Fact_Carrier_Weekly!$C:$C, $B168, Fact_Carrier_Weekly!$H:$H)</f>
        <v>2912</v>
      </c>
      <c r="E168" s="5">
        <f>SUMIF(Fact_Carrier_Weekly!$C:$C, $B168, Fact_Carrier_Weekly!$J:$J)</f>
        <v>90847</v>
      </c>
      <c r="F168" s="9"/>
      <c r="L168" s="9"/>
      <c r="O168" s="9"/>
    </row>
    <row r="169" spans="1:15" x14ac:dyDescent="0.3">
      <c r="A169">
        <f t="shared" si="2"/>
        <v>2024</v>
      </c>
      <c r="B169" s="9">
        <v>45355</v>
      </c>
      <c r="C169" s="9">
        <f>VLOOKUP(B169,Fact_Carrier_Weekly!C:D,2,0)</f>
        <v>45630</v>
      </c>
      <c r="D169" s="5">
        <f>SUMIF(Fact_Carrier_Weekly!$C:$C, $B169, Fact_Carrier_Weekly!$H:$H)</f>
        <v>2896</v>
      </c>
      <c r="E169" s="5">
        <f>SUMIF(Fact_Carrier_Weekly!$C:$C, $B169, Fact_Carrier_Weekly!$J:$J)</f>
        <v>90838</v>
      </c>
      <c r="F169" s="9"/>
      <c r="L169" s="9"/>
      <c r="O169" s="9"/>
    </row>
    <row r="170" spans="1:15" x14ac:dyDescent="0.3">
      <c r="A170">
        <f t="shared" si="2"/>
        <v>2024</v>
      </c>
      <c r="B170" s="9">
        <v>45362</v>
      </c>
      <c r="C170" s="9">
        <f>VLOOKUP(B170,Fact_Carrier_Weekly!C:D,2,0)</f>
        <v>45627</v>
      </c>
      <c r="D170" s="5">
        <f>SUMIF(Fact_Carrier_Weekly!$C:$C, $B170, Fact_Carrier_Weekly!$H:$H)</f>
        <v>2950</v>
      </c>
      <c r="E170" s="5">
        <f>SUMIF(Fact_Carrier_Weekly!$C:$C, $B170, Fact_Carrier_Weekly!$J:$J)</f>
        <v>94668</v>
      </c>
      <c r="F170" s="9"/>
      <c r="L170" s="9"/>
      <c r="O170" s="9"/>
    </row>
    <row r="171" spans="1:15" x14ac:dyDescent="0.3">
      <c r="A171">
        <f t="shared" si="2"/>
        <v>2024</v>
      </c>
      <c r="B171" s="9">
        <v>45369</v>
      </c>
      <c r="C171" s="9">
        <f>VLOOKUP(B171,Fact_Carrier_Weekly!C:D,2,0)</f>
        <v>45634</v>
      </c>
      <c r="D171" s="5">
        <f>SUMIF(Fact_Carrier_Weekly!$C:$C, $B171, Fact_Carrier_Weekly!$H:$H)</f>
        <v>2927</v>
      </c>
      <c r="E171" s="5">
        <f>SUMIF(Fact_Carrier_Weekly!$C:$C, $B171, Fact_Carrier_Weekly!$J:$J)</f>
        <v>93254</v>
      </c>
      <c r="F171" s="9"/>
      <c r="L171" s="9"/>
      <c r="O171" s="9"/>
    </row>
    <row r="172" spans="1:15" x14ac:dyDescent="0.3">
      <c r="A172">
        <f t="shared" si="2"/>
        <v>2024</v>
      </c>
      <c r="B172" s="9">
        <v>45376</v>
      </c>
      <c r="C172" s="9">
        <f>VLOOKUP(B172,Fact_Carrier_Weekly!C:D,2,0)</f>
        <v>45631</v>
      </c>
      <c r="D172" s="5">
        <f>SUMIF(Fact_Carrier_Weekly!$C:$C, $B172, Fact_Carrier_Weekly!$H:$H)</f>
        <v>2924</v>
      </c>
      <c r="E172" s="5">
        <f>SUMIF(Fact_Carrier_Weekly!$C:$C, $B172, Fact_Carrier_Weekly!$J:$J)</f>
        <v>95144</v>
      </c>
      <c r="F172" s="9"/>
      <c r="L172" s="9"/>
      <c r="O172" s="9"/>
    </row>
    <row r="173" spans="1:15" x14ac:dyDescent="0.3">
      <c r="A173">
        <f t="shared" si="2"/>
        <v>2024</v>
      </c>
      <c r="B173" s="9">
        <v>45383</v>
      </c>
      <c r="C173" s="9">
        <f>VLOOKUP(B173,Fact_Carrier_Weekly!C:D,2,0)</f>
        <v>45387</v>
      </c>
      <c r="D173" s="5">
        <f>SUMIF(Fact_Carrier_Weekly!$C:$C, $B173, Fact_Carrier_Weekly!$H:$H)</f>
        <v>2909</v>
      </c>
      <c r="E173" s="5">
        <f>SUMIF(Fact_Carrier_Weekly!$C:$C, $B173, Fact_Carrier_Weekly!$J:$J)</f>
        <v>87035</v>
      </c>
      <c r="F173" s="9"/>
      <c r="L173" s="9"/>
      <c r="O173" s="9"/>
    </row>
    <row r="174" spans="1:15" x14ac:dyDescent="0.3">
      <c r="A174">
        <f t="shared" si="2"/>
        <v>2024</v>
      </c>
      <c r="B174" s="9">
        <v>45390</v>
      </c>
      <c r="C174" s="9">
        <f>VLOOKUP(B174,Fact_Carrier_Weekly!C:D,2,0)</f>
        <v>45394</v>
      </c>
      <c r="D174" s="5">
        <f>SUMIF(Fact_Carrier_Weekly!$C:$C, $B174, Fact_Carrier_Weekly!$H:$H)</f>
        <v>2918</v>
      </c>
      <c r="E174" s="5">
        <f>SUMIF(Fact_Carrier_Weekly!$C:$C, $B174, Fact_Carrier_Weekly!$J:$J)</f>
        <v>92216</v>
      </c>
      <c r="F174" s="9"/>
      <c r="L174" s="9"/>
      <c r="O174" s="9"/>
    </row>
    <row r="175" spans="1:15" x14ac:dyDescent="0.3">
      <c r="A175">
        <f t="shared" si="2"/>
        <v>2024</v>
      </c>
      <c r="B175" s="9">
        <v>45397</v>
      </c>
      <c r="C175" s="9">
        <f>VLOOKUP(B175,Fact_Carrier_Weekly!C:D,2,0)</f>
        <v>45401</v>
      </c>
      <c r="D175" s="5">
        <f>SUMIF(Fact_Carrier_Weekly!$C:$C, $B175, Fact_Carrier_Weekly!$H:$H)</f>
        <v>2932</v>
      </c>
      <c r="E175" s="5">
        <f>SUMIF(Fact_Carrier_Weekly!$C:$C, $B175, Fact_Carrier_Weekly!$J:$J)</f>
        <v>96004</v>
      </c>
      <c r="F175" s="9"/>
      <c r="L175" s="9"/>
      <c r="O175" s="9"/>
    </row>
    <row r="176" spans="1:15" x14ac:dyDescent="0.3">
      <c r="A176">
        <f t="shared" si="2"/>
        <v>2024</v>
      </c>
      <c r="B176" s="9">
        <v>45404</v>
      </c>
      <c r="C176" s="9">
        <f>VLOOKUP(B176,Fact_Carrier_Weekly!C:D,2,0)</f>
        <v>45408</v>
      </c>
      <c r="D176" s="5">
        <f>SUMIF(Fact_Carrier_Weekly!$C:$C, $B176, Fact_Carrier_Weekly!$H:$H)</f>
        <v>2909</v>
      </c>
      <c r="E176" s="5">
        <f>SUMIF(Fact_Carrier_Weekly!$C:$C, $B176, Fact_Carrier_Weekly!$J:$J)</f>
        <v>92952</v>
      </c>
      <c r="F176" s="9"/>
      <c r="L176" s="9"/>
      <c r="O176" s="9"/>
    </row>
    <row r="177" spans="1:15" x14ac:dyDescent="0.3">
      <c r="A177">
        <f t="shared" si="2"/>
        <v>2024</v>
      </c>
      <c r="B177" s="9">
        <v>45411</v>
      </c>
      <c r="C177" s="9">
        <f>VLOOKUP(B177,Fact_Carrier_Weekly!C:D,2,0)</f>
        <v>45415</v>
      </c>
      <c r="D177" s="5">
        <f>SUMIF(Fact_Carrier_Weekly!$C:$C, $B177, Fact_Carrier_Weekly!$H:$H)</f>
        <v>2864</v>
      </c>
      <c r="E177" s="5">
        <f>SUMIF(Fact_Carrier_Weekly!$C:$C, $B177, Fact_Carrier_Weekly!$J:$J)</f>
        <v>95659</v>
      </c>
      <c r="F177" s="9"/>
      <c r="L177" s="9"/>
      <c r="O177" s="9"/>
    </row>
    <row r="178" spans="1:15" x14ac:dyDescent="0.3">
      <c r="A178">
        <f t="shared" si="2"/>
        <v>2024</v>
      </c>
      <c r="B178" s="9">
        <v>45418</v>
      </c>
      <c r="C178" s="9">
        <f>VLOOKUP(B178,Fact_Carrier_Weekly!C:D,2,0)</f>
        <v>45422</v>
      </c>
      <c r="D178" s="5">
        <f>SUMIF(Fact_Carrier_Weekly!$C:$C, $B178, Fact_Carrier_Weekly!$H:$H)</f>
        <v>2897</v>
      </c>
      <c r="E178" s="5">
        <f>SUMIF(Fact_Carrier_Weekly!$C:$C, $B178, Fact_Carrier_Weekly!$J:$J)</f>
        <v>96886</v>
      </c>
      <c r="F178" s="9"/>
      <c r="L178" s="9"/>
      <c r="O178" s="9"/>
    </row>
    <row r="179" spans="1:15" x14ac:dyDescent="0.3">
      <c r="A179">
        <f t="shared" si="2"/>
        <v>2024</v>
      </c>
      <c r="B179" s="9">
        <v>45425</v>
      </c>
      <c r="C179" s="9">
        <f>VLOOKUP(B179,Fact_Carrier_Weekly!C:D,2,0)</f>
        <v>45429</v>
      </c>
      <c r="D179" s="5">
        <f>SUMIF(Fact_Carrier_Weekly!$C:$C, $B179, Fact_Carrier_Weekly!$H:$H)</f>
        <v>2937</v>
      </c>
      <c r="E179" s="5">
        <f>SUMIF(Fact_Carrier_Weekly!$C:$C, $B179, Fact_Carrier_Weekly!$J:$J)</f>
        <v>96829</v>
      </c>
      <c r="F179" s="9"/>
      <c r="L179" s="9"/>
      <c r="O179" s="9"/>
    </row>
    <row r="180" spans="1:15" x14ac:dyDescent="0.3">
      <c r="A180">
        <f t="shared" si="2"/>
        <v>2024</v>
      </c>
      <c r="B180" s="9">
        <v>45432</v>
      </c>
      <c r="C180" s="9">
        <f>VLOOKUP(B180,Fact_Carrier_Weekly!C:D,2,0)</f>
        <v>45436</v>
      </c>
      <c r="D180" s="5">
        <f>SUMIF(Fact_Carrier_Weekly!$C:$C, $B180, Fact_Carrier_Weekly!$H:$H)</f>
        <v>2885</v>
      </c>
      <c r="E180" s="5">
        <f>SUMIF(Fact_Carrier_Weekly!$C:$C, $B180, Fact_Carrier_Weekly!$J:$J)</f>
        <v>101712</v>
      </c>
      <c r="F180" s="9"/>
      <c r="L180" s="9"/>
      <c r="O180" s="9"/>
    </row>
    <row r="181" spans="1:15" x14ac:dyDescent="0.3">
      <c r="A181">
        <f t="shared" si="2"/>
        <v>2024</v>
      </c>
      <c r="B181" s="9">
        <v>45439</v>
      </c>
      <c r="C181" s="9">
        <f>VLOOKUP(B181,Fact_Carrier_Weekly!C:D,2,0)</f>
        <v>45443</v>
      </c>
      <c r="D181" s="5">
        <f>SUMIF(Fact_Carrier_Weekly!$C:$C, $B181, Fact_Carrier_Weekly!$H:$H)</f>
        <v>2906</v>
      </c>
      <c r="E181" s="5">
        <f>SUMIF(Fact_Carrier_Weekly!$C:$C, $B181, Fact_Carrier_Weekly!$J:$J)</f>
        <v>95210</v>
      </c>
      <c r="F181" s="9"/>
      <c r="L181" s="9"/>
      <c r="O181" s="9"/>
    </row>
    <row r="182" spans="1:15" x14ac:dyDescent="0.3">
      <c r="A182">
        <f t="shared" si="2"/>
        <v>2024</v>
      </c>
      <c r="B182" s="9">
        <v>45446</v>
      </c>
      <c r="C182" s="9">
        <f>VLOOKUP(B182,Fact_Carrier_Weekly!C:D,2,0)</f>
        <v>45450</v>
      </c>
      <c r="D182" s="5">
        <f>SUMIF(Fact_Carrier_Weekly!$C:$C, $B182, Fact_Carrier_Weekly!$H:$H)</f>
        <v>2893</v>
      </c>
      <c r="E182" s="5">
        <f>SUMIF(Fact_Carrier_Weekly!$C:$C, $B182, Fact_Carrier_Weekly!$J:$J)</f>
        <v>100770</v>
      </c>
      <c r="F182" s="9"/>
      <c r="L182" s="9"/>
      <c r="O182" s="9"/>
    </row>
    <row r="183" spans="1:15" x14ac:dyDescent="0.3">
      <c r="A183">
        <f t="shared" si="2"/>
        <v>2024</v>
      </c>
      <c r="B183" s="9">
        <v>45453</v>
      </c>
      <c r="C183" s="9">
        <f>VLOOKUP(B183,Fact_Carrier_Weekly!C:D,2,0)</f>
        <v>45457</v>
      </c>
      <c r="D183" s="5">
        <f>SUMIF(Fact_Carrier_Weekly!$C:$C, $B183, Fact_Carrier_Weekly!$H:$H)</f>
        <v>2927</v>
      </c>
      <c r="E183" s="5">
        <f>SUMIF(Fact_Carrier_Weekly!$C:$C, $B183, Fact_Carrier_Weekly!$J:$J)</f>
        <v>97158</v>
      </c>
      <c r="F183" s="9"/>
      <c r="L183" s="9"/>
      <c r="O183" s="9"/>
    </row>
    <row r="184" spans="1:15" x14ac:dyDescent="0.3">
      <c r="A184">
        <f t="shared" si="2"/>
        <v>2024</v>
      </c>
      <c r="B184" s="9">
        <v>45467</v>
      </c>
      <c r="C184" s="9">
        <f>VLOOKUP(B184,Fact_Carrier_Weekly!C:D,2,0)</f>
        <v>45471</v>
      </c>
      <c r="D184" s="5">
        <f>SUMIF(Fact_Carrier_Weekly!$C:$C, $B184, Fact_Carrier_Weekly!$H:$H)</f>
        <v>2918</v>
      </c>
      <c r="E184" s="5">
        <f>SUMIF(Fact_Carrier_Weekly!$C:$C, $B184, Fact_Carrier_Weekly!$J:$J)</f>
        <v>100493</v>
      </c>
      <c r="F184" s="9"/>
      <c r="L184" s="9"/>
      <c r="O184" s="9"/>
    </row>
    <row r="185" spans="1:15" x14ac:dyDescent="0.3">
      <c r="A185">
        <f t="shared" si="2"/>
        <v>2024</v>
      </c>
      <c r="B185" s="9">
        <v>45474</v>
      </c>
      <c r="C185" s="9">
        <f>VLOOKUP(B185,Fact_Carrier_Weekly!C:D,2,0)</f>
        <v>45478</v>
      </c>
      <c r="D185" s="5">
        <f>SUMIF(Fact_Carrier_Weekly!$C:$C, $B185, Fact_Carrier_Weekly!$H:$H)</f>
        <v>2905</v>
      </c>
      <c r="E185" s="5">
        <f>SUMIF(Fact_Carrier_Weekly!$C:$C, $B185, Fact_Carrier_Weekly!$J:$J)</f>
        <v>87067</v>
      </c>
      <c r="F185" s="9"/>
      <c r="L185" s="9"/>
      <c r="O185" s="9"/>
    </row>
    <row r="186" spans="1:15" x14ac:dyDescent="0.3">
      <c r="A186">
        <f t="shared" si="2"/>
        <v>2024</v>
      </c>
      <c r="B186" s="9">
        <v>45481</v>
      </c>
      <c r="C186" s="9">
        <f>VLOOKUP(B186,Fact_Carrier_Weekly!C:D,2,0)</f>
        <v>45485</v>
      </c>
      <c r="D186" s="5">
        <f>SUMIF(Fact_Carrier_Weekly!$C:$C, $B186, Fact_Carrier_Weekly!$H:$H)</f>
        <v>2908</v>
      </c>
      <c r="E186" s="5">
        <f>SUMIF(Fact_Carrier_Weekly!$C:$C, $B186, Fact_Carrier_Weekly!$J:$J)</f>
        <v>97341</v>
      </c>
      <c r="F186" s="9"/>
      <c r="L186" s="9"/>
      <c r="O186" s="9"/>
    </row>
    <row r="187" spans="1:15" x14ac:dyDescent="0.3">
      <c r="A187">
        <f t="shared" si="2"/>
        <v>2024</v>
      </c>
      <c r="B187" s="9">
        <v>45488</v>
      </c>
      <c r="C187" s="9">
        <f>VLOOKUP(B187,Fact_Carrier_Weekly!C:D,2,0)</f>
        <v>45492</v>
      </c>
      <c r="D187" s="5">
        <f>SUMIF(Fact_Carrier_Weekly!$C:$C, $B187, Fact_Carrier_Weekly!$H:$H)</f>
        <v>2920</v>
      </c>
      <c r="E187" s="5">
        <f>SUMIF(Fact_Carrier_Weekly!$C:$C, $B187, Fact_Carrier_Weekly!$J:$J)</f>
        <v>96831</v>
      </c>
      <c r="F187" s="9"/>
      <c r="L187" s="9"/>
      <c r="O187" s="9"/>
    </row>
    <row r="188" spans="1:15" x14ac:dyDescent="0.3">
      <c r="A188">
        <f t="shared" si="2"/>
        <v>2024</v>
      </c>
      <c r="B188" s="9">
        <v>45495</v>
      </c>
      <c r="C188" s="9">
        <f>VLOOKUP(B188,Fact_Carrier_Weekly!C:D,2,0)</f>
        <v>45499</v>
      </c>
      <c r="D188" s="5">
        <f>SUMIF(Fact_Carrier_Weekly!$C:$C, $B188, Fact_Carrier_Weekly!$H:$H)</f>
        <v>2927</v>
      </c>
      <c r="E188" s="5">
        <f>SUMIF(Fact_Carrier_Weekly!$C:$C, $B188, Fact_Carrier_Weekly!$J:$J)</f>
        <v>97261</v>
      </c>
      <c r="F188" s="9"/>
      <c r="L188" s="9"/>
      <c r="O188" s="9"/>
    </row>
    <row r="189" spans="1:15" x14ac:dyDescent="0.3">
      <c r="A189">
        <f t="shared" si="2"/>
        <v>2024</v>
      </c>
      <c r="B189" s="9">
        <v>45502</v>
      </c>
      <c r="C189" s="9">
        <f>VLOOKUP(B189,Fact_Carrier_Weekly!C:D,2,0)</f>
        <v>45506</v>
      </c>
      <c r="D189" s="5">
        <f>SUMIF(Fact_Carrier_Weekly!$C:$C, $B189, Fact_Carrier_Weekly!$H:$H)</f>
        <v>2906</v>
      </c>
      <c r="E189" s="5">
        <f>SUMIF(Fact_Carrier_Weekly!$C:$C, $B189, Fact_Carrier_Weekly!$J:$J)</f>
        <v>96046</v>
      </c>
      <c r="F189" s="9"/>
      <c r="L189" s="9"/>
      <c r="O189" s="9"/>
    </row>
    <row r="190" spans="1:15" x14ac:dyDescent="0.3">
      <c r="A190">
        <f t="shared" si="2"/>
        <v>2024</v>
      </c>
      <c r="B190" s="9">
        <v>45509</v>
      </c>
      <c r="C190" s="9">
        <f>VLOOKUP(B190,Fact_Carrier_Weekly!C:D,2,0)</f>
        <v>45513</v>
      </c>
      <c r="D190" s="5">
        <f>SUMIF(Fact_Carrier_Weekly!$C:$C, $B190, Fact_Carrier_Weekly!$H:$H)</f>
        <v>2936</v>
      </c>
      <c r="E190" s="5">
        <f>SUMIF(Fact_Carrier_Weekly!$C:$C, $B190, Fact_Carrier_Weekly!$J:$J)</f>
        <v>93448</v>
      </c>
      <c r="F190" s="9"/>
      <c r="L190" s="9"/>
      <c r="O190" s="9"/>
    </row>
    <row r="191" spans="1:15" x14ac:dyDescent="0.3">
      <c r="A191">
        <f t="shared" si="2"/>
        <v>2024</v>
      </c>
      <c r="B191" s="9">
        <v>45516</v>
      </c>
      <c r="C191" s="9">
        <f>VLOOKUP(B191,Fact_Carrier_Weekly!C:D,2,0)</f>
        <v>45520</v>
      </c>
      <c r="D191" s="5">
        <f>SUMIF(Fact_Carrier_Weekly!$C:$C, $B191, Fact_Carrier_Weekly!$H:$H)</f>
        <v>2949</v>
      </c>
      <c r="E191" s="5">
        <f>SUMIF(Fact_Carrier_Weekly!$C:$C, $B191, Fact_Carrier_Weekly!$J:$J)</f>
        <v>93525</v>
      </c>
      <c r="F191" s="9"/>
      <c r="L191" s="9"/>
      <c r="O191" s="9"/>
    </row>
    <row r="192" spans="1:15" x14ac:dyDescent="0.3">
      <c r="A192">
        <f t="shared" si="2"/>
        <v>2024</v>
      </c>
      <c r="B192" s="9">
        <v>45523</v>
      </c>
      <c r="C192" s="9">
        <f>VLOOKUP(B192,Fact_Carrier_Weekly!C:D,2,0)</f>
        <v>45527</v>
      </c>
      <c r="D192" s="5">
        <f>SUMIF(Fact_Carrier_Weekly!$C:$C, $B192, Fact_Carrier_Weekly!$H:$H)</f>
        <v>2929</v>
      </c>
      <c r="E192" s="5">
        <f>SUMIF(Fact_Carrier_Weekly!$C:$C, $B192, Fact_Carrier_Weekly!$J:$J)</f>
        <v>94169</v>
      </c>
      <c r="F192" s="9"/>
      <c r="L192" s="9"/>
      <c r="O192" s="9"/>
    </row>
    <row r="193" spans="1:15" x14ac:dyDescent="0.3">
      <c r="A193">
        <f t="shared" si="2"/>
        <v>2024</v>
      </c>
      <c r="B193" s="9">
        <v>45530</v>
      </c>
      <c r="C193" s="9">
        <f>VLOOKUP(B193,Fact_Carrier_Weekly!C:D,2,0)</f>
        <v>45534</v>
      </c>
      <c r="D193" s="5">
        <f>SUMIF(Fact_Carrier_Weekly!$C:$C, $B193, Fact_Carrier_Weekly!$H:$H)</f>
        <v>2900</v>
      </c>
      <c r="E193" s="5">
        <f>SUMIF(Fact_Carrier_Weekly!$C:$C, $B193, Fact_Carrier_Weekly!$J:$J)</f>
        <v>100522</v>
      </c>
      <c r="F193" s="9"/>
      <c r="L193" s="9"/>
      <c r="O193" s="9"/>
    </row>
    <row r="194" spans="1:15" x14ac:dyDescent="0.3">
      <c r="A194">
        <f t="shared" si="2"/>
        <v>2024</v>
      </c>
      <c r="B194" s="9">
        <v>45537</v>
      </c>
      <c r="C194" s="9">
        <f>VLOOKUP(B194,Fact_Carrier_Weekly!C:D,2,0)</f>
        <v>45632</v>
      </c>
      <c r="D194" s="5">
        <f>SUMIF(Fact_Carrier_Weekly!$C:$C, $B194, Fact_Carrier_Weekly!$H:$H)</f>
        <v>2879</v>
      </c>
      <c r="E194" s="5">
        <f>SUMIF(Fact_Carrier_Weekly!$C:$C, $B194, Fact_Carrier_Weekly!$J:$J)</f>
        <v>99396</v>
      </c>
      <c r="F194" s="9"/>
      <c r="L194" s="9"/>
      <c r="O194" s="9"/>
    </row>
    <row r="195" spans="1:15" x14ac:dyDescent="0.3">
      <c r="A195">
        <f t="shared" ref="A195:A240" si="3">YEAR(B195)</f>
        <v>2024</v>
      </c>
      <c r="B195" s="9">
        <v>45544</v>
      </c>
      <c r="C195" s="9">
        <f>VLOOKUP(B195,Fact_Carrier_Weekly!C:D,2,0)</f>
        <v>45629</v>
      </c>
      <c r="D195" s="5">
        <f>SUMIF(Fact_Carrier_Weekly!$C:$C, $B195, Fact_Carrier_Weekly!$H:$H)</f>
        <v>2946</v>
      </c>
      <c r="E195" s="5">
        <f>SUMIF(Fact_Carrier_Weekly!$C:$C, $B195, Fact_Carrier_Weekly!$J:$J)</f>
        <v>103176</v>
      </c>
      <c r="F195" s="9"/>
      <c r="L195" s="9"/>
      <c r="O195" s="9"/>
    </row>
    <row r="196" spans="1:15" x14ac:dyDescent="0.3">
      <c r="A196">
        <f t="shared" si="3"/>
        <v>2024</v>
      </c>
      <c r="B196" s="9">
        <v>45551</v>
      </c>
      <c r="C196" s="9">
        <f>VLOOKUP(B196,Fact_Carrier_Weekly!C:D,2,0)</f>
        <v>45626</v>
      </c>
      <c r="D196" s="5">
        <f>SUMIF(Fact_Carrier_Weekly!$C:$C, $B196, Fact_Carrier_Weekly!$H:$H)</f>
        <v>2945</v>
      </c>
      <c r="E196" s="5">
        <f>SUMIF(Fact_Carrier_Weekly!$C:$C, $B196, Fact_Carrier_Weekly!$J:$J)</f>
        <v>102637</v>
      </c>
      <c r="F196" s="9"/>
      <c r="L196" s="9"/>
      <c r="O196" s="9"/>
    </row>
    <row r="197" spans="1:15" x14ac:dyDescent="0.3">
      <c r="A197">
        <f t="shared" si="3"/>
        <v>2024</v>
      </c>
      <c r="B197" s="9">
        <v>45558</v>
      </c>
      <c r="C197" s="9">
        <f>VLOOKUP(B197,Fact_Carrier_Weekly!C:D,2,0)</f>
        <v>45633</v>
      </c>
      <c r="D197" s="5">
        <f>SUMIF(Fact_Carrier_Weekly!$C:$C, $B197, Fact_Carrier_Weekly!$H:$H)</f>
        <v>2938</v>
      </c>
      <c r="E197" s="5">
        <f>SUMIF(Fact_Carrier_Weekly!$C:$C, $B197, Fact_Carrier_Weekly!$J:$J)</f>
        <v>104177</v>
      </c>
      <c r="F197" s="9"/>
      <c r="L197" s="9"/>
      <c r="O197" s="9"/>
    </row>
    <row r="198" spans="1:15" x14ac:dyDescent="0.3">
      <c r="A198">
        <f t="shared" si="3"/>
        <v>2024</v>
      </c>
      <c r="B198" s="9">
        <v>45565</v>
      </c>
      <c r="C198" s="9">
        <f>VLOOKUP(B198,Fact_Carrier_Weekly!C:D,2,0)</f>
        <v>45569</v>
      </c>
      <c r="D198" s="5">
        <f>SUMIF(Fact_Carrier_Weekly!$C:$C, $B198, Fact_Carrier_Weekly!$H:$H)</f>
        <v>2957</v>
      </c>
      <c r="E198" s="5">
        <f>SUMIF(Fact_Carrier_Weekly!$C:$C, $B198, Fact_Carrier_Weekly!$J:$J)</f>
        <v>99551</v>
      </c>
      <c r="F198" s="9"/>
      <c r="L198" s="9"/>
      <c r="O198" s="9"/>
    </row>
    <row r="199" spans="1:15" x14ac:dyDescent="0.3">
      <c r="A199">
        <f t="shared" si="3"/>
        <v>2024</v>
      </c>
      <c r="B199" s="9">
        <v>45572</v>
      </c>
      <c r="C199" s="9">
        <f>VLOOKUP(B199,Fact_Carrier_Weekly!C:D,2,0)</f>
        <v>45627</v>
      </c>
      <c r="D199" s="5">
        <f>SUMIF(Fact_Carrier_Weekly!$C:$C, $B199, Fact_Carrier_Weekly!$H:$H)</f>
        <v>2964</v>
      </c>
      <c r="E199" s="5">
        <f>SUMIF(Fact_Carrier_Weekly!$C:$C, $B199, Fact_Carrier_Weekly!$J:$J)</f>
        <v>103183</v>
      </c>
      <c r="F199" s="9"/>
      <c r="L199" s="9"/>
      <c r="O199" s="9"/>
    </row>
    <row r="200" spans="1:15" x14ac:dyDescent="0.3">
      <c r="A200">
        <f t="shared" si="3"/>
        <v>2024</v>
      </c>
      <c r="B200" s="9">
        <v>45579</v>
      </c>
      <c r="C200" s="9">
        <f>VLOOKUP(B200,Fact_Carrier_Weekly!C:D,2,0)</f>
        <v>45634</v>
      </c>
      <c r="D200" s="5">
        <f>SUMIF(Fact_Carrier_Weekly!$C:$C, $B200, Fact_Carrier_Weekly!$H:$H)</f>
        <v>2927</v>
      </c>
      <c r="E200" s="5">
        <f>SUMIF(Fact_Carrier_Weekly!$C:$C, $B200, Fact_Carrier_Weekly!$J:$J)</f>
        <v>101639</v>
      </c>
      <c r="F200" s="9"/>
      <c r="L200" s="9"/>
      <c r="O200" s="9"/>
    </row>
    <row r="201" spans="1:15" x14ac:dyDescent="0.3">
      <c r="A201">
        <f t="shared" si="3"/>
        <v>2024</v>
      </c>
      <c r="B201" s="9">
        <v>45586</v>
      </c>
      <c r="C201" s="9">
        <f>VLOOKUP(B201,Fact_Carrier_Weekly!C:D,2,0)</f>
        <v>45631</v>
      </c>
      <c r="D201" s="5">
        <f>SUMIF(Fact_Carrier_Weekly!$C:$C, $B201, Fact_Carrier_Weekly!$H:$H)</f>
        <v>2942</v>
      </c>
      <c r="E201" s="5">
        <f>SUMIF(Fact_Carrier_Weekly!$C:$C, $B201, Fact_Carrier_Weekly!$J:$J)</f>
        <v>102173</v>
      </c>
      <c r="F201" s="9"/>
      <c r="L201" s="9"/>
      <c r="O201" s="9"/>
    </row>
    <row r="202" spans="1:15" x14ac:dyDescent="0.3">
      <c r="A202">
        <f t="shared" si="3"/>
        <v>2024</v>
      </c>
      <c r="B202" s="9">
        <v>45593</v>
      </c>
      <c r="C202" s="9">
        <f>VLOOKUP(B202,Fact_Carrier_Weekly!C:D,2,0)</f>
        <v>45597</v>
      </c>
      <c r="D202" s="5">
        <f>SUMIF(Fact_Carrier_Weekly!$C:$C, $B202, Fact_Carrier_Weekly!$H:$H)</f>
        <v>2948</v>
      </c>
      <c r="E202" s="5">
        <f>SUMIF(Fact_Carrier_Weekly!$C:$C, $B202, Fact_Carrier_Weekly!$J:$J)</f>
        <v>103931</v>
      </c>
      <c r="F202" s="9"/>
      <c r="L202" s="9"/>
      <c r="O202" s="9"/>
    </row>
    <row r="203" spans="1:15" x14ac:dyDescent="0.3">
      <c r="A203">
        <f t="shared" si="3"/>
        <v>2024</v>
      </c>
      <c r="B203" s="9">
        <v>45600</v>
      </c>
      <c r="C203" s="9">
        <f>VLOOKUP(B203,Fact_Carrier_Weekly!C:D,2,0)</f>
        <v>45635</v>
      </c>
      <c r="D203" s="5">
        <f>SUMIF(Fact_Carrier_Weekly!$C:$C, $B203, Fact_Carrier_Weekly!$H:$H)</f>
        <v>2949</v>
      </c>
      <c r="E203" s="5">
        <f>SUMIF(Fact_Carrier_Weekly!$C:$C, $B203, Fact_Carrier_Weekly!$J:$J)</f>
        <v>96688</v>
      </c>
      <c r="F203" s="9"/>
      <c r="L203" s="9"/>
      <c r="O203" s="9"/>
    </row>
    <row r="204" spans="1:15" x14ac:dyDescent="0.3">
      <c r="A204">
        <f t="shared" si="3"/>
        <v>2024</v>
      </c>
      <c r="B204" s="9">
        <v>45607</v>
      </c>
      <c r="C204" s="9">
        <f>VLOOKUP(B204,Fact_Carrier_Weekly!C:D,2,0)</f>
        <v>45632</v>
      </c>
      <c r="D204" s="5">
        <f>SUMIF(Fact_Carrier_Weekly!$C:$C, $B204, Fact_Carrier_Weekly!$H:$H)</f>
        <v>2950</v>
      </c>
      <c r="E204" s="5">
        <f>SUMIF(Fact_Carrier_Weekly!$C:$C, $B204, Fact_Carrier_Weekly!$J:$J)</f>
        <v>100670</v>
      </c>
      <c r="F204" s="9"/>
      <c r="L204" s="9"/>
      <c r="O204" s="9"/>
    </row>
    <row r="205" spans="1:15" x14ac:dyDescent="0.3">
      <c r="A205">
        <f t="shared" si="3"/>
        <v>2024</v>
      </c>
      <c r="B205" s="9">
        <v>45614</v>
      </c>
      <c r="C205" s="9">
        <f>VLOOKUP(B205,Fact_Carrier_Weekly!C:D,2,0)</f>
        <v>45629</v>
      </c>
      <c r="D205" s="5">
        <f>SUMIF(Fact_Carrier_Weekly!$C:$C, $B205, Fact_Carrier_Weekly!$H:$H)</f>
        <v>2969</v>
      </c>
      <c r="E205" s="5">
        <f>SUMIF(Fact_Carrier_Weekly!$C:$C, $B205, Fact_Carrier_Weekly!$J:$J)</f>
        <v>99528</v>
      </c>
      <c r="F205" s="9"/>
      <c r="L205" s="9"/>
      <c r="O205" s="9"/>
    </row>
    <row r="206" spans="1:15" x14ac:dyDescent="0.3">
      <c r="A206">
        <f t="shared" si="3"/>
        <v>2024</v>
      </c>
      <c r="B206" s="9">
        <v>45621</v>
      </c>
      <c r="C206" s="9">
        <f>VLOOKUP(B206,Fact_Carrier_Weekly!C:D,2,0)</f>
        <v>45626</v>
      </c>
      <c r="D206" s="5">
        <f>SUMIF(Fact_Carrier_Weekly!$C:$C, $B206, Fact_Carrier_Weekly!$H:$H)</f>
        <v>0</v>
      </c>
      <c r="E206" s="5">
        <f>SUMIF(Fact_Carrier_Weekly!$C:$C, $B206, Fact_Carrier_Weekly!$J:$J)</f>
        <v>0</v>
      </c>
      <c r="F206" s="9"/>
      <c r="L206" s="9"/>
      <c r="O206" s="9"/>
    </row>
    <row r="207" spans="1:15" x14ac:dyDescent="0.3">
      <c r="A207">
        <f t="shared" si="3"/>
        <v>2024</v>
      </c>
      <c r="B207" s="9">
        <v>45628</v>
      </c>
      <c r="C207" s="9">
        <f>VLOOKUP(B207,Fact_Carrier_Weekly!C:D,2,0)</f>
        <v>45633</v>
      </c>
      <c r="D207" s="5">
        <f>SUMIF(Fact_Carrier_Weekly!$C:$C, $B207, Fact_Carrier_Weekly!$H:$H)</f>
        <v>2942</v>
      </c>
      <c r="E207" s="5">
        <f>SUMIF(Fact_Carrier_Weekly!$C:$C, $B207, Fact_Carrier_Weekly!$J:$J)</f>
        <v>101916</v>
      </c>
      <c r="F207" s="9"/>
      <c r="L207" s="9"/>
      <c r="O207" s="9"/>
    </row>
    <row r="208" spans="1:15" x14ac:dyDescent="0.3">
      <c r="A208">
        <f t="shared" si="3"/>
        <v>2024</v>
      </c>
      <c r="B208" s="9">
        <v>45635</v>
      </c>
      <c r="C208" s="9">
        <f>VLOOKUP(B208,Fact_Carrier_Weekly!C:D,2,0)</f>
        <v>45630</v>
      </c>
      <c r="D208" s="5">
        <f>SUMIF(Fact_Carrier_Weekly!$C:$C, $B208, Fact_Carrier_Weekly!$H:$H)</f>
        <v>2978</v>
      </c>
      <c r="E208" s="5">
        <f>SUMIF(Fact_Carrier_Weekly!$C:$C, $B208, Fact_Carrier_Weekly!$J:$J)</f>
        <v>98911</v>
      </c>
      <c r="F208" s="9"/>
      <c r="L208" s="9"/>
      <c r="O208" s="9"/>
    </row>
    <row r="209" spans="1:15" x14ac:dyDescent="0.3">
      <c r="A209">
        <f t="shared" si="3"/>
        <v>2024</v>
      </c>
      <c r="B209" s="9">
        <v>45642</v>
      </c>
      <c r="C209" s="9">
        <f>VLOOKUP(B209,Fact_Carrier_Weekly!C:D,2,0)</f>
        <v>45627</v>
      </c>
      <c r="D209" s="5">
        <f>SUMIF(Fact_Carrier_Weekly!$C:$C, $B209, Fact_Carrier_Weekly!$H:$H)</f>
        <v>2922</v>
      </c>
      <c r="E209" s="5">
        <f>SUMIF(Fact_Carrier_Weekly!$C:$C, $B209, Fact_Carrier_Weekly!$J:$J)</f>
        <v>95860</v>
      </c>
      <c r="F209" s="9"/>
      <c r="L209" s="9"/>
      <c r="O209" s="9"/>
    </row>
    <row r="210" spans="1:15" x14ac:dyDescent="0.3">
      <c r="A210">
        <f t="shared" si="3"/>
        <v>2024</v>
      </c>
      <c r="B210" s="9">
        <v>45649</v>
      </c>
      <c r="C210" s="9">
        <f>VLOOKUP(B210,Fact_Carrier_Weekly!C:D,2,0)</f>
        <v>45634</v>
      </c>
      <c r="D210" s="5">
        <f>SUMIF(Fact_Carrier_Weekly!$C:$C, $B210, Fact_Carrier_Weekly!$H:$H)</f>
        <v>0</v>
      </c>
      <c r="E210" s="5">
        <f>SUMIF(Fact_Carrier_Weekly!$C:$C, $B210, Fact_Carrier_Weekly!$J:$J)</f>
        <v>0</v>
      </c>
      <c r="F210" s="9"/>
      <c r="L210" s="9"/>
      <c r="O210" s="9"/>
    </row>
    <row r="211" spans="1:15" x14ac:dyDescent="0.3">
      <c r="A211">
        <f t="shared" si="3"/>
        <v>2025</v>
      </c>
      <c r="B211" s="9">
        <v>45663</v>
      </c>
      <c r="C211" s="9">
        <f>VLOOKUP(B211,Fact_Carrier_Weekly!C:D,2,0)</f>
        <v>45998</v>
      </c>
      <c r="D211" s="5">
        <f>SUMIF(Fact_Carrier_Weekly!$C:$C, $B211, Fact_Carrier_Weekly!$H:$H)</f>
        <v>2900</v>
      </c>
      <c r="E211" s="5">
        <f>SUMIF(Fact_Carrier_Weekly!$C:$C, $B211, Fact_Carrier_Weekly!$J:$J)</f>
        <v>92775</v>
      </c>
      <c r="F211" s="9"/>
      <c r="L211" s="9"/>
      <c r="O211" s="9"/>
    </row>
    <row r="212" spans="1:15" x14ac:dyDescent="0.3">
      <c r="A212">
        <f t="shared" si="3"/>
        <v>2025</v>
      </c>
      <c r="B212" s="9">
        <v>45670</v>
      </c>
      <c r="C212" s="9">
        <f>VLOOKUP(B212,Fact_Carrier_Weekly!C:D,2,0)</f>
        <v>45995</v>
      </c>
      <c r="D212" s="5">
        <f>SUMIF(Fact_Carrier_Weekly!$C:$C, $B212, Fact_Carrier_Weekly!$H:$H)</f>
        <v>2954</v>
      </c>
      <c r="E212" s="5">
        <f>SUMIF(Fact_Carrier_Weekly!$C:$C, $B212, Fact_Carrier_Weekly!$J:$J)</f>
        <v>93320</v>
      </c>
      <c r="F212" s="9"/>
      <c r="L212" s="9"/>
      <c r="O212" s="9"/>
    </row>
    <row r="213" spans="1:15" x14ac:dyDescent="0.3">
      <c r="A213">
        <f t="shared" si="3"/>
        <v>2025</v>
      </c>
      <c r="B213" s="9">
        <v>45677</v>
      </c>
      <c r="C213" s="9">
        <f>VLOOKUP(B213,Fact_Carrier_Weekly!C:D,2,0)</f>
        <v>45992</v>
      </c>
      <c r="D213" s="5">
        <f>SUMIF(Fact_Carrier_Weekly!$C:$C, $B213, Fact_Carrier_Weekly!$H:$H)</f>
        <v>2868</v>
      </c>
      <c r="E213" s="5">
        <f>SUMIF(Fact_Carrier_Weekly!$C:$C, $B213, Fact_Carrier_Weekly!$J:$J)</f>
        <v>88550</v>
      </c>
      <c r="F213" s="9"/>
      <c r="L213" s="9"/>
      <c r="O213" s="9"/>
    </row>
    <row r="214" spans="1:15" x14ac:dyDescent="0.3">
      <c r="A214">
        <f t="shared" si="3"/>
        <v>2025</v>
      </c>
      <c r="B214" s="9">
        <v>45684</v>
      </c>
      <c r="C214" s="9">
        <f>VLOOKUP(B214,Fact_Carrier_Weekly!C:D,2,0)</f>
        <v>45999</v>
      </c>
      <c r="D214" s="5">
        <f>SUMIF(Fact_Carrier_Weekly!$C:$C, $B214, Fact_Carrier_Weekly!$H:$H)</f>
        <v>2946</v>
      </c>
      <c r="E214" s="5">
        <f>SUMIF(Fact_Carrier_Weekly!$C:$C, $B214, Fact_Carrier_Weekly!$J:$J)</f>
        <v>91065</v>
      </c>
      <c r="F214" s="9"/>
      <c r="L214" s="9"/>
      <c r="O214" s="9"/>
    </row>
    <row r="215" spans="1:15" x14ac:dyDescent="0.3">
      <c r="A215">
        <f t="shared" si="3"/>
        <v>2025</v>
      </c>
      <c r="B215" s="9">
        <v>45691</v>
      </c>
      <c r="C215" s="9">
        <f>VLOOKUP(B215,Fact_Carrier_Weekly!C:D,2,0)</f>
        <v>45996</v>
      </c>
      <c r="D215" s="5">
        <f>SUMIF(Fact_Carrier_Weekly!$C:$C, $B215, Fact_Carrier_Weekly!$H:$H)</f>
        <v>3061</v>
      </c>
      <c r="E215" s="5">
        <f>SUMIF(Fact_Carrier_Weekly!$C:$C, $B215, Fact_Carrier_Weekly!$J:$J)</f>
        <v>97834</v>
      </c>
      <c r="F215" s="9"/>
      <c r="L215" s="9"/>
      <c r="O215" s="9"/>
    </row>
    <row r="216" spans="1:15" x14ac:dyDescent="0.3">
      <c r="A216">
        <f t="shared" si="3"/>
        <v>2025</v>
      </c>
      <c r="B216" s="9">
        <v>45698</v>
      </c>
      <c r="C216" s="9">
        <f>VLOOKUP(B216,Fact_Carrier_Weekly!C:D,2,0)</f>
        <v>45993</v>
      </c>
      <c r="D216" s="5">
        <f>SUMIF(Fact_Carrier_Weekly!$C:$C, $B216, Fact_Carrier_Weekly!$H:$H)</f>
        <v>3097</v>
      </c>
      <c r="E216" s="5">
        <f>SUMIF(Fact_Carrier_Weekly!$C:$C, $B216, Fact_Carrier_Weekly!$J:$J)</f>
        <v>91132</v>
      </c>
      <c r="F216" s="9"/>
      <c r="L216" s="9"/>
      <c r="O216" s="9"/>
    </row>
    <row r="217" spans="1:15" x14ac:dyDescent="0.3">
      <c r="A217">
        <f t="shared" si="3"/>
        <v>2025</v>
      </c>
      <c r="B217" s="9">
        <v>45705</v>
      </c>
      <c r="C217" s="9">
        <f>VLOOKUP(B217,Fact_Carrier_Weekly!C:D,2,0)</f>
        <v>46000</v>
      </c>
      <c r="D217" s="5">
        <f>SUMIF(Fact_Carrier_Weekly!$C:$C, $B217, Fact_Carrier_Weekly!$H:$H)</f>
        <v>3020</v>
      </c>
      <c r="E217" s="5">
        <f>SUMIF(Fact_Carrier_Weekly!$C:$C, $B217, Fact_Carrier_Weekly!$J:$J)</f>
        <v>94740</v>
      </c>
      <c r="F217" s="9"/>
      <c r="L217" s="9"/>
      <c r="O217" s="9"/>
    </row>
    <row r="218" spans="1:15" x14ac:dyDescent="0.3">
      <c r="A218">
        <f t="shared" si="3"/>
        <v>2025</v>
      </c>
      <c r="B218" s="9">
        <v>45712</v>
      </c>
      <c r="C218" s="9">
        <f>VLOOKUP(B218,Fact_Carrier_Weekly!C:D,2,0)</f>
        <v>45997</v>
      </c>
      <c r="D218" s="5">
        <f>SUMIF(Fact_Carrier_Weekly!$C:$C, $B218, Fact_Carrier_Weekly!$H:$H)</f>
        <v>2939</v>
      </c>
      <c r="E218" s="5">
        <f>SUMIF(Fact_Carrier_Weekly!$C:$C, $B218, Fact_Carrier_Weekly!$J:$J)</f>
        <v>96829</v>
      </c>
      <c r="F218" s="9"/>
      <c r="L218" s="9"/>
      <c r="O218" s="9"/>
    </row>
    <row r="219" spans="1:15" x14ac:dyDescent="0.3">
      <c r="A219">
        <f t="shared" si="3"/>
        <v>2025</v>
      </c>
      <c r="B219" s="9">
        <v>45719</v>
      </c>
      <c r="C219" s="9">
        <f>VLOOKUP(B219,Fact_Carrier_Weekly!C:D,2,0)</f>
        <v>45723</v>
      </c>
      <c r="D219" s="5">
        <f>SUMIF(Fact_Carrier_Weekly!$C:$C, $B219, Fact_Carrier_Weekly!$H:$H)</f>
        <v>2936</v>
      </c>
      <c r="E219" s="5">
        <f>SUMIF(Fact_Carrier_Weekly!$C:$C, $B219, Fact_Carrier_Weekly!$J:$J)</f>
        <v>97154</v>
      </c>
      <c r="F219" s="9"/>
      <c r="L219" s="9"/>
      <c r="O219" s="9"/>
    </row>
    <row r="220" spans="1:15" x14ac:dyDescent="0.3">
      <c r="A220">
        <f t="shared" si="3"/>
        <v>2025</v>
      </c>
      <c r="B220" s="9">
        <v>45726</v>
      </c>
      <c r="C220" s="9">
        <f>VLOOKUP(B220,Fact_Carrier_Weekly!C:D,2,0)</f>
        <v>45730</v>
      </c>
      <c r="D220" s="5">
        <f>SUMIF(Fact_Carrier_Weekly!$C:$C, $B220, Fact_Carrier_Weekly!$H:$H)</f>
        <v>2955</v>
      </c>
      <c r="E220" s="5">
        <f>SUMIF(Fact_Carrier_Weekly!$C:$C, $B220, Fact_Carrier_Weekly!$J:$J)</f>
        <v>100275</v>
      </c>
      <c r="F220" s="9"/>
      <c r="L220" s="9"/>
      <c r="O220" s="9"/>
    </row>
    <row r="221" spans="1:15" x14ac:dyDescent="0.3">
      <c r="A221">
        <f t="shared" si="3"/>
        <v>2025</v>
      </c>
      <c r="B221" s="9">
        <v>45733</v>
      </c>
      <c r="C221" s="9">
        <f>VLOOKUP(B221,Fact_Carrier_Weekly!C:D,2,0)</f>
        <v>45737</v>
      </c>
      <c r="D221" s="5">
        <f>SUMIF(Fact_Carrier_Weekly!$C:$C, $B221, Fact_Carrier_Weekly!$H:$H)</f>
        <v>2945</v>
      </c>
      <c r="E221" s="5">
        <f>SUMIF(Fact_Carrier_Weekly!$C:$C, $B221, Fact_Carrier_Weekly!$J:$J)</f>
        <v>99716</v>
      </c>
      <c r="F221" s="9"/>
      <c r="L221" s="9"/>
      <c r="O221" s="9"/>
    </row>
    <row r="222" spans="1:15" x14ac:dyDescent="0.3">
      <c r="A222">
        <f t="shared" si="3"/>
        <v>2025</v>
      </c>
      <c r="B222" s="9">
        <v>45740</v>
      </c>
      <c r="C222" s="9">
        <f>VLOOKUP(B222,Fact_Carrier_Weekly!C:D,2,0)</f>
        <v>45744</v>
      </c>
      <c r="D222" s="5">
        <f>SUMIF(Fact_Carrier_Weekly!$C:$C, $B222, Fact_Carrier_Weekly!$H:$H)</f>
        <v>2964</v>
      </c>
      <c r="E222" s="5">
        <f>SUMIF(Fact_Carrier_Weekly!$C:$C, $B222, Fact_Carrier_Weekly!$J:$J)</f>
        <v>98921</v>
      </c>
    </row>
    <row r="223" spans="1:15" x14ac:dyDescent="0.3">
      <c r="A223">
        <f t="shared" si="3"/>
        <v>2025</v>
      </c>
      <c r="B223" s="9">
        <v>45747</v>
      </c>
      <c r="C223" s="9">
        <f>VLOOKUP(B223,Fact_Carrier_Weekly!C:D,2,0)</f>
        <v>45751</v>
      </c>
      <c r="D223" s="5">
        <f>SUMIF(Fact_Carrier_Weekly!$C:$C, $B223, Fact_Carrier_Weekly!$H:$H)</f>
        <v>2948</v>
      </c>
      <c r="E223" s="5">
        <f>SUMIF(Fact_Carrier_Weekly!$C:$C, $B223, Fact_Carrier_Weekly!$J:$J)</f>
        <v>100146</v>
      </c>
    </row>
    <row r="224" spans="1:15" x14ac:dyDescent="0.3">
      <c r="A224">
        <f t="shared" si="3"/>
        <v>2025</v>
      </c>
      <c r="B224" s="9">
        <v>45754</v>
      </c>
      <c r="C224" s="9">
        <f>VLOOKUP(B224,Fact_Carrier_Weekly!C:D,2,0)</f>
        <v>45758</v>
      </c>
      <c r="D224" s="5">
        <f>SUMIF(Fact_Carrier_Weekly!$C:$C, $B224, Fact_Carrier_Weekly!$H:$H)</f>
        <v>2992</v>
      </c>
      <c r="E224" s="5">
        <f>SUMIF(Fact_Carrier_Weekly!$C:$C, $B224, Fact_Carrier_Weekly!$J:$J)</f>
        <v>101469</v>
      </c>
    </row>
    <row r="225" spans="1:5" x14ac:dyDescent="0.3">
      <c r="A225">
        <f t="shared" si="3"/>
        <v>2025</v>
      </c>
      <c r="B225" s="9">
        <v>45761</v>
      </c>
      <c r="C225" s="9">
        <f>VLOOKUP(B225,Fact_Carrier_Weekly!C:D,2,0)</f>
        <v>45765</v>
      </c>
      <c r="D225" s="5">
        <f>SUMIF(Fact_Carrier_Weekly!$C:$C, $B225, Fact_Carrier_Weekly!$H:$H)</f>
        <v>2965</v>
      </c>
      <c r="E225" s="5">
        <f>SUMIF(Fact_Carrier_Weekly!$C:$C, $B225, Fact_Carrier_Weekly!$J:$J)</f>
        <v>98755</v>
      </c>
    </row>
    <row r="226" spans="1:5" x14ac:dyDescent="0.3">
      <c r="A226">
        <f t="shared" si="3"/>
        <v>2025</v>
      </c>
      <c r="B226" s="9">
        <v>45768</v>
      </c>
      <c r="C226" s="9">
        <f>VLOOKUP(B226,Fact_Carrier_Weekly!C:D,2,0)</f>
        <v>45772</v>
      </c>
      <c r="D226" s="5">
        <f>SUMIF(Fact_Carrier_Weekly!$C:$C, $B226, Fact_Carrier_Weekly!$H:$H)</f>
        <v>2974</v>
      </c>
      <c r="E226" s="5">
        <f>SUMIF(Fact_Carrier_Weekly!$C:$C, $B226, Fact_Carrier_Weekly!$J:$J)</f>
        <v>104813</v>
      </c>
    </row>
    <row r="227" spans="1:5" x14ac:dyDescent="0.3">
      <c r="A227">
        <f t="shared" si="3"/>
        <v>2025</v>
      </c>
      <c r="B227" s="9">
        <v>45775</v>
      </c>
      <c r="C227" s="9">
        <f>VLOOKUP(B227,Fact_Carrier_Weekly!C:D,2,0)</f>
        <v>45779</v>
      </c>
      <c r="D227" s="5">
        <f>SUMIF(Fact_Carrier_Weekly!$C:$C, $B227, Fact_Carrier_Weekly!$H:$H)</f>
        <v>2962</v>
      </c>
      <c r="E227" s="5">
        <f>SUMIF(Fact_Carrier_Weekly!$C:$C, $B227, Fact_Carrier_Weekly!$J:$J)</f>
        <v>103472</v>
      </c>
    </row>
    <row r="228" spans="1:5" x14ac:dyDescent="0.3">
      <c r="A228">
        <f t="shared" si="3"/>
        <v>2025</v>
      </c>
      <c r="B228" s="9">
        <v>45782</v>
      </c>
      <c r="C228" s="9">
        <f>VLOOKUP(B228,Fact_Carrier_Weekly!C:D,2,0)</f>
        <v>45786</v>
      </c>
      <c r="D228" s="5">
        <f>SUMIF(Fact_Carrier_Weekly!$C:$C, $B228, Fact_Carrier_Weekly!$H:$H)</f>
        <v>2920</v>
      </c>
      <c r="E228" s="5">
        <f>SUMIF(Fact_Carrier_Weekly!$C:$C, $B228, Fact_Carrier_Weekly!$J:$J)</f>
        <v>102056</v>
      </c>
    </row>
    <row r="229" spans="1:5" x14ac:dyDescent="0.3">
      <c r="A229">
        <f t="shared" si="3"/>
        <v>2025</v>
      </c>
      <c r="B229" s="9">
        <v>45789</v>
      </c>
      <c r="C229" s="9">
        <f>VLOOKUP(B229,Fact_Carrier_Weekly!C:D,2,0)</f>
        <v>45793</v>
      </c>
      <c r="D229" s="5">
        <f>SUMIF(Fact_Carrier_Weekly!$C:$C, $B229, Fact_Carrier_Weekly!$H:$H)</f>
        <v>2938</v>
      </c>
      <c r="E229" s="5">
        <f>SUMIF(Fact_Carrier_Weekly!$C:$C, $B229, Fact_Carrier_Weekly!$J:$J)</f>
        <v>102617</v>
      </c>
    </row>
    <row r="230" spans="1:5" x14ac:dyDescent="0.3">
      <c r="A230">
        <f t="shared" si="3"/>
        <v>2025</v>
      </c>
      <c r="B230" s="9">
        <v>45796</v>
      </c>
      <c r="C230" s="9">
        <f>VLOOKUP(B230,Fact_Carrier_Weekly!C:D,2,0)</f>
        <v>45800</v>
      </c>
      <c r="D230" s="5">
        <f>SUMIF(Fact_Carrier_Weekly!$C:$C, $B230, Fact_Carrier_Weekly!$H:$H)</f>
        <v>2977</v>
      </c>
      <c r="E230" s="5">
        <f>SUMIF(Fact_Carrier_Weekly!$C:$C, $B230, Fact_Carrier_Weekly!$J:$J)</f>
        <v>102373</v>
      </c>
    </row>
    <row r="231" spans="1:5" x14ac:dyDescent="0.3">
      <c r="A231">
        <f t="shared" si="3"/>
        <v>2025</v>
      </c>
      <c r="B231" s="9">
        <v>45803</v>
      </c>
      <c r="C231" s="9">
        <f>VLOOKUP(B231,Fact_Carrier_Weekly!C:D,2,0)</f>
        <v>45807</v>
      </c>
      <c r="D231" s="5">
        <f>SUMIF(Fact_Carrier_Weekly!$C:$C, $B231, Fact_Carrier_Weekly!$H:$H)</f>
        <v>2985</v>
      </c>
      <c r="E231" s="5">
        <f>SUMIF(Fact_Carrier_Weekly!$C:$C, $B231, Fact_Carrier_Weekly!$J:$J)</f>
        <v>104671</v>
      </c>
    </row>
    <row r="232" spans="1:5" x14ac:dyDescent="0.3">
      <c r="A232">
        <f t="shared" si="3"/>
        <v>2025</v>
      </c>
      <c r="B232" s="9">
        <v>45810</v>
      </c>
      <c r="C232" s="9">
        <f>VLOOKUP(B232,Fact_Carrier_Weekly!C:D,2,0)</f>
        <v>45814</v>
      </c>
      <c r="D232" s="5">
        <f>SUMIF(Fact_Carrier_Weekly!$C:$C, $B232, Fact_Carrier_Weekly!$H:$H)</f>
        <v>2969</v>
      </c>
      <c r="E232" s="5">
        <f>SUMIF(Fact_Carrier_Weekly!$C:$C, $B232, Fact_Carrier_Weekly!$J:$J)</f>
        <v>103458</v>
      </c>
    </row>
    <row r="233" spans="1:5" x14ac:dyDescent="0.3">
      <c r="A233">
        <f t="shared" si="3"/>
        <v>2025</v>
      </c>
      <c r="B233" s="9">
        <v>45817</v>
      </c>
      <c r="C233" s="9">
        <f>VLOOKUP(B233,Fact_Carrier_Weekly!C:D,2,0)</f>
        <v>45821</v>
      </c>
      <c r="D233" s="5">
        <f>SUMIF(Fact_Carrier_Weekly!$C:$C, $B233, Fact_Carrier_Weekly!$H:$H)</f>
        <v>2971</v>
      </c>
      <c r="E233" s="5">
        <f>SUMIF(Fact_Carrier_Weekly!$C:$C, $B233, Fact_Carrier_Weekly!$J:$J)</f>
        <v>105165</v>
      </c>
    </row>
    <row r="234" spans="1:5" x14ac:dyDescent="0.3">
      <c r="A234">
        <f t="shared" si="3"/>
        <v>2025</v>
      </c>
      <c r="B234" s="9">
        <v>45824</v>
      </c>
      <c r="C234" s="9">
        <f>VLOOKUP(B234,Fact_Carrier_Weekly!C:D,2,0)</f>
        <v>45828</v>
      </c>
      <c r="D234" s="5">
        <f>SUMIF(Fact_Carrier_Weekly!$C:$C, $B234, Fact_Carrier_Weekly!$H:$H)</f>
        <v>2953</v>
      </c>
      <c r="E234" s="5">
        <f>SUMIF(Fact_Carrier_Weekly!$C:$C, $B234, Fact_Carrier_Weekly!$J:$J)</f>
        <v>104184</v>
      </c>
    </row>
    <row r="235" spans="1:5" x14ac:dyDescent="0.3">
      <c r="A235">
        <f t="shared" si="3"/>
        <v>2025</v>
      </c>
      <c r="B235" s="9">
        <v>45831</v>
      </c>
      <c r="C235" s="9">
        <f>VLOOKUP(B235,Fact_Carrier_Weekly!C:D,2,0)</f>
        <v>45835</v>
      </c>
      <c r="D235" s="5">
        <f>SUMIF(Fact_Carrier_Weekly!$C:$C, $B235, Fact_Carrier_Weekly!$H:$H)</f>
        <v>2935</v>
      </c>
      <c r="E235" s="5">
        <f>SUMIF(Fact_Carrier_Weekly!$C:$C, $B235, Fact_Carrier_Weekly!$J:$J)</f>
        <v>101541</v>
      </c>
    </row>
    <row r="236" spans="1:5" x14ac:dyDescent="0.3">
      <c r="A236">
        <f t="shared" si="3"/>
        <v>2025</v>
      </c>
      <c r="B236" s="9">
        <v>45839</v>
      </c>
      <c r="C236" s="9">
        <f>VLOOKUP(B236,Fact_Carrier_Weekly!C:D,2,0)</f>
        <v>45842</v>
      </c>
      <c r="D236" s="5">
        <f>SUMIF(Fact_Carrier_Weekly!$C:$C, $B236, Fact_Carrier_Weekly!$H:$H)</f>
        <v>2755</v>
      </c>
      <c r="E236" s="5">
        <f>SUMIF(Fact_Carrier_Weekly!$C:$C, $B236, Fact_Carrier_Weekly!$J:$J)</f>
        <v>88529</v>
      </c>
    </row>
    <row r="237" spans="1:5" x14ac:dyDescent="0.3">
      <c r="A237">
        <f t="shared" si="3"/>
        <v>2025</v>
      </c>
      <c r="B237" s="9">
        <v>45845</v>
      </c>
      <c r="C237" s="9">
        <f>VLOOKUP(B237,Fact_Carrier_Weekly!C:D,2,0)</f>
        <v>45849</v>
      </c>
      <c r="D237" s="5">
        <f>SUMIF(Fact_Carrier_Weekly!$C:$C, $B237, Fact_Carrier_Weekly!$H:$H)</f>
        <v>2914</v>
      </c>
      <c r="E237" s="5">
        <f>SUMIF(Fact_Carrier_Weekly!$C:$C, $B237, Fact_Carrier_Weekly!$J:$J)</f>
        <v>101389</v>
      </c>
    </row>
    <row r="238" spans="1:5" x14ac:dyDescent="0.3">
      <c r="A238">
        <f t="shared" si="3"/>
        <v>2025</v>
      </c>
      <c r="B238" s="9">
        <v>45852</v>
      </c>
      <c r="C238" s="9">
        <f>VLOOKUP(B238,Fact_Carrier_Weekly!C:D,2,0)</f>
        <v>45856</v>
      </c>
      <c r="D238" s="5">
        <f>SUMIF(Fact_Carrier_Weekly!$C:$C, $B238, Fact_Carrier_Weekly!$H:$H)</f>
        <v>3020</v>
      </c>
      <c r="E238" s="5">
        <f>SUMIF(Fact_Carrier_Weekly!$C:$C, $B238, Fact_Carrier_Weekly!$J:$J)</f>
        <v>105129</v>
      </c>
    </row>
    <row r="239" spans="1:5" x14ac:dyDescent="0.3">
      <c r="A239">
        <f t="shared" si="3"/>
        <v>2025</v>
      </c>
      <c r="B239" s="9">
        <v>45859</v>
      </c>
      <c r="C239" s="9">
        <f>VLOOKUP(B239,Fact_Carrier_Weekly!C:D,2,0)</f>
        <v>45863</v>
      </c>
      <c r="D239" s="5">
        <f>SUMIF(Fact_Carrier_Weekly!$C:$C, $B239, Fact_Carrier_Weekly!$H:$H)</f>
        <v>3028</v>
      </c>
      <c r="E239" s="5">
        <f>SUMIF(Fact_Carrier_Weekly!$C:$C, $B239, Fact_Carrier_Weekly!$J:$J)</f>
        <v>105934</v>
      </c>
    </row>
    <row r="240" spans="1:5" x14ac:dyDescent="0.3">
      <c r="A240">
        <f t="shared" si="3"/>
        <v>2025</v>
      </c>
      <c r="B240" s="9">
        <v>45866</v>
      </c>
      <c r="C240" s="9">
        <f>VLOOKUP(B240,Fact_Carrier_Weekly!C:D,2,0)</f>
        <v>45870</v>
      </c>
      <c r="D240" s="5">
        <f>SUMIF(Fact_Carrier_Weekly!$C:$C, $B240, Fact_Carrier_Weekly!$H:$H)</f>
        <v>3035</v>
      </c>
      <c r="E240" s="5">
        <f>SUMIF(Fact_Carrier_Weekly!$C:$C, $B240, Fact_Carrier_Weekly!$J:$J)</f>
        <v>101824</v>
      </c>
    </row>
    <row r="241" spans="3:4" x14ac:dyDescent="0.3">
      <c r="C241" s="9"/>
      <c r="D241" s="13"/>
    </row>
    <row r="242" spans="3:4" x14ac:dyDescent="0.3">
      <c r="C242" s="9"/>
    </row>
    <row r="243" spans="3:4" x14ac:dyDescent="0.3">
      <c r="C243" s="9"/>
    </row>
    <row r="244" spans="3:4" x14ac:dyDescent="0.3">
      <c r="C244" s="9"/>
    </row>
    <row r="245" spans="3:4" x14ac:dyDescent="0.3">
      <c r="C245" s="9"/>
    </row>
    <row r="246" spans="3:4" x14ac:dyDescent="0.3">
      <c r="C246" s="9"/>
    </row>
    <row r="247" spans="3:4" x14ac:dyDescent="0.3">
      <c r="C247" s="9"/>
    </row>
    <row r="248" spans="3:4" x14ac:dyDescent="0.3">
      <c r="C248" s="9"/>
    </row>
    <row r="249" spans="3:4" x14ac:dyDescent="0.3">
      <c r="C249" s="9"/>
    </row>
    <row r="250" spans="3:4" x14ac:dyDescent="0.3">
      <c r="C250" s="9"/>
    </row>
    <row r="251" spans="3:4" x14ac:dyDescent="0.3">
      <c r="C251" s="9"/>
    </row>
    <row r="252" spans="3:4" x14ac:dyDescent="0.3">
      <c r="C252" s="9"/>
    </row>
    <row r="253" spans="3:4" x14ac:dyDescent="0.3">
      <c r="C253" s="9"/>
    </row>
    <row r="254" spans="3:4" x14ac:dyDescent="0.3">
      <c r="C254" s="9"/>
    </row>
    <row r="255" spans="3:4" x14ac:dyDescent="0.3">
      <c r="C255" s="9"/>
    </row>
    <row r="256" spans="3:4" x14ac:dyDescent="0.3">
      <c r="C256" s="9"/>
    </row>
    <row r="257" spans="3:3" x14ac:dyDescent="0.3">
      <c r="C257" s="9"/>
    </row>
    <row r="258" spans="3:3" x14ac:dyDescent="0.3">
      <c r="C258" s="9"/>
    </row>
    <row r="259" spans="3:3" x14ac:dyDescent="0.3">
      <c r="C259" s="9"/>
    </row>
    <row r="260" spans="3:3" x14ac:dyDescent="0.3">
      <c r="C260" s="9"/>
    </row>
    <row r="261" spans="3:3" x14ac:dyDescent="0.3">
      <c r="C261" s="9"/>
    </row>
    <row r="262" spans="3:3" x14ac:dyDescent="0.3">
      <c r="C262" s="9"/>
    </row>
    <row r="263" spans="3:3" x14ac:dyDescent="0.3">
      <c r="C263" s="9"/>
    </row>
    <row r="264" spans="3:3" x14ac:dyDescent="0.3">
      <c r="C264" s="9"/>
    </row>
    <row r="265" spans="3:3" x14ac:dyDescent="0.3">
      <c r="C265" s="9"/>
    </row>
    <row r="266" spans="3:3" x14ac:dyDescent="0.3">
      <c r="C266" s="9"/>
    </row>
    <row r="267" spans="3:3" x14ac:dyDescent="0.3">
      <c r="C267" s="9"/>
    </row>
    <row r="268" spans="3:3" x14ac:dyDescent="0.3">
      <c r="C268" s="9"/>
    </row>
    <row r="269" spans="3:3" x14ac:dyDescent="0.3">
      <c r="C269" s="9"/>
    </row>
    <row r="270" spans="3:3" x14ac:dyDescent="0.3">
      <c r="C270" s="9"/>
    </row>
    <row r="271" spans="3:3" x14ac:dyDescent="0.3">
      <c r="C271" s="9"/>
    </row>
    <row r="272" spans="3:3" x14ac:dyDescent="0.3">
      <c r="C272" s="9"/>
    </row>
    <row r="273" spans="3:3" x14ac:dyDescent="0.3">
      <c r="C273" s="9"/>
    </row>
    <row r="274" spans="3:3" x14ac:dyDescent="0.3">
      <c r="C274" s="9"/>
    </row>
    <row r="275" spans="3:3" x14ac:dyDescent="0.3">
      <c r="C275" s="9"/>
    </row>
    <row r="276" spans="3:3" x14ac:dyDescent="0.3">
      <c r="C276" s="9"/>
    </row>
    <row r="277" spans="3:3" x14ac:dyDescent="0.3">
      <c r="C277" s="9"/>
    </row>
    <row r="278" spans="3:3" x14ac:dyDescent="0.3">
      <c r="C278" s="9"/>
    </row>
    <row r="279" spans="3:3" x14ac:dyDescent="0.3">
      <c r="C279" s="9"/>
    </row>
    <row r="280" spans="3:3" x14ac:dyDescent="0.3">
      <c r="C280" s="9"/>
    </row>
    <row r="281" spans="3:3" x14ac:dyDescent="0.3">
      <c r="C281" s="9"/>
    </row>
    <row r="282" spans="3:3" x14ac:dyDescent="0.3">
      <c r="C282" s="9"/>
    </row>
    <row r="283" spans="3:3" x14ac:dyDescent="0.3">
      <c r="C283" s="9"/>
    </row>
    <row r="284" spans="3:3" x14ac:dyDescent="0.3">
      <c r="C284" s="9"/>
    </row>
    <row r="285" spans="3:3" x14ac:dyDescent="0.3">
      <c r="C285" s="9"/>
    </row>
    <row r="286" spans="3:3" x14ac:dyDescent="0.3">
      <c r="C286" s="9"/>
    </row>
    <row r="287" spans="3:3" x14ac:dyDescent="0.3">
      <c r="C287" s="9"/>
    </row>
    <row r="288" spans="3:3" x14ac:dyDescent="0.3">
      <c r="C288" s="9"/>
    </row>
    <row r="289" spans="3:3" x14ac:dyDescent="0.3">
      <c r="C289" s="9"/>
    </row>
    <row r="290" spans="3:3" x14ac:dyDescent="0.3">
      <c r="C290" s="9"/>
    </row>
    <row r="291" spans="3:3" x14ac:dyDescent="0.3">
      <c r="C291" s="9"/>
    </row>
    <row r="292" spans="3:3" x14ac:dyDescent="0.3">
      <c r="C292" s="9"/>
    </row>
    <row r="293" spans="3:3" x14ac:dyDescent="0.3">
      <c r="C293" s="9"/>
    </row>
    <row r="294" spans="3:3" x14ac:dyDescent="0.3">
      <c r="C294" s="9"/>
    </row>
    <row r="295" spans="3:3" x14ac:dyDescent="0.3">
      <c r="C295" s="9"/>
    </row>
    <row r="296" spans="3:3" x14ac:dyDescent="0.3">
      <c r="C296" s="9"/>
    </row>
    <row r="297" spans="3:3" x14ac:dyDescent="0.3">
      <c r="C297" s="9"/>
    </row>
    <row r="298" spans="3:3" x14ac:dyDescent="0.3">
      <c r="C298" s="9"/>
    </row>
    <row r="299" spans="3:3" x14ac:dyDescent="0.3">
      <c r="C299" s="9"/>
    </row>
    <row r="300" spans="3:3" x14ac:dyDescent="0.3">
      <c r="C300" s="9"/>
    </row>
    <row r="301" spans="3:3" x14ac:dyDescent="0.3">
      <c r="C301" s="9"/>
    </row>
    <row r="302" spans="3:3" x14ac:dyDescent="0.3">
      <c r="C302" s="9"/>
    </row>
    <row r="303" spans="3:3" x14ac:dyDescent="0.3">
      <c r="C303" s="9"/>
    </row>
    <row r="304" spans="3:3" x14ac:dyDescent="0.3">
      <c r="C304" s="9"/>
    </row>
    <row r="305" spans="3:3" x14ac:dyDescent="0.3">
      <c r="C305" s="9"/>
    </row>
    <row r="306" spans="3:3" x14ac:dyDescent="0.3">
      <c r="C306" s="9"/>
    </row>
    <row r="307" spans="3:3" x14ac:dyDescent="0.3">
      <c r="C307" s="9"/>
    </row>
    <row r="308" spans="3:3" x14ac:dyDescent="0.3">
      <c r="C308" s="9"/>
    </row>
    <row r="309" spans="3:3" x14ac:dyDescent="0.3">
      <c r="C309" s="9"/>
    </row>
    <row r="310" spans="3:3" x14ac:dyDescent="0.3">
      <c r="C310" s="9"/>
    </row>
    <row r="311" spans="3:3" x14ac:dyDescent="0.3">
      <c r="C311" s="9"/>
    </row>
    <row r="312" spans="3:3" x14ac:dyDescent="0.3">
      <c r="C312" s="9"/>
    </row>
    <row r="313" spans="3:3" x14ac:dyDescent="0.3">
      <c r="C313" s="9"/>
    </row>
    <row r="314" spans="3:3" x14ac:dyDescent="0.3">
      <c r="C314" s="9"/>
    </row>
    <row r="315" spans="3:3" x14ac:dyDescent="0.3">
      <c r="C315" s="9"/>
    </row>
    <row r="316" spans="3:3" x14ac:dyDescent="0.3">
      <c r="C316" s="9"/>
    </row>
    <row r="317" spans="3:3" x14ac:dyDescent="0.3">
      <c r="C317" s="9"/>
    </row>
    <row r="318" spans="3:3" x14ac:dyDescent="0.3">
      <c r="C318" s="9"/>
    </row>
    <row r="319" spans="3:3" x14ac:dyDescent="0.3">
      <c r="C319" s="9"/>
    </row>
    <row r="320" spans="3:3" x14ac:dyDescent="0.3">
      <c r="C320" s="9"/>
    </row>
    <row r="321" spans="3:3" x14ac:dyDescent="0.3">
      <c r="C321" s="9"/>
    </row>
    <row r="322" spans="3:3" x14ac:dyDescent="0.3">
      <c r="C322" s="9"/>
    </row>
    <row r="323" spans="3:3" x14ac:dyDescent="0.3">
      <c r="C323" s="9"/>
    </row>
    <row r="324" spans="3:3" x14ac:dyDescent="0.3">
      <c r="C324" s="9"/>
    </row>
    <row r="325" spans="3:3" x14ac:dyDescent="0.3">
      <c r="C325" s="9"/>
    </row>
    <row r="326" spans="3:3" x14ac:dyDescent="0.3">
      <c r="C326" s="9"/>
    </row>
    <row r="327" spans="3:3" x14ac:dyDescent="0.3">
      <c r="C327" s="9"/>
    </row>
    <row r="328" spans="3:3" x14ac:dyDescent="0.3">
      <c r="C328" s="9"/>
    </row>
    <row r="329" spans="3:3" x14ac:dyDescent="0.3">
      <c r="C329" s="9"/>
    </row>
    <row r="330" spans="3:3" x14ac:dyDescent="0.3">
      <c r="C330" s="9"/>
    </row>
    <row r="331" spans="3:3" x14ac:dyDescent="0.3">
      <c r="C331" s="9"/>
    </row>
    <row r="332" spans="3:3" x14ac:dyDescent="0.3">
      <c r="C332" s="9"/>
    </row>
    <row r="333" spans="3:3" x14ac:dyDescent="0.3">
      <c r="C333" s="9"/>
    </row>
    <row r="334" spans="3:3" x14ac:dyDescent="0.3">
      <c r="C334" s="9"/>
    </row>
    <row r="335" spans="3:3" x14ac:dyDescent="0.3">
      <c r="C335" s="9"/>
    </row>
    <row r="336" spans="3:3" x14ac:dyDescent="0.3">
      <c r="C336" s="9"/>
    </row>
    <row r="337" spans="3:3" x14ac:dyDescent="0.3">
      <c r="C337" s="9"/>
    </row>
    <row r="338" spans="3:3" x14ac:dyDescent="0.3">
      <c r="C338" s="9"/>
    </row>
    <row r="339" spans="3:3" x14ac:dyDescent="0.3">
      <c r="C339" s="9"/>
    </row>
    <row r="340" spans="3:3" x14ac:dyDescent="0.3">
      <c r="C340" s="9"/>
    </row>
    <row r="341" spans="3:3" x14ac:dyDescent="0.3">
      <c r="C341" s="9"/>
    </row>
    <row r="342" spans="3:3" x14ac:dyDescent="0.3">
      <c r="C342" s="9"/>
    </row>
    <row r="343" spans="3:3" x14ac:dyDescent="0.3">
      <c r="C343" s="9"/>
    </row>
    <row r="344" spans="3:3" x14ac:dyDescent="0.3">
      <c r="C344" s="9"/>
    </row>
    <row r="345" spans="3:3" x14ac:dyDescent="0.3">
      <c r="C345" s="9"/>
    </row>
    <row r="346" spans="3:3" x14ac:dyDescent="0.3">
      <c r="C346" s="9"/>
    </row>
    <row r="347" spans="3:3" x14ac:dyDescent="0.3">
      <c r="C347" s="9"/>
    </row>
    <row r="348" spans="3:3" x14ac:dyDescent="0.3">
      <c r="C348" s="9"/>
    </row>
    <row r="349" spans="3:3" x14ac:dyDescent="0.3">
      <c r="C349" s="9"/>
    </row>
    <row r="350" spans="3:3" x14ac:dyDescent="0.3">
      <c r="C350" s="9"/>
    </row>
    <row r="351" spans="3:3" x14ac:dyDescent="0.3">
      <c r="C351" s="9"/>
    </row>
    <row r="352" spans="3:3" x14ac:dyDescent="0.3">
      <c r="C352" s="9"/>
    </row>
    <row r="353" spans="3:3" x14ac:dyDescent="0.3">
      <c r="C353" s="9"/>
    </row>
    <row r="354" spans="3:3" x14ac:dyDescent="0.3">
      <c r="C354" s="9"/>
    </row>
    <row r="355" spans="3:3" x14ac:dyDescent="0.3">
      <c r="C355" s="9"/>
    </row>
    <row r="356" spans="3:3" x14ac:dyDescent="0.3">
      <c r="C356" s="9"/>
    </row>
    <row r="357" spans="3:3" x14ac:dyDescent="0.3">
      <c r="C357" s="9"/>
    </row>
    <row r="358" spans="3:3" x14ac:dyDescent="0.3">
      <c r="C358" s="9"/>
    </row>
    <row r="359" spans="3:3" x14ac:dyDescent="0.3">
      <c r="C359" s="9"/>
    </row>
    <row r="360" spans="3:3" x14ac:dyDescent="0.3">
      <c r="C360" s="9"/>
    </row>
    <row r="361" spans="3:3" x14ac:dyDescent="0.3">
      <c r="C361" s="9"/>
    </row>
    <row r="362" spans="3:3" x14ac:dyDescent="0.3">
      <c r="C362" s="9"/>
    </row>
    <row r="363" spans="3:3" x14ac:dyDescent="0.3">
      <c r="C363" s="9"/>
    </row>
    <row r="364" spans="3:3" x14ac:dyDescent="0.3">
      <c r="C364" s="9"/>
    </row>
    <row r="365" spans="3:3" x14ac:dyDescent="0.3">
      <c r="C365" s="9"/>
    </row>
    <row r="366" spans="3:3" x14ac:dyDescent="0.3">
      <c r="C366" s="9"/>
    </row>
    <row r="367" spans="3:3" x14ac:dyDescent="0.3">
      <c r="C367" s="9"/>
    </row>
    <row r="368" spans="3:3" x14ac:dyDescent="0.3">
      <c r="C368" s="9"/>
    </row>
    <row r="369" spans="3:3" x14ac:dyDescent="0.3">
      <c r="C369" s="9"/>
    </row>
    <row r="370" spans="3:3" x14ac:dyDescent="0.3">
      <c r="C370" s="9"/>
    </row>
    <row r="371" spans="3:3" x14ac:dyDescent="0.3">
      <c r="C371" s="9"/>
    </row>
    <row r="372" spans="3:3" x14ac:dyDescent="0.3">
      <c r="C372" s="9"/>
    </row>
    <row r="373" spans="3:3" x14ac:dyDescent="0.3">
      <c r="C373" s="9"/>
    </row>
    <row r="374" spans="3:3" x14ac:dyDescent="0.3">
      <c r="C374" s="9"/>
    </row>
    <row r="375" spans="3:3" x14ac:dyDescent="0.3">
      <c r="C375" s="9"/>
    </row>
    <row r="376" spans="3:3" x14ac:dyDescent="0.3">
      <c r="C376" s="9"/>
    </row>
    <row r="377" spans="3:3" x14ac:dyDescent="0.3">
      <c r="C377" s="9"/>
    </row>
    <row r="378" spans="3:3" x14ac:dyDescent="0.3">
      <c r="C378" s="9"/>
    </row>
    <row r="379" spans="3:3" x14ac:dyDescent="0.3">
      <c r="C379" s="9"/>
    </row>
    <row r="380" spans="3:3" x14ac:dyDescent="0.3">
      <c r="C380" s="9"/>
    </row>
    <row r="381" spans="3:3" x14ac:dyDescent="0.3">
      <c r="C381" s="9"/>
    </row>
    <row r="382" spans="3:3" x14ac:dyDescent="0.3">
      <c r="C382" s="9"/>
    </row>
    <row r="383" spans="3:3" x14ac:dyDescent="0.3">
      <c r="C383" s="9"/>
    </row>
    <row r="384" spans="3:3" x14ac:dyDescent="0.3">
      <c r="C384" s="9"/>
    </row>
    <row r="385" spans="3:3" x14ac:dyDescent="0.3">
      <c r="C385" s="9"/>
    </row>
    <row r="386" spans="3:3" x14ac:dyDescent="0.3">
      <c r="C386" s="9"/>
    </row>
    <row r="387" spans="3:3" x14ac:dyDescent="0.3">
      <c r="C387" s="9"/>
    </row>
    <row r="388" spans="3:3" x14ac:dyDescent="0.3">
      <c r="C388" s="9"/>
    </row>
    <row r="389" spans="3:3" x14ac:dyDescent="0.3">
      <c r="C389" s="9"/>
    </row>
    <row r="390" spans="3:3" x14ac:dyDescent="0.3">
      <c r="C390" s="9"/>
    </row>
    <row r="391" spans="3:3" x14ac:dyDescent="0.3">
      <c r="C391" s="9"/>
    </row>
    <row r="392" spans="3:3" x14ac:dyDescent="0.3">
      <c r="C392" s="9"/>
    </row>
    <row r="393" spans="3:3" x14ac:dyDescent="0.3">
      <c r="C393" s="9"/>
    </row>
    <row r="394" spans="3:3" x14ac:dyDescent="0.3">
      <c r="C394" s="9"/>
    </row>
    <row r="395" spans="3:3" x14ac:dyDescent="0.3">
      <c r="C395" s="9"/>
    </row>
    <row r="396" spans="3:3" x14ac:dyDescent="0.3">
      <c r="C396" s="9"/>
    </row>
    <row r="397" spans="3:3" x14ac:dyDescent="0.3">
      <c r="C397" s="9"/>
    </row>
    <row r="398" spans="3:3" x14ac:dyDescent="0.3">
      <c r="C398" s="9"/>
    </row>
    <row r="399" spans="3:3" x14ac:dyDescent="0.3">
      <c r="C399" s="9"/>
    </row>
    <row r="400" spans="3:3" x14ac:dyDescent="0.3">
      <c r="C400" s="9"/>
    </row>
    <row r="401" spans="3:3" x14ac:dyDescent="0.3">
      <c r="C401" s="9"/>
    </row>
    <row r="402" spans="3:3" x14ac:dyDescent="0.3">
      <c r="C402" s="9"/>
    </row>
    <row r="403" spans="3:3" x14ac:dyDescent="0.3">
      <c r="C403" s="9"/>
    </row>
    <row r="404" spans="3:3" x14ac:dyDescent="0.3">
      <c r="C404" s="9"/>
    </row>
    <row r="405" spans="3:3" x14ac:dyDescent="0.3">
      <c r="C405" s="9"/>
    </row>
    <row r="406" spans="3:3" x14ac:dyDescent="0.3">
      <c r="C406" s="9"/>
    </row>
    <row r="407" spans="3:3" x14ac:dyDescent="0.3">
      <c r="C407" s="9"/>
    </row>
    <row r="408" spans="3:3" x14ac:dyDescent="0.3">
      <c r="C408" s="9"/>
    </row>
    <row r="409" spans="3:3" x14ac:dyDescent="0.3">
      <c r="C409" s="9"/>
    </row>
    <row r="410" spans="3:3" x14ac:dyDescent="0.3">
      <c r="C410" s="9"/>
    </row>
    <row r="411" spans="3:3" x14ac:dyDescent="0.3">
      <c r="C411" s="9"/>
    </row>
    <row r="412" spans="3:3" x14ac:dyDescent="0.3">
      <c r="C412" s="9"/>
    </row>
    <row r="413" spans="3:3" x14ac:dyDescent="0.3">
      <c r="C413" s="9"/>
    </row>
    <row r="414" spans="3:3" x14ac:dyDescent="0.3">
      <c r="C414" s="9"/>
    </row>
    <row r="415" spans="3:3" x14ac:dyDescent="0.3">
      <c r="C415" s="9"/>
    </row>
    <row r="416" spans="3:3" x14ac:dyDescent="0.3">
      <c r="C416" s="9"/>
    </row>
    <row r="417" spans="3:3" x14ac:dyDescent="0.3">
      <c r="C417" s="9"/>
    </row>
    <row r="418" spans="3:3" x14ac:dyDescent="0.3">
      <c r="C418" s="9"/>
    </row>
    <row r="419" spans="3:3" x14ac:dyDescent="0.3">
      <c r="C419" s="9"/>
    </row>
    <row r="420" spans="3:3" x14ac:dyDescent="0.3">
      <c r="C420" s="9"/>
    </row>
    <row r="421" spans="3:3" x14ac:dyDescent="0.3">
      <c r="C421" s="9"/>
    </row>
    <row r="422" spans="3:3" x14ac:dyDescent="0.3">
      <c r="C422" s="9"/>
    </row>
    <row r="423" spans="3:3" x14ac:dyDescent="0.3">
      <c r="C423" s="9"/>
    </row>
    <row r="424" spans="3:3" x14ac:dyDescent="0.3">
      <c r="C424" s="9"/>
    </row>
    <row r="425" spans="3:3" x14ac:dyDescent="0.3">
      <c r="C425" s="9"/>
    </row>
    <row r="426" spans="3:3" x14ac:dyDescent="0.3">
      <c r="C426" s="9"/>
    </row>
    <row r="427" spans="3:3" x14ac:dyDescent="0.3">
      <c r="C427" s="9"/>
    </row>
    <row r="428" spans="3:3" x14ac:dyDescent="0.3">
      <c r="C428" s="9"/>
    </row>
    <row r="429" spans="3:3" x14ac:dyDescent="0.3">
      <c r="C429" s="9"/>
    </row>
    <row r="430" spans="3:3" x14ac:dyDescent="0.3">
      <c r="C430" s="9"/>
    </row>
    <row r="431" spans="3:3" x14ac:dyDescent="0.3">
      <c r="C431" s="9"/>
    </row>
    <row r="432" spans="3:3" x14ac:dyDescent="0.3">
      <c r="C432" s="9"/>
    </row>
    <row r="433" spans="3:3" x14ac:dyDescent="0.3">
      <c r="C433" s="9"/>
    </row>
    <row r="434" spans="3:3" x14ac:dyDescent="0.3">
      <c r="C434" s="9"/>
    </row>
    <row r="435" spans="3:3" x14ac:dyDescent="0.3">
      <c r="C435" s="9"/>
    </row>
    <row r="436" spans="3:3" x14ac:dyDescent="0.3">
      <c r="C436" s="9"/>
    </row>
    <row r="437" spans="3:3" x14ac:dyDescent="0.3">
      <c r="C437" s="9"/>
    </row>
    <row r="438" spans="3:3" x14ac:dyDescent="0.3">
      <c r="C438" s="9"/>
    </row>
    <row r="439" spans="3:3" x14ac:dyDescent="0.3">
      <c r="C439" s="9"/>
    </row>
    <row r="440" spans="3:3" x14ac:dyDescent="0.3">
      <c r="C440" s="9"/>
    </row>
    <row r="441" spans="3:3" x14ac:dyDescent="0.3">
      <c r="C441" s="9"/>
    </row>
    <row r="442" spans="3:3" x14ac:dyDescent="0.3">
      <c r="C442" s="9"/>
    </row>
    <row r="443" spans="3:3" x14ac:dyDescent="0.3">
      <c r="C443" s="9"/>
    </row>
    <row r="444" spans="3:3" x14ac:dyDescent="0.3">
      <c r="C444" s="9"/>
    </row>
    <row r="445" spans="3:3" x14ac:dyDescent="0.3">
      <c r="C445" s="9"/>
    </row>
    <row r="446" spans="3:3" x14ac:dyDescent="0.3">
      <c r="C446" s="9"/>
    </row>
    <row r="447" spans="3:3" x14ac:dyDescent="0.3">
      <c r="C447" s="9"/>
    </row>
    <row r="448" spans="3:3" x14ac:dyDescent="0.3">
      <c r="C448" s="9"/>
    </row>
    <row r="449" spans="3:3" x14ac:dyDescent="0.3">
      <c r="C449" s="9"/>
    </row>
    <row r="450" spans="3:3" x14ac:dyDescent="0.3">
      <c r="C450" s="9"/>
    </row>
    <row r="451" spans="3:3" x14ac:dyDescent="0.3">
      <c r="C451" s="9"/>
    </row>
    <row r="452" spans="3:3" x14ac:dyDescent="0.3">
      <c r="C452" s="9"/>
    </row>
    <row r="453" spans="3:3" x14ac:dyDescent="0.3">
      <c r="C453" s="9"/>
    </row>
    <row r="454" spans="3:3" x14ac:dyDescent="0.3">
      <c r="C454" s="9"/>
    </row>
    <row r="455" spans="3:3" x14ac:dyDescent="0.3">
      <c r="C455" s="9"/>
    </row>
    <row r="456" spans="3:3" x14ac:dyDescent="0.3">
      <c r="C456" s="9"/>
    </row>
    <row r="457" spans="3:3" x14ac:dyDescent="0.3">
      <c r="C457" s="9"/>
    </row>
    <row r="458" spans="3:3" x14ac:dyDescent="0.3">
      <c r="C458" s="9"/>
    </row>
    <row r="459" spans="3:3" x14ac:dyDescent="0.3">
      <c r="C459" s="9"/>
    </row>
    <row r="460" spans="3:3" x14ac:dyDescent="0.3">
      <c r="C460" s="9"/>
    </row>
    <row r="461" spans="3:3" x14ac:dyDescent="0.3">
      <c r="C461" s="9"/>
    </row>
    <row r="462" spans="3:3" x14ac:dyDescent="0.3">
      <c r="C462" s="9"/>
    </row>
    <row r="463" spans="3:3" x14ac:dyDescent="0.3">
      <c r="C463" s="9"/>
    </row>
    <row r="464" spans="3:3" x14ac:dyDescent="0.3">
      <c r="C464" s="9"/>
    </row>
    <row r="465" spans="3:3" x14ac:dyDescent="0.3">
      <c r="C465" s="9"/>
    </row>
    <row r="466" spans="3:3" x14ac:dyDescent="0.3">
      <c r="C466" s="9"/>
    </row>
    <row r="467" spans="3:3" x14ac:dyDescent="0.3">
      <c r="C467" s="9"/>
    </row>
    <row r="468" spans="3:3" x14ac:dyDescent="0.3">
      <c r="C468" s="9"/>
    </row>
    <row r="469" spans="3:3" x14ac:dyDescent="0.3">
      <c r="C469" s="9"/>
    </row>
    <row r="470" spans="3:3" x14ac:dyDescent="0.3">
      <c r="C470" s="9"/>
    </row>
    <row r="471" spans="3:3" x14ac:dyDescent="0.3">
      <c r="C471" s="9"/>
    </row>
    <row r="472" spans="3:3" x14ac:dyDescent="0.3">
      <c r="C472" s="9"/>
    </row>
    <row r="473" spans="3:3" x14ac:dyDescent="0.3">
      <c r="C473" s="9"/>
    </row>
    <row r="474" spans="3:3" x14ac:dyDescent="0.3">
      <c r="C474" s="9"/>
    </row>
    <row r="475" spans="3:3" x14ac:dyDescent="0.3">
      <c r="C475" s="9"/>
    </row>
    <row r="476" spans="3:3" x14ac:dyDescent="0.3">
      <c r="C476" s="9"/>
    </row>
    <row r="477" spans="3:3" x14ac:dyDescent="0.3">
      <c r="C477" s="9"/>
    </row>
    <row r="478" spans="3:3" x14ac:dyDescent="0.3">
      <c r="C478" s="9"/>
    </row>
    <row r="479" spans="3:3" x14ac:dyDescent="0.3">
      <c r="C479" s="9"/>
    </row>
    <row r="480" spans="3:3" x14ac:dyDescent="0.3">
      <c r="C480" s="9"/>
    </row>
    <row r="481" spans="3:3" x14ac:dyDescent="0.3">
      <c r="C481" s="9"/>
    </row>
    <row r="482" spans="3:3" x14ac:dyDescent="0.3">
      <c r="C482" s="9"/>
    </row>
    <row r="483" spans="3:3" x14ac:dyDescent="0.3">
      <c r="C483" s="9"/>
    </row>
    <row r="484" spans="3:3" x14ac:dyDescent="0.3">
      <c r="C484" s="9"/>
    </row>
    <row r="485" spans="3:3" x14ac:dyDescent="0.3">
      <c r="C485" s="9"/>
    </row>
    <row r="486" spans="3:3" x14ac:dyDescent="0.3">
      <c r="C486" s="9"/>
    </row>
    <row r="487" spans="3:3" x14ac:dyDescent="0.3">
      <c r="C487" s="9"/>
    </row>
    <row r="488" spans="3:3" x14ac:dyDescent="0.3">
      <c r="C488" s="9"/>
    </row>
    <row r="489" spans="3:3" x14ac:dyDescent="0.3">
      <c r="C489" s="9"/>
    </row>
    <row r="490" spans="3:3" x14ac:dyDescent="0.3">
      <c r="C490" s="9"/>
    </row>
    <row r="491" spans="3:3" x14ac:dyDescent="0.3">
      <c r="C491" s="9"/>
    </row>
    <row r="492" spans="3:3" x14ac:dyDescent="0.3">
      <c r="C492" s="9"/>
    </row>
    <row r="493" spans="3:3" x14ac:dyDescent="0.3">
      <c r="C493" s="9"/>
    </row>
    <row r="494" spans="3:3" x14ac:dyDescent="0.3">
      <c r="C494" s="9"/>
    </row>
    <row r="495" spans="3:3" x14ac:dyDescent="0.3">
      <c r="C495" s="9"/>
    </row>
    <row r="496" spans="3:3" x14ac:dyDescent="0.3">
      <c r="C496" s="9"/>
    </row>
    <row r="497" spans="3:3" x14ac:dyDescent="0.3">
      <c r="C497" s="9"/>
    </row>
    <row r="498" spans="3:3" x14ac:dyDescent="0.3">
      <c r="C498" s="9"/>
    </row>
    <row r="499" spans="3:3" x14ac:dyDescent="0.3">
      <c r="C499" s="9"/>
    </row>
    <row r="500" spans="3:3" x14ac:dyDescent="0.3">
      <c r="C500" s="9"/>
    </row>
    <row r="501" spans="3:3" x14ac:dyDescent="0.3">
      <c r="C501" s="9"/>
    </row>
    <row r="502" spans="3:3" x14ac:dyDescent="0.3">
      <c r="C502" s="9"/>
    </row>
    <row r="503" spans="3:3" x14ac:dyDescent="0.3">
      <c r="C503" s="9"/>
    </row>
    <row r="504" spans="3:3" x14ac:dyDescent="0.3">
      <c r="C504" s="9"/>
    </row>
    <row r="505" spans="3:3" x14ac:dyDescent="0.3">
      <c r="C505" s="9"/>
    </row>
    <row r="506" spans="3:3" x14ac:dyDescent="0.3">
      <c r="C506" s="9"/>
    </row>
    <row r="507" spans="3:3" x14ac:dyDescent="0.3">
      <c r="C507" s="9"/>
    </row>
    <row r="508" spans="3:3" x14ac:dyDescent="0.3">
      <c r="C508" s="9"/>
    </row>
    <row r="509" spans="3:3" x14ac:dyDescent="0.3">
      <c r="C509" s="9"/>
    </row>
    <row r="510" spans="3:3" x14ac:dyDescent="0.3">
      <c r="C510" s="9"/>
    </row>
    <row r="511" spans="3:3" x14ac:dyDescent="0.3">
      <c r="C511" s="9"/>
    </row>
    <row r="512" spans="3:3" x14ac:dyDescent="0.3">
      <c r="C512" s="9"/>
    </row>
    <row r="513" spans="3:3" x14ac:dyDescent="0.3">
      <c r="C513" s="9"/>
    </row>
    <row r="514" spans="3:3" x14ac:dyDescent="0.3">
      <c r="C514" s="9"/>
    </row>
    <row r="515" spans="3:3" x14ac:dyDescent="0.3">
      <c r="C515" s="9"/>
    </row>
    <row r="516" spans="3:3" x14ac:dyDescent="0.3">
      <c r="C516" s="9"/>
    </row>
    <row r="517" spans="3:3" x14ac:dyDescent="0.3">
      <c r="C517" s="9"/>
    </row>
    <row r="518" spans="3:3" x14ac:dyDescent="0.3">
      <c r="C518" s="9"/>
    </row>
    <row r="519" spans="3:3" x14ac:dyDescent="0.3">
      <c r="C519" s="9"/>
    </row>
    <row r="520" spans="3:3" x14ac:dyDescent="0.3">
      <c r="C520" s="9"/>
    </row>
    <row r="521" spans="3:3" x14ac:dyDescent="0.3">
      <c r="C521" s="9"/>
    </row>
    <row r="522" spans="3:3" x14ac:dyDescent="0.3">
      <c r="C522" s="9"/>
    </row>
    <row r="523" spans="3:3" x14ac:dyDescent="0.3">
      <c r="C523" s="9"/>
    </row>
    <row r="524" spans="3:3" x14ac:dyDescent="0.3">
      <c r="C524" s="9"/>
    </row>
    <row r="525" spans="3:3" x14ac:dyDescent="0.3">
      <c r="C525" s="9"/>
    </row>
    <row r="526" spans="3:3" x14ac:dyDescent="0.3">
      <c r="C526" s="9"/>
    </row>
    <row r="527" spans="3:3" x14ac:dyDescent="0.3">
      <c r="C527" s="9"/>
    </row>
    <row r="528" spans="3:3" x14ac:dyDescent="0.3">
      <c r="C528" s="9"/>
    </row>
    <row r="529" spans="3:3" x14ac:dyDescent="0.3">
      <c r="C529" s="9"/>
    </row>
    <row r="530" spans="3:3" x14ac:dyDescent="0.3">
      <c r="C530" s="9"/>
    </row>
    <row r="531" spans="3:3" x14ac:dyDescent="0.3">
      <c r="C531" s="9"/>
    </row>
    <row r="532" spans="3:3" x14ac:dyDescent="0.3">
      <c r="C532" s="9"/>
    </row>
    <row r="533" spans="3:3" x14ac:dyDescent="0.3">
      <c r="C533" s="9"/>
    </row>
    <row r="534" spans="3:3" x14ac:dyDescent="0.3">
      <c r="C534" s="9"/>
    </row>
    <row r="535" spans="3:3" x14ac:dyDescent="0.3">
      <c r="C535" s="9"/>
    </row>
    <row r="536" spans="3:3" x14ac:dyDescent="0.3">
      <c r="C536" s="9"/>
    </row>
    <row r="537" spans="3:3" x14ac:dyDescent="0.3">
      <c r="C537" s="9"/>
    </row>
    <row r="538" spans="3:3" x14ac:dyDescent="0.3">
      <c r="C538" s="9"/>
    </row>
    <row r="539" spans="3:3" x14ac:dyDescent="0.3">
      <c r="C539" s="9"/>
    </row>
    <row r="540" spans="3:3" x14ac:dyDescent="0.3">
      <c r="C540" s="9"/>
    </row>
    <row r="541" spans="3:3" x14ac:dyDescent="0.3">
      <c r="C541" s="9"/>
    </row>
    <row r="542" spans="3:3" x14ac:dyDescent="0.3">
      <c r="C542" s="9"/>
    </row>
    <row r="543" spans="3:3" x14ac:dyDescent="0.3">
      <c r="C543" s="9"/>
    </row>
    <row r="544" spans="3:3" x14ac:dyDescent="0.3">
      <c r="C544" s="9"/>
    </row>
    <row r="545" spans="3:3" x14ac:dyDescent="0.3">
      <c r="C545" s="9"/>
    </row>
    <row r="546" spans="3:3" x14ac:dyDescent="0.3">
      <c r="C546" s="9"/>
    </row>
    <row r="547" spans="3:3" x14ac:dyDescent="0.3">
      <c r="C547" s="9"/>
    </row>
    <row r="548" spans="3:3" x14ac:dyDescent="0.3">
      <c r="C548" s="9"/>
    </row>
    <row r="549" spans="3:3" x14ac:dyDescent="0.3">
      <c r="C549" s="9"/>
    </row>
    <row r="550" spans="3:3" x14ac:dyDescent="0.3">
      <c r="C550" s="9"/>
    </row>
    <row r="551" spans="3:3" x14ac:dyDescent="0.3">
      <c r="C551" s="9"/>
    </row>
    <row r="552" spans="3:3" x14ac:dyDescent="0.3">
      <c r="C552" s="9"/>
    </row>
    <row r="553" spans="3:3" x14ac:dyDescent="0.3">
      <c r="C553" s="9"/>
    </row>
    <row r="554" spans="3:3" x14ac:dyDescent="0.3">
      <c r="C554" s="9"/>
    </row>
    <row r="555" spans="3:3" x14ac:dyDescent="0.3">
      <c r="C555" s="9"/>
    </row>
    <row r="556" spans="3:3" x14ac:dyDescent="0.3">
      <c r="C556" s="9"/>
    </row>
    <row r="557" spans="3:3" x14ac:dyDescent="0.3">
      <c r="C557" s="9"/>
    </row>
    <row r="558" spans="3:3" x14ac:dyDescent="0.3">
      <c r="C558" s="9"/>
    </row>
    <row r="559" spans="3:3" x14ac:dyDescent="0.3">
      <c r="C559" s="9"/>
    </row>
    <row r="560" spans="3:3" x14ac:dyDescent="0.3">
      <c r="C560" s="9"/>
    </row>
    <row r="561" spans="3:3" x14ac:dyDescent="0.3">
      <c r="C561" s="9"/>
    </row>
    <row r="562" spans="3:3" x14ac:dyDescent="0.3">
      <c r="C562" s="9"/>
    </row>
    <row r="563" spans="3:3" x14ac:dyDescent="0.3">
      <c r="C563" s="9"/>
    </row>
    <row r="564" spans="3:3" x14ac:dyDescent="0.3">
      <c r="C564" s="9"/>
    </row>
    <row r="565" spans="3:3" x14ac:dyDescent="0.3">
      <c r="C565" s="9"/>
    </row>
    <row r="566" spans="3:3" x14ac:dyDescent="0.3">
      <c r="C566" s="9"/>
    </row>
    <row r="567" spans="3:3" x14ac:dyDescent="0.3">
      <c r="C567" s="9"/>
    </row>
    <row r="568" spans="3:3" x14ac:dyDescent="0.3">
      <c r="C568" s="9"/>
    </row>
    <row r="569" spans="3:3" x14ac:dyDescent="0.3">
      <c r="C569" s="9"/>
    </row>
    <row r="570" spans="3:3" x14ac:dyDescent="0.3">
      <c r="C570" s="9"/>
    </row>
    <row r="571" spans="3:3" x14ac:dyDescent="0.3">
      <c r="C571" s="9"/>
    </row>
    <row r="572" spans="3:3" x14ac:dyDescent="0.3">
      <c r="C572" s="9"/>
    </row>
    <row r="573" spans="3:3" x14ac:dyDescent="0.3">
      <c r="C573" s="9"/>
    </row>
    <row r="574" spans="3:3" x14ac:dyDescent="0.3">
      <c r="C574" s="9"/>
    </row>
    <row r="575" spans="3:3" x14ac:dyDescent="0.3">
      <c r="C575" s="9"/>
    </row>
    <row r="576" spans="3:3" x14ac:dyDescent="0.3">
      <c r="C576" s="9"/>
    </row>
    <row r="577" spans="3:3" x14ac:dyDescent="0.3">
      <c r="C577" s="9"/>
    </row>
    <row r="578" spans="3:3" x14ac:dyDescent="0.3">
      <c r="C578" s="9"/>
    </row>
    <row r="579" spans="3:3" x14ac:dyDescent="0.3">
      <c r="C579" s="9"/>
    </row>
    <row r="580" spans="3:3" x14ac:dyDescent="0.3">
      <c r="C580" s="9"/>
    </row>
    <row r="581" spans="3:3" x14ac:dyDescent="0.3">
      <c r="C581" s="9"/>
    </row>
    <row r="582" spans="3:3" x14ac:dyDescent="0.3">
      <c r="C582" s="9"/>
    </row>
    <row r="583" spans="3:3" x14ac:dyDescent="0.3">
      <c r="C583" s="9"/>
    </row>
    <row r="584" spans="3:3" x14ac:dyDescent="0.3">
      <c r="C584" s="9"/>
    </row>
    <row r="585" spans="3:3" x14ac:dyDescent="0.3">
      <c r="C585" s="9"/>
    </row>
    <row r="586" spans="3:3" x14ac:dyDescent="0.3">
      <c r="C586" s="9"/>
    </row>
    <row r="587" spans="3:3" x14ac:dyDescent="0.3">
      <c r="C587" s="9"/>
    </row>
    <row r="588" spans="3:3" x14ac:dyDescent="0.3">
      <c r="C588" s="9"/>
    </row>
    <row r="589" spans="3:3" x14ac:dyDescent="0.3">
      <c r="C589" s="9"/>
    </row>
    <row r="590" spans="3:3" x14ac:dyDescent="0.3">
      <c r="C590" s="9"/>
    </row>
    <row r="591" spans="3:3" x14ac:dyDescent="0.3">
      <c r="C591" s="9"/>
    </row>
    <row r="592" spans="3:3" x14ac:dyDescent="0.3">
      <c r="C592" s="9"/>
    </row>
    <row r="593" spans="3:3" x14ac:dyDescent="0.3">
      <c r="C593" s="9"/>
    </row>
    <row r="594" spans="3:3" x14ac:dyDescent="0.3">
      <c r="C594" s="9"/>
    </row>
    <row r="595" spans="3:3" x14ac:dyDescent="0.3">
      <c r="C595" s="9"/>
    </row>
    <row r="596" spans="3:3" x14ac:dyDescent="0.3">
      <c r="C596" s="9"/>
    </row>
    <row r="597" spans="3:3" x14ac:dyDescent="0.3">
      <c r="C597" s="9"/>
    </row>
    <row r="598" spans="3:3" x14ac:dyDescent="0.3">
      <c r="C598" s="9"/>
    </row>
    <row r="599" spans="3:3" x14ac:dyDescent="0.3">
      <c r="C599" s="9"/>
    </row>
    <row r="600" spans="3:3" x14ac:dyDescent="0.3">
      <c r="C600" s="9"/>
    </row>
    <row r="601" spans="3:3" x14ac:dyDescent="0.3">
      <c r="C601" s="9"/>
    </row>
    <row r="602" spans="3:3" x14ac:dyDescent="0.3">
      <c r="C602" s="9"/>
    </row>
    <row r="603" spans="3:3" x14ac:dyDescent="0.3">
      <c r="C603" s="9"/>
    </row>
    <row r="604" spans="3:3" x14ac:dyDescent="0.3">
      <c r="C604" s="9"/>
    </row>
    <row r="605" spans="3:3" x14ac:dyDescent="0.3">
      <c r="C605" s="9"/>
    </row>
    <row r="606" spans="3:3" x14ac:dyDescent="0.3">
      <c r="C606" s="9"/>
    </row>
    <row r="607" spans="3:3" x14ac:dyDescent="0.3">
      <c r="C607" s="9"/>
    </row>
    <row r="608" spans="3:3" x14ac:dyDescent="0.3">
      <c r="C608" s="9"/>
    </row>
    <row r="609" spans="3:3" x14ac:dyDescent="0.3">
      <c r="C609" s="9"/>
    </row>
    <row r="610" spans="3:3" x14ac:dyDescent="0.3">
      <c r="C610" s="9"/>
    </row>
    <row r="611" spans="3:3" x14ac:dyDescent="0.3">
      <c r="C611" s="9"/>
    </row>
    <row r="612" spans="3:3" x14ac:dyDescent="0.3">
      <c r="C612" s="9"/>
    </row>
    <row r="613" spans="3:3" x14ac:dyDescent="0.3">
      <c r="C613" s="9"/>
    </row>
    <row r="614" spans="3:3" x14ac:dyDescent="0.3">
      <c r="C614" s="9"/>
    </row>
    <row r="615" spans="3:3" x14ac:dyDescent="0.3">
      <c r="C615" s="9"/>
    </row>
    <row r="616" spans="3:3" x14ac:dyDescent="0.3">
      <c r="C616" s="9"/>
    </row>
    <row r="617" spans="3:3" x14ac:dyDescent="0.3">
      <c r="C617" s="9"/>
    </row>
    <row r="618" spans="3:3" x14ac:dyDescent="0.3">
      <c r="C618" s="9"/>
    </row>
    <row r="619" spans="3:3" x14ac:dyDescent="0.3">
      <c r="C619" s="9"/>
    </row>
    <row r="620" spans="3:3" x14ac:dyDescent="0.3">
      <c r="C620" s="9"/>
    </row>
    <row r="621" spans="3:3" x14ac:dyDescent="0.3">
      <c r="C621" s="9"/>
    </row>
    <row r="622" spans="3:3" x14ac:dyDescent="0.3">
      <c r="C622" s="9"/>
    </row>
    <row r="623" spans="3:3" x14ac:dyDescent="0.3">
      <c r="C623" s="9"/>
    </row>
    <row r="624" spans="3:3" x14ac:dyDescent="0.3">
      <c r="C624" s="9"/>
    </row>
    <row r="625" spans="3:3" x14ac:dyDescent="0.3">
      <c r="C625" s="9"/>
    </row>
    <row r="626" spans="3:3" x14ac:dyDescent="0.3">
      <c r="C626" s="9"/>
    </row>
    <row r="627" spans="3:3" x14ac:dyDescent="0.3">
      <c r="C627" s="9"/>
    </row>
    <row r="628" spans="3:3" x14ac:dyDescent="0.3">
      <c r="C628" s="9"/>
    </row>
    <row r="629" spans="3:3" x14ac:dyDescent="0.3">
      <c r="C629" s="9"/>
    </row>
    <row r="630" spans="3:3" x14ac:dyDescent="0.3">
      <c r="C630" s="9"/>
    </row>
    <row r="631" spans="3:3" x14ac:dyDescent="0.3">
      <c r="C631" s="9"/>
    </row>
    <row r="632" spans="3:3" x14ac:dyDescent="0.3">
      <c r="C632" s="9"/>
    </row>
    <row r="633" spans="3:3" x14ac:dyDescent="0.3">
      <c r="C633" s="9"/>
    </row>
    <row r="634" spans="3:3" x14ac:dyDescent="0.3">
      <c r="C634" s="9"/>
    </row>
    <row r="635" spans="3:3" x14ac:dyDescent="0.3">
      <c r="C635" s="9"/>
    </row>
    <row r="636" spans="3:3" x14ac:dyDescent="0.3">
      <c r="C636" s="9"/>
    </row>
    <row r="637" spans="3:3" x14ac:dyDescent="0.3">
      <c r="C637" s="9"/>
    </row>
    <row r="638" spans="3:3" x14ac:dyDescent="0.3">
      <c r="C638" s="9"/>
    </row>
    <row r="639" spans="3:3" x14ac:dyDescent="0.3">
      <c r="C639" s="9"/>
    </row>
    <row r="640" spans="3:3" x14ac:dyDescent="0.3">
      <c r="C640" s="9"/>
    </row>
    <row r="641" spans="3:3" x14ac:dyDescent="0.3">
      <c r="C641" s="9"/>
    </row>
    <row r="642" spans="3:3" x14ac:dyDescent="0.3">
      <c r="C642" s="9"/>
    </row>
    <row r="643" spans="3:3" x14ac:dyDescent="0.3">
      <c r="C643" s="9"/>
    </row>
    <row r="644" spans="3:3" x14ac:dyDescent="0.3">
      <c r="C644" s="9"/>
    </row>
    <row r="645" spans="3:3" x14ac:dyDescent="0.3">
      <c r="C645" s="9"/>
    </row>
    <row r="646" spans="3:3" x14ac:dyDescent="0.3">
      <c r="C646" s="9"/>
    </row>
    <row r="647" spans="3:3" x14ac:dyDescent="0.3">
      <c r="C647" s="9"/>
    </row>
    <row r="648" spans="3:3" x14ac:dyDescent="0.3">
      <c r="C648" s="9"/>
    </row>
    <row r="649" spans="3:3" x14ac:dyDescent="0.3">
      <c r="C649" s="9"/>
    </row>
    <row r="650" spans="3:3" x14ac:dyDescent="0.3">
      <c r="C650" s="9"/>
    </row>
    <row r="651" spans="3:3" x14ac:dyDescent="0.3">
      <c r="C651" s="9"/>
    </row>
    <row r="652" spans="3:3" x14ac:dyDescent="0.3">
      <c r="C652" s="9"/>
    </row>
    <row r="653" spans="3:3" x14ac:dyDescent="0.3">
      <c r="C653" s="9"/>
    </row>
    <row r="654" spans="3:3" x14ac:dyDescent="0.3">
      <c r="C654" s="9"/>
    </row>
    <row r="655" spans="3:3" x14ac:dyDescent="0.3">
      <c r="C655" s="9"/>
    </row>
    <row r="656" spans="3:3" x14ac:dyDescent="0.3">
      <c r="C656" s="9"/>
    </row>
    <row r="657" spans="3:3" x14ac:dyDescent="0.3">
      <c r="C657" s="9"/>
    </row>
    <row r="658" spans="3:3" x14ac:dyDescent="0.3">
      <c r="C658" s="9"/>
    </row>
    <row r="659" spans="3:3" x14ac:dyDescent="0.3">
      <c r="C659" s="9"/>
    </row>
    <row r="660" spans="3:3" x14ac:dyDescent="0.3">
      <c r="C660" s="9"/>
    </row>
    <row r="661" spans="3:3" x14ac:dyDescent="0.3">
      <c r="C661" s="9"/>
    </row>
    <row r="662" spans="3:3" x14ac:dyDescent="0.3">
      <c r="C662" s="9"/>
    </row>
    <row r="663" spans="3:3" x14ac:dyDescent="0.3">
      <c r="C663" s="9"/>
    </row>
    <row r="664" spans="3:3" x14ac:dyDescent="0.3">
      <c r="C664" s="9"/>
    </row>
    <row r="665" spans="3:3" x14ac:dyDescent="0.3">
      <c r="C665" s="9"/>
    </row>
    <row r="666" spans="3:3" x14ac:dyDescent="0.3">
      <c r="C666" s="9"/>
    </row>
    <row r="667" spans="3:3" x14ac:dyDescent="0.3">
      <c r="C667" s="9"/>
    </row>
    <row r="668" spans="3:3" x14ac:dyDescent="0.3">
      <c r="C668" s="9"/>
    </row>
    <row r="669" spans="3:3" x14ac:dyDescent="0.3">
      <c r="C669" s="9"/>
    </row>
    <row r="670" spans="3:3" x14ac:dyDescent="0.3">
      <c r="C670" s="9"/>
    </row>
    <row r="671" spans="3:3" x14ac:dyDescent="0.3">
      <c r="C671" s="9"/>
    </row>
    <row r="672" spans="3:3" x14ac:dyDescent="0.3">
      <c r="C672" s="9"/>
    </row>
    <row r="673" spans="3:3" x14ac:dyDescent="0.3">
      <c r="C673" s="9"/>
    </row>
    <row r="674" spans="3:3" x14ac:dyDescent="0.3">
      <c r="C674" s="9"/>
    </row>
    <row r="675" spans="3:3" x14ac:dyDescent="0.3">
      <c r="C675" s="9"/>
    </row>
    <row r="676" spans="3:3" x14ac:dyDescent="0.3">
      <c r="C676" s="9"/>
    </row>
    <row r="677" spans="3:3" x14ac:dyDescent="0.3">
      <c r="C677" s="9"/>
    </row>
    <row r="678" spans="3:3" x14ac:dyDescent="0.3">
      <c r="C678" s="9"/>
    </row>
    <row r="679" spans="3:3" x14ac:dyDescent="0.3">
      <c r="C679" s="9"/>
    </row>
    <row r="680" spans="3:3" x14ac:dyDescent="0.3">
      <c r="C680" s="9"/>
    </row>
    <row r="681" spans="3:3" x14ac:dyDescent="0.3">
      <c r="C681" s="9"/>
    </row>
    <row r="682" spans="3:3" x14ac:dyDescent="0.3">
      <c r="C682" s="9"/>
    </row>
    <row r="683" spans="3:3" x14ac:dyDescent="0.3">
      <c r="C683" s="9"/>
    </row>
    <row r="684" spans="3:3" x14ac:dyDescent="0.3">
      <c r="C684" s="9"/>
    </row>
    <row r="685" spans="3:3" x14ac:dyDescent="0.3">
      <c r="C685" s="9"/>
    </row>
    <row r="686" spans="3:3" x14ac:dyDescent="0.3">
      <c r="C686" s="9"/>
    </row>
    <row r="687" spans="3:3" x14ac:dyDescent="0.3">
      <c r="C687" s="9"/>
    </row>
    <row r="688" spans="3:3" x14ac:dyDescent="0.3">
      <c r="C688" s="9"/>
    </row>
    <row r="689" spans="3:3" x14ac:dyDescent="0.3">
      <c r="C689" s="9"/>
    </row>
    <row r="690" spans="3:3" x14ac:dyDescent="0.3">
      <c r="C690" s="9"/>
    </row>
    <row r="691" spans="3:3" x14ac:dyDescent="0.3">
      <c r="C691" s="9"/>
    </row>
    <row r="692" spans="3:3" x14ac:dyDescent="0.3">
      <c r="C692" s="9"/>
    </row>
    <row r="693" spans="3:3" x14ac:dyDescent="0.3">
      <c r="C693" s="9"/>
    </row>
    <row r="694" spans="3:3" x14ac:dyDescent="0.3">
      <c r="C694" s="9"/>
    </row>
    <row r="695" spans="3:3" x14ac:dyDescent="0.3">
      <c r="C695" s="9"/>
    </row>
    <row r="696" spans="3:3" x14ac:dyDescent="0.3">
      <c r="C696" s="9"/>
    </row>
    <row r="697" spans="3:3" x14ac:dyDescent="0.3">
      <c r="C697" s="9"/>
    </row>
    <row r="698" spans="3:3" x14ac:dyDescent="0.3">
      <c r="C698" s="9"/>
    </row>
    <row r="699" spans="3:3" x14ac:dyDescent="0.3">
      <c r="C699" s="9"/>
    </row>
    <row r="700" spans="3:3" x14ac:dyDescent="0.3">
      <c r="C700" s="9"/>
    </row>
    <row r="701" spans="3:3" x14ac:dyDescent="0.3">
      <c r="C701" s="9"/>
    </row>
    <row r="702" spans="3:3" x14ac:dyDescent="0.3">
      <c r="C702" s="9"/>
    </row>
    <row r="703" spans="3:3" x14ac:dyDescent="0.3">
      <c r="C703" s="9"/>
    </row>
    <row r="704" spans="3:3" x14ac:dyDescent="0.3">
      <c r="C704" s="9"/>
    </row>
    <row r="705" spans="3:3" x14ac:dyDescent="0.3">
      <c r="C705" s="9"/>
    </row>
    <row r="706" spans="3:3" x14ac:dyDescent="0.3">
      <c r="C706" s="9"/>
    </row>
    <row r="707" spans="3:3" x14ac:dyDescent="0.3">
      <c r="C707" s="9"/>
    </row>
    <row r="708" spans="3:3" x14ac:dyDescent="0.3">
      <c r="C708" s="9"/>
    </row>
    <row r="709" spans="3:3" x14ac:dyDescent="0.3">
      <c r="C709" s="9"/>
    </row>
    <row r="710" spans="3:3" x14ac:dyDescent="0.3">
      <c r="C710" s="9"/>
    </row>
    <row r="711" spans="3:3" x14ac:dyDescent="0.3">
      <c r="C711" s="9"/>
    </row>
    <row r="712" spans="3:3" x14ac:dyDescent="0.3">
      <c r="C712" s="9"/>
    </row>
    <row r="713" spans="3:3" x14ac:dyDescent="0.3">
      <c r="C713" s="9"/>
    </row>
    <row r="714" spans="3:3" x14ac:dyDescent="0.3">
      <c r="C714" s="9"/>
    </row>
    <row r="715" spans="3:3" x14ac:dyDescent="0.3">
      <c r="C715" s="9"/>
    </row>
    <row r="716" spans="3:3" x14ac:dyDescent="0.3">
      <c r="C716" s="9"/>
    </row>
    <row r="717" spans="3:3" x14ac:dyDescent="0.3">
      <c r="C717" s="9"/>
    </row>
    <row r="718" spans="3:3" x14ac:dyDescent="0.3">
      <c r="C718" s="9"/>
    </row>
    <row r="719" spans="3:3" x14ac:dyDescent="0.3">
      <c r="C719" s="9"/>
    </row>
    <row r="720" spans="3:3" x14ac:dyDescent="0.3">
      <c r="C720" s="9"/>
    </row>
    <row r="721" spans="3:3" x14ac:dyDescent="0.3">
      <c r="C721" s="9"/>
    </row>
    <row r="722" spans="3:3" x14ac:dyDescent="0.3">
      <c r="C722" s="9"/>
    </row>
    <row r="723" spans="3:3" x14ac:dyDescent="0.3">
      <c r="C723" s="9"/>
    </row>
    <row r="724" spans="3:3" x14ac:dyDescent="0.3">
      <c r="C724" s="9"/>
    </row>
    <row r="725" spans="3:3" x14ac:dyDescent="0.3">
      <c r="C725" s="9"/>
    </row>
    <row r="726" spans="3:3" x14ac:dyDescent="0.3">
      <c r="C726" s="9"/>
    </row>
    <row r="727" spans="3:3" x14ac:dyDescent="0.3">
      <c r="C727" s="9"/>
    </row>
    <row r="728" spans="3:3" x14ac:dyDescent="0.3">
      <c r="C728" s="9"/>
    </row>
    <row r="729" spans="3:3" x14ac:dyDescent="0.3">
      <c r="C729" s="9"/>
    </row>
    <row r="730" spans="3:3" x14ac:dyDescent="0.3">
      <c r="C730" s="9"/>
    </row>
    <row r="731" spans="3:3" x14ac:dyDescent="0.3">
      <c r="C731" s="9"/>
    </row>
    <row r="732" spans="3:3" x14ac:dyDescent="0.3">
      <c r="C732" s="9"/>
    </row>
    <row r="733" spans="3:3" x14ac:dyDescent="0.3">
      <c r="C733" s="9"/>
    </row>
    <row r="734" spans="3:3" x14ac:dyDescent="0.3">
      <c r="C734" s="9"/>
    </row>
    <row r="735" spans="3:3" x14ac:dyDescent="0.3">
      <c r="C735" s="9"/>
    </row>
    <row r="736" spans="3:3" x14ac:dyDescent="0.3">
      <c r="C736" s="9"/>
    </row>
    <row r="737" spans="3:3" x14ac:dyDescent="0.3">
      <c r="C737" s="9"/>
    </row>
    <row r="738" spans="3:3" x14ac:dyDescent="0.3">
      <c r="C738" s="9"/>
    </row>
    <row r="739" spans="3:3" x14ac:dyDescent="0.3">
      <c r="C739" s="9"/>
    </row>
    <row r="740" spans="3:3" x14ac:dyDescent="0.3">
      <c r="C740" s="9"/>
    </row>
    <row r="741" spans="3:3" x14ac:dyDescent="0.3">
      <c r="C741" s="9"/>
    </row>
    <row r="742" spans="3:3" x14ac:dyDescent="0.3">
      <c r="C742" s="9"/>
    </row>
    <row r="743" spans="3:3" x14ac:dyDescent="0.3">
      <c r="C743" s="9"/>
    </row>
    <row r="744" spans="3:3" x14ac:dyDescent="0.3">
      <c r="C744" s="9"/>
    </row>
    <row r="745" spans="3:3" x14ac:dyDescent="0.3">
      <c r="C745" s="9"/>
    </row>
    <row r="746" spans="3:3" x14ac:dyDescent="0.3">
      <c r="C746" s="9"/>
    </row>
    <row r="747" spans="3:3" x14ac:dyDescent="0.3">
      <c r="C747" s="9"/>
    </row>
    <row r="748" spans="3:3" x14ac:dyDescent="0.3">
      <c r="C748" s="9"/>
    </row>
    <row r="749" spans="3:3" x14ac:dyDescent="0.3">
      <c r="C749" s="9"/>
    </row>
    <row r="750" spans="3:3" x14ac:dyDescent="0.3">
      <c r="C750" s="9"/>
    </row>
    <row r="751" spans="3:3" x14ac:dyDescent="0.3">
      <c r="C751" s="9"/>
    </row>
    <row r="752" spans="3:3" x14ac:dyDescent="0.3">
      <c r="C752" s="9"/>
    </row>
    <row r="753" spans="3:3" x14ac:dyDescent="0.3">
      <c r="C753" s="9"/>
    </row>
    <row r="754" spans="3:3" x14ac:dyDescent="0.3">
      <c r="C754" s="9"/>
    </row>
    <row r="755" spans="3:3" x14ac:dyDescent="0.3">
      <c r="C755" s="9"/>
    </row>
    <row r="756" spans="3:3" x14ac:dyDescent="0.3">
      <c r="C756" s="9"/>
    </row>
    <row r="757" spans="3:3" x14ac:dyDescent="0.3">
      <c r="C757" s="9"/>
    </row>
    <row r="758" spans="3:3" x14ac:dyDescent="0.3">
      <c r="C758" s="9"/>
    </row>
    <row r="759" spans="3:3" x14ac:dyDescent="0.3">
      <c r="C759" s="9"/>
    </row>
    <row r="760" spans="3:3" x14ac:dyDescent="0.3">
      <c r="C760" s="9"/>
    </row>
    <row r="761" spans="3:3" x14ac:dyDescent="0.3">
      <c r="C761" s="9"/>
    </row>
    <row r="762" spans="3:3" x14ac:dyDescent="0.3">
      <c r="C762" s="9"/>
    </row>
    <row r="763" spans="3:3" x14ac:dyDescent="0.3">
      <c r="C763" s="9"/>
    </row>
    <row r="764" spans="3:3" x14ac:dyDescent="0.3">
      <c r="C764" s="9"/>
    </row>
    <row r="765" spans="3:3" x14ac:dyDescent="0.3">
      <c r="C765" s="9"/>
    </row>
    <row r="766" spans="3:3" x14ac:dyDescent="0.3">
      <c r="C766" s="9"/>
    </row>
    <row r="767" spans="3:3" x14ac:dyDescent="0.3">
      <c r="C767" s="9"/>
    </row>
    <row r="768" spans="3:3" x14ac:dyDescent="0.3">
      <c r="C768" s="9"/>
    </row>
    <row r="769" spans="3:3" x14ac:dyDescent="0.3">
      <c r="C769" s="9"/>
    </row>
    <row r="770" spans="3:3" x14ac:dyDescent="0.3">
      <c r="C770" s="9"/>
    </row>
    <row r="771" spans="3:3" x14ac:dyDescent="0.3">
      <c r="C771" s="9"/>
    </row>
    <row r="772" spans="3:3" x14ac:dyDescent="0.3">
      <c r="C772" s="9"/>
    </row>
    <row r="773" spans="3:3" x14ac:dyDescent="0.3">
      <c r="C773" s="9"/>
    </row>
    <row r="774" spans="3:3" x14ac:dyDescent="0.3">
      <c r="C774" s="9"/>
    </row>
    <row r="775" spans="3:3" x14ac:dyDescent="0.3">
      <c r="C775" s="9"/>
    </row>
    <row r="776" spans="3:3" x14ac:dyDescent="0.3">
      <c r="C776" s="9"/>
    </row>
    <row r="777" spans="3:3" x14ac:dyDescent="0.3">
      <c r="C777" s="9"/>
    </row>
    <row r="778" spans="3:3" x14ac:dyDescent="0.3">
      <c r="C778" s="9"/>
    </row>
    <row r="779" spans="3:3" x14ac:dyDescent="0.3">
      <c r="C779" s="9"/>
    </row>
    <row r="780" spans="3:3" x14ac:dyDescent="0.3">
      <c r="C780" s="9"/>
    </row>
    <row r="781" spans="3:3" x14ac:dyDescent="0.3">
      <c r="C781" s="9"/>
    </row>
    <row r="782" spans="3:3" x14ac:dyDescent="0.3">
      <c r="C782" s="9"/>
    </row>
    <row r="783" spans="3:3" x14ac:dyDescent="0.3">
      <c r="C783" s="9"/>
    </row>
    <row r="784" spans="3:3" x14ac:dyDescent="0.3">
      <c r="C784" s="9"/>
    </row>
    <row r="785" spans="3:3" x14ac:dyDescent="0.3">
      <c r="C785" s="9"/>
    </row>
    <row r="786" spans="3:3" x14ac:dyDescent="0.3">
      <c r="C786" s="9"/>
    </row>
    <row r="787" spans="3:3" x14ac:dyDescent="0.3">
      <c r="C787" s="9"/>
    </row>
    <row r="788" spans="3:3" x14ac:dyDescent="0.3">
      <c r="C788" s="9"/>
    </row>
    <row r="789" spans="3:3" x14ac:dyDescent="0.3">
      <c r="C789" s="9"/>
    </row>
    <row r="790" spans="3:3" x14ac:dyDescent="0.3">
      <c r="C790" s="9"/>
    </row>
    <row r="791" spans="3:3" x14ac:dyDescent="0.3">
      <c r="C791" s="9"/>
    </row>
    <row r="792" spans="3:3" x14ac:dyDescent="0.3">
      <c r="C792" s="9"/>
    </row>
    <row r="793" spans="3:3" x14ac:dyDescent="0.3">
      <c r="C793" s="9"/>
    </row>
    <row r="794" spans="3:3" x14ac:dyDescent="0.3">
      <c r="C794" s="9"/>
    </row>
    <row r="795" spans="3:3" x14ac:dyDescent="0.3">
      <c r="C795" s="9"/>
    </row>
    <row r="796" spans="3:3" x14ac:dyDescent="0.3">
      <c r="C796" s="9"/>
    </row>
    <row r="797" spans="3:3" x14ac:dyDescent="0.3">
      <c r="C797" s="9"/>
    </row>
    <row r="798" spans="3:3" x14ac:dyDescent="0.3">
      <c r="C798" s="9"/>
    </row>
    <row r="799" spans="3:3" x14ac:dyDescent="0.3">
      <c r="C799" s="9"/>
    </row>
    <row r="800" spans="3:3" x14ac:dyDescent="0.3">
      <c r="C800" s="9"/>
    </row>
    <row r="801" spans="3:3" x14ac:dyDescent="0.3">
      <c r="C801" s="9"/>
    </row>
    <row r="802" spans="3:3" x14ac:dyDescent="0.3">
      <c r="C802" s="9"/>
    </row>
    <row r="803" spans="3:3" x14ac:dyDescent="0.3">
      <c r="C803" s="9"/>
    </row>
    <row r="804" spans="3:3" x14ac:dyDescent="0.3">
      <c r="C804" s="9"/>
    </row>
    <row r="805" spans="3:3" x14ac:dyDescent="0.3">
      <c r="C805" s="9"/>
    </row>
    <row r="806" spans="3:3" x14ac:dyDescent="0.3">
      <c r="C806" s="9"/>
    </row>
    <row r="807" spans="3:3" x14ac:dyDescent="0.3">
      <c r="C807" s="9"/>
    </row>
    <row r="808" spans="3:3" x14ac:dyDescent="0.3">
      <c r="C808" s="9"/>
    </row>
    <row r="809" spans="3:3" x14ac:dyDescent="0.3">
      <c r="C809" s="9"/>
    </row>
    <row r="810" spans="3:3" x14ac:dyDescent="0.3">
      <c r="C810" s="9"/>
    </row>
    <row r="811" spans="3:3" x14ac:dyDescent="0.3">
      <c r="C811" s="9"/>
    </row>
    <row r="812" spans="3:3" x14ac:dyDescent="0.3">
      <c r="C812" s="9"/>
    </row>
    <row r="813" spans="3:3" x14ac:dyDescent="0.3">
      <c r="C813" s="9"/>
    </row>
    <row r="814" spans="3:3" x14ac:dyDescent="0.3">
      <c r="C814" s="9"/>
    </row>
    <row r="815" spans="3:3" x14ac:dyDescent="0.3">
      <c r="C815" s="9"/>
    </row>
    <row r="816" spans="3:3" x14ac:dyDescent="0.3">
      <c r="C816" s="9"/>
    </row>
    <row r="817" spans="3:3" x14ac:dyDescent="0.3">
      <c r="C817" s="9"/>
    </row>
    <row r="818" spans="3:3" x14ac:dyDescent="0.3">
      <c r="C818" s="9"/>
    </row>
    <row r="819" spans="3:3" x14ac:dyDescent="0.3">
      <c r="C819" s="9"/>
    </row>
    <row r="820" spans="3:3" x14ac:dyDescent="0.3">
      <c r="C820" s="9"/>
    </row>
    <row r="821" spans="3:3" x14ac:dyDescent="0.3">
      <c r="C821" s="9"/>
    </row>
    <row r="822" spans="3:3" x14ac:dyDescent="0.3">
      <c r="C822" s="9"/>
    </row>
    <row r="823" spans="3:3" x14ac:dyDescent="0.3">
      <c r="C823" s="9"/>
    </row>
    <row r="824" spans="3:3" x14ac:dyDescent="0.3">
      <c r="C824" s="9"/>
    </row>
    <row r="825" spans="3:3" x14ac:dyDescent="0.3">
      <c r="C825" s="9"/>
    </row>
    <row r="826" spans="3:3" x14ac:dyDescent="0.3">
      <c r="C826" s="9"/>
    </row>
    <row r="827" spans="3:3" x14ac:dyDescent="0.3">
      <c r="C827" s="9"/>
    </row>
    <row r="828" spans="3:3" x14ac:dyDescent="0.3">
      <c r="C828" s="9"/>
    </row>
    <row r="829" spans="3:3" x14ac:dyDescent="0.3">
      <c r="C829" s="9"/>
    </row>
    <row r="830" spans="3:3" x14ac:dyDescent="0.3">
      <c r="C830" s="9"/>
    </row>
    <row r="831" spans="3:3" x14ac:dyDescent="0.3">
      <c r="C831" s="9"/>
    </row>
    <row r="832" spans="3:3" x14ac:dyDescent="0.3">
      <c r="C832" s="9"/>
    </row>
    <row r="833" spans="3:3" x14ac:dyDescent="0.3">
      <c r="C833" s="9"/>
    </row>
    <row r="834" spans="3:3" x14ac:dyDescent="0.3">
      <c r="C834" s="9"/>
    </row>
    <row r="835" spans="3:3" x14ac:dyDescent="0.3">
      <c r="C835" s="9"/>
    </row>
    <row r="836" spans="3:3" x14ac:dyDescent="0.3">
      <c r="C836" s="9"/>
    </row>
    <row r="837" spans="3:3" x14ac:dyDescent="0.3">
      <c r="C837" s="9"/>
    </row>
    <row r="838" spans="3:3" x14ac:dyDescent="0.3">
      <c r="C838" s="9"/>
    </row>
    <row r="839" spans="3:3" x14ac:dyDescent="0.3">
      <c r="C839" s="9"/>
    </row>
    <row r="840" spans="3:3" x14ac:dyDescent="0.3">
      <c r="C840" s="9"/>
    </row>
    <row r="841" spans="3:3" x14ac:dyDescent="0.3">
      <c r="C841" s="9"/>
    </row>
    <row r="842" spans="3:3" x14ac:dyDescent="0.3">
      <c r="C842" s="9"/>
    </row>
    <row r="843" spans="3:3" x14ac:dyDescent="0.3">
      <c r="C843" s="9"/>
    </row>
    <row r="844" spans="3:3" x14ac:dyDescent="0.3">
      <c r="C844" s="9"/>
    </row>
    <row r="845" spans="3:3" x14ac:dyDescent="0.3">
      <c r="C845" s="9"/>
    </row>
    <row r="846" spans="3:3" x14ac:dyDescent="0.3">
      <c r="C846" s="9"/>
    </row>
    <row r="847" spans="3:3" x14ac:dyDescent="0.3">
      <c r="C847" s="9"/>
    </row>
    <row r="848" spans="3:3" x14ac:dyDescent="0.3">
      <c r="C848" s="9"/>
    </row>
    <row r="849" spans="3:3" x14ac:dyDescent="0.3">
      <c r="C849" s="9"/>
    </row>
    <row r="850" spans="3:3" x14ac:dyDescent="0.3">
      <c r="C850" s="9"/>
    </row>
    <row r="851" spans="3:3" x14ac:dyDescent="0.3">
      <c r="C851" s="9"/>
    </row>
    <row r="852" spans="3:3" x14ac:dyDescent="0.3">
      <c r="C852" s="9"/>
    </row>
    <row r="853" spans="3:3" x14ac:dyDescent="0.3">
      <c r="C853" s="9"/>
    </row>
    <row r="854" spans="3:3" x14ac:dyDescent="0.3">
      <c r="C854" s="9"/>
    </row>
    <row r="855" spans="3:3" x14ac:dyDescent="0.3">
      <c r="C855" s="9"/>
    </row>
    <row r="856" spans="3:3" x14ac:dyDescent="0.3">
      <c r="C856" s="9"/>
    </row>
    <row r="857" spans="3:3" x14ac:dyDescent="0.3">
      <c r="C857" s="9"/>
    </row>
    <row r="858" spans="3:3" x14ac:dyDescent="0.3">
      <c r="C858" s="9"/>
    </row>
    <row r="859" spans="3:3" x14ac:dyDescent="0.3">
      <c r="C859" s="9"/>
    </row>
    <row r="860" spans="3:3" x14ac:dyDescent="0.3">
      <c r="C860" s="9"/>
    </row>
    <row r="861" spans="3:3" x14ac:dyDescent="0.3">
      <c r="C861" s="9"/>
    </row>
    <row r="862" spans="3:3" x14ac:dyDescent="0.3">
      <c r="C862" s="9"/>
    </row>
    <row r="863" spans="3:3" x14ac:dyDescent="0.3">
      <c r="C863" s="9"/>
    </row>
    <row r="864" spans="3:3" x14ac:dyDescent="0.3">
      <c r="C864" s="9"/>
    </row>
    <row r="865" spans="3:3" x14ac:dyDescent="0.3">
      <c r="C865" s="9"/>
    </row>
    <row r="866" spans="3:3" x14ac:dyDescent="0.3">
      <c r="C866" s="9"/>
    </row>
    <row r="867" spans="3:3" x14ac:dyDescent="0.3">
      <c r="C867" s="9"/>
    </row>
    <row r="868" spans="3:3" x14ac:dyDescent="0.3">
      <c r="C868" s="9"/>
    </row>
    <row r="869" spans="3:3" x14ac:dyDescent="0.3">
      <c r="C869" s="9"/>
    </row>
    <row r="870" spans="3:3" x14ac:dyDescent="0.3">
      <c r="C870" s="9"/>
    </row>
    <row r="871" spans="3:3" x14ac:dyDescent="0.3">
      <c r="C871" s="9"/>
    </row>
    <row r="872" spans="3:3" x14ac:dyDescent="0.3">
      <c r="C872" s="9"/>
    </row>
    <row r="873" spans="3:3" x14ac:dyDescent="0.3">
      <c r="C873" s="9"/>
    </row>
    <row r="874" spans="3:3" x14ac:dyDescent="0.3">
      <c r="C874" s="9"/>
    </row>
    <row r="875" spans="3:3" x14ac:dyDescent="0.3">
      <c r="C875" s="9"/>
    </row>
    <row r="876" spans="3:3" x14ac:dyDescent="0.3">
      <c r="C876" s="9"/>
    </row>
    <row r="877" spans="3:3" x14ac:dyDescent="0.3">
      <c r="C877" s="9"/>
    </row>
    <row r="878" spans="3:3" x14ac:dyDescent="0.3">
      <c r="C878" s="9"/>
    </row>
    <row r="879" spans="3:3" x14ac:dyDescent="0.3">
      <c r="C879" s="9"/>
    </row>
    <row r="880" spans="3:3" x14ac:dyDescent="0.3">
      <c r="C880" s="9"/>
    </row>
    <row r="881" spans="3:3" x14ac:dyDescent="0.3">
      <c r="C881" s="9"/>
    </row>
    <row r="882" spans="3:3" x14ac:dyDescent="0.3">
      <c r="C882" s="9"/>
    </row>
    <row r="883" spans="3:3" x14ac:dyDescent="0.3">
      <c r="C883" s="9"/>
    </row>
    <row r="884" spans="3:3" x14ac:dyDescent="0.3">
      <c r="C884" s="9"/>
    </row>
    <row r="885" spans="3:3" x14ac:dyDescent="0.3">
      <c r="C885" s="9"/>
    </row>
    <row r="886" spans="3:3" x14ac:dyDescent="0.3">
      <c r="C886" s="9"/>
    </row>
    <row r="887" spans="3:3" x14ac:dyDescent="0.3">
      <c r="C887" s="9"/>
    </row>
    <row r="888" spans="3:3" x14ac:dyDescent="0.3">
      <c r="C888" s="9"/>
    </row>
    <row r="889" spans="3:3" x14ac:dyDescent="0.3">
      <c r="C889" s="9"/>
    </row>
    <row r="890" spans="3:3" x14ac:dyDescent="0.3">
      <c r="C890" s="9"/>
    </row>
    <row r="891" spans="3:3" x14ac:dyDescent="0.3">
      <c r="C891" s="9"/>
    </row>
    <row r="892" spans="3:3" x14ac:dyDescent="0.3">
      <c r="C892" s="9"/>
    </row>
    <row r="893" spans="3:3" x14ac:dyDescent="0.3">
      <c r="C893" s="9"/>
    </row>
    <row r="894" spans="3:3" x14ac:dyDescent="0.3">
      <c r="C894" s="9"/>
    </row>
    <row r="895" spans="3:3" x14ac:dyDescent="0.3">
      <c r="C895" s="9"/>
    </row>
    <row r="896" spans="3:3" x14ac:dyDescent="0.3">
      <c r="C896" s="9"/>
    </row>
    <row r="897" spans="3:3" x14ac:dyDescent="0.3">
      <c r="C897" s="9"/>
    </row>
    <row r="898" spans="3:3" x14ac:dyDescent="0.3">
      <c r="C898" s="9"/>
    </row>
    <row r="899" spans="3:3" x14ac:dyDescent="0.3">
      <c r="C899" s="9"/>
    </row>
    <row r="900" spans="3:3" x14ac:dyDescent="0.3">
      <c r="C900" s="9"/>
    </row>
    <row r="901" spans="3:3" x14ac:dyDescent="0.3">
      <c r="C901" s="9"/>
    </row>
    <row r="902" spans="3:3" x14ac:dyDescent="0.3">
      <c r="C902" s="9"/>
    </row>
    <row r="903" spans="3:3" x14ac:dyDescent="0.3">
      <c r="C903" s="9"/>
    </row>
    <row r="904" spans="3:3" x14ac:dyDescent="0.3">
      <c r="C904" s="9"/>
    </row>
    <row r="905" spans="3:3" x14ac:dyDescent="0.3">
      <c r="C905" s="9"/>
    </row>
    <row r="906" spans="3:3" x14ac:dyDescent="0.3">
      <c r="C906" s="9"/>
    </row>
    <row r="907" spans="3:3" x14ac:dyDescent="0.3">
      <c r="C907" s="9"/>
    </row>
    <row r="908" spans="3:3" x14ac:dyDescent="0.3">
      <c r="C908" s="9"/>
    </row>
    <row r="909" spans="3:3" x14ac:dyDescent="0.3">
      <c r="C909" s="9"/>
    </row>
    <row r="910" spans="3:3" x14ac:dyDescent="0.3">
      <c r="C910" s="9"/>
    </row>
    <row r="911" spans="3:3" x14ac:dyDescent="0.3">
      <c r="C911" s="9"/>
    </row>
    <row r="912" spans="3:3" x14ac:dyDescent="0.3">
      <c r="C912" s="9"/>
    </row>
    <row r="913" spans="3:3" x14ac:dyDescent="0.3">
      <c r="C913" s="9"/>
    </row>
    <row r="914" spans="3:3" x14ac:dyDescent="0.3">
      <c r="C914" s="9"/>
    </row>
    <row r="915" spans="3:3" x14ac:dyDescent="0.3">
      <c r="C915" s="9"/>
    </row>
    <row r="916" spans="3:3" x14ac:dyDescent="0.3">
      <c r="C916" s="9"/>
    </row>
    <row r="917" spans="3:3" x14ac:dyDescent="0.3">
      <c r="C917" s="9"/>
    </row>
    <row r="918" spans="3:3" x14ac:dyDescent="0.3">
      <c r="C918" s="9"/>
    </row>
    <row r="919" spans="3:3" x14ac:dyDescent="0.3">
      <c r="C919" s="9"/>
    </row>
    <row r="920" spans="3:3" x14ac:dyDescent="0.3">
      <c r="C920" s="9"/>
    </row>
    <row r="921" spans="3:3" x14ac:dyDescent="0.3">
      <c r="C921" s="9"/>
    </row>
    <row r="922" spans="3:3" x14ac:dyDescent="0.3">
      <c r="C922" s="9"/>
    </row>
    <row r="923" spans="3:3" x14ac:dyDescent="0.3">
      <c r="C923" s="9"/>
    </row>
    <row r="924" spans="3:3" x14ac:dyDescent="0.3">
      <c r="C924" s="9"/>
    </row>
    <row r="925" spans="3:3" x14ac:dyDescent="0.3">
      <c r="C925" s="9"/>
    </row>
    <row r="926" spans="3:3" x14ac:dyDescent="0.3">
      <c r="C926" s="9"/>
    </row>
    <row r="927" spans="3:3" x14ac:dyDescent="0.3">
      <c r="C927" s="9"/>
    </row>
    <row r="928" spans="3:3" x14ac:dyDescent="0.3">
      <c r="C928" s="9"/>
    </row>
    <row r="929" spans="3:3" x14ac:dyDescent="0.3">
      <c r="C929" s="9"/>
    </row>
    <row r="930" spans="3:3" x14ac:dyDescent="0.3">
      <c r="C930" s="9"/>
    </row>
    <row r="931" spans="3:3" x14ac:dyDescent="0.3">
      <c r="C931" s="9"/>
    </row>
    <row r="932" spans="3:3" x14ac:dyDescent="0.3">
      <c r="C932" s="9"/>
    </row>
    <row r="933" spans="3:3" x14ac:dyDescent="0.3">
      <c r="C933" s="9"/>
    </row>
    <row r="934" spans="3:3" x14ac:dyDescent="0.3">
      <c r="C934" s="9"/>
    </row>
    <row r="935" spans="3:3" x14ac:dyDescent="0.3">
      <c r="C935" s="9"/>
    </row>
    <row r="936" spans="3:3" x14ac:dyDescent="0.3">
      <c r="C936" s="9"/>
    </row>
    <row r="937" spans="3:3" x14ac:dyDescent="0.3">
      <c r="C937" s="9"/>
    </row>
    <row r="938" spans="3:3" x14ac:dyDescent="0.3">
      <c r="C938" s="9"/>
    </row>
    <row r="939" spans="3:3" x14ac:dyDescent="0.3">
      <c r="C939" s="9"/>
    </row>
    <row r="940" spans="3:3" x14ac:dyDescent="0.3">
      <c r="C940" s="9"/>
    </row>
    <row r="941" spans="3:3" x14ac:dyDescent="0.3">
      <c r="C941" s="9"/>
    </row>
    <row r="942" spans="3:3" x14ac:dyDescent="0.3">
      <c r="C942" s="9"/>
    </row>
    <row r="943" spans="3:3" x14ac:dyDescent="0.3">
      <c r="C943" s="9"/>
    </row>
    <row r="944" spans="3:3" x14ac:dyDescent="0.3">
      <c r="C944" s="9"/>
    </row>
    <row r="945" spans="3:3" x14ac:dyDescent="0.3">
      <c r="C945" s="9"/>
    </row>
    <row r="946" spans="3:3" x14ac:dyDescent="0.3">
      <c r="C946" s="9"/>
    </row>
    <row r="947" spans="3:3" x14ac:dyDescent="0.3">
      <c r="C947" s="9"/>
    </row>
    <row r="948" spans="3:3" x14ac:dyDescent="0.3">
      <c r="C948" s="9"/>
    </row>
    <row r="949" spans="3:3" x14ac:dyDescent="0.3">
      <c r="C949" s="9"/>
    </row>
    <row r="950" spans="3:3" x14ac:dyDescent="0.3">
      <c r="C950" s="9"/>
    </row>
    <row r="951" spans="3:3" x14ac:dyDescent="0.3">
      <c r="C951" s="9"/>
    </row>
    <row r="952" spans="3:3" x14ac:dyDescent="0.3">
      <c r="C952" s="9"/>
    </row>
    <row r="953" spans="3:3" x14ac:dyDescent="0.3">
      <c r="C953" s="9"/>
    </row>
    <row r="954" spans="3:3" x14ac:dyDescent="0.3">
      <c r="C954" s="9"/>
    </row>
    <row r="955" spans="3:3" x14ac:dyDescent="0.3">
      <c r="C955" s="9"/>
    </row>
    <row r="956" spans="3:3" x14ac:dyDescent="0.3">
      <c r="C956" s="9"/>
    </row>
    <row r="957" spans="3:3" x14ac:dyDescent="0.3">
      <c r="C957" s="9"/>
    </row>
    <row r="958" spans="3:3" x14ac:dyDescent="0.3">
      <c r="C958" s="9"/>
    </row>
    <row r="959" spans="3:3" x14ac:dyDescent="0.3">
      <c r="C959" s="9"/>
    </row>
    <row r="960" spans="3:3" x14ac:dyDescent="0.3">
      <c r="C960" s="9"/>
    </row>
    <row r="961" spans="3:3" x14ac:dyDescent="0.3">
      <c r="C961" s="9"/>
    </row>
    <row r="962" spans="3:3" x14ac:dyDescent="0.3">
      <c r="C962" s="9"/>
    </row>
    <row r="963" spans="3:3" x14ac:dyDescent="0.3">
      <c r="C963" s="9"/>
    </row>
    <row r="964" spans="3:3" x14ac:dyDescent="0.3">
      <c r="C964" s="9"/>
    </row>
    <row r="965" spans="3:3" x14ac:dyDescent="0.3">
      <c r="C965" s="9"/>
    </row>
    <row r="966" spans="3:3" x14ac:dyDescent="0.3">
      <c r="C966" s="9"/>
    </row>
    <row r="967" spans="3:3" x14ac:dyDescent="0.3">
      <c r="C967" s="9"/>
    </row>
    <row r="968" spans="3:3" x14ac:dyDescent="0.3">
      <c r="C968" s="9"/>
    </row>
    <row r="969" spans="3:3" x14ac:dyDescent="0.3">
      <c r="C969" s="9"/>
    </row>
    <row r="970" spans="3:3" x14ac:dyDescent="0.3">
      <c r="C970" s="9"/>
    </row>
    <row r="971" spans="3:3" x14ac:dyDescent="0.3">
      <c r="C971" s="9"/>
    </row>
    <row r="972" spans="3:3" x14ac:dyDescent="0.3">
      <c r="C972" s="9"/>
    </row>
    <row r="973" spans="3:3" x14ac:dyDescent="0.3">
      <c r="C973" s="9"/>
    </row>
    <row r="974" spans="3:3" x14ac:dyDescent="0.3">
      <c r="C974" s="9"/>
    </row>
    <row r="975" spans="3:3" x14ac:dyDescent="0.3">
      <c r="C975" s="9"/>
    </row>
    <row r="976" spans="3:3" x14ac:dyDescent="0.3">
      <c r="C976" s="9"/>
    </row>
    <row r="977" spans="3:3" x14ac:dyDescent="0.3">
      <c r="C977" s="9"/>
    </row>
    <row r="978" spans="3:3" x14ac:dyDescent="0.3">
      <c r="C978" s="9"/>
    </row>
    <row r="979" spans="3:3" x14ac:dyDescent="0.3">
      <c r="C979" s="9"/>
    </row>
    <row r="980" spans="3:3" x14ac:dyDescent="0.3">
      <c r="C980" s="9"/>
    </row>
    <row r="981" spans="3:3" x14ac:dyDescent="0.3">
      <c r="C981" s="9"/>
    </row>
    <row r="982" spans="3:3" x14ac:dyDescent="0.3">
      <c r="C982" s="9"/>
    </row>
    <row r="983" spans="3:3" x14ac:dyDescent="0.3">
      <c r="C983" s="9"/>
    </row>
    <row r="984" spans="3:3" x14ac:dyDescent="0.3">
      <c r="C984" s="9"/>
    </row>
    <row r="985" spans="3:3" x14ac:dyDescent="0.3">
      <c r="C985" s="9"/>
    </row>
    <row r="986" spans="3:3" x14ac:dyDescent="0.3">
      <c r="C986" s="9"/>
    </row>
    <row r="987" spans="3:3" x14ac:dyDescent="0.3">
      <c r="C987" s="9"/>
    </row>
    <row r="988" spans="3:3" x14ac:dyDescent="0.3">
      <c r="C988" s="9"/>
    </row>
    <row r="989" spans="3:3" x14ac:dyDescent="0.3">
      <c r="C989" s="9"/>
    </row>
    <row r="990" spans="3:3" x14ac:dyDescent="0.3">
      <c r="C990" s="9"/>
    </row>
    <row r="991" spans="3:3" x14ac:dyDescent="0.3">
      <c r="C991" s="9"/>
    </row>
    <row r="992" spans="3:3" x14ac:dyDescent="0.3">
      <c r="C992" s="9"/>
    </row>
    <row r="993" spans="3:3" x14ac:dyDescent="0.3">
      <c r="C993" s="9"/>
    </row>
    <row r="994" spans="3:3" x14ac:dyDescent="0.3">
      <c r="C994" s="9"/>
    </row>
    <row r="995" spans="3:3" x14ac:dyDescent="0.3">
      <c r="C995" s="9"/>
    </row>
    <row r="996" spans="3:3" x14ac:dyDescent="0.3">
      <c r="C996" s="9"/>
    </row>
    <row r="997" spans="3:3" x14ac:dyDescent="0.3">
      <c r="C997" s="9"/>
    </row>
    <row r="998" spans="3:3" x14ac:dyDescent="0.3">
      <c r="C998" s="9"/>
    </row>
    <row r="999" spans="3:3" x14ac:dyDescent="0.3">
      <c r="C999" s="9"/>
    </row>
    <row r="1000" spans="3:3" x14ac:dyDescent="0.3">
      <c r="C1000" s="9"/>
    </row>
    <row r="1001" spans="3:3" x14ac:dyDescent="0.3">
      <c r="C1001" s="9"/>
    </row>
    <row r="1002" spans="3:3" x14ac:dyDescent="0.3">
      <c r="C1002" s="9"/>
    </row>
    <row r="1003" spans="3:3" x14ac:dyDescent="0.3">
      <c r="C1003" s="9"/>
    </row>
    <row r="1004" spans="3:3" x14ac:dyDescent="0.3">
      <c r="C1004" s="9"/>
    </row>
    <row r="1005" spans="3:3" x14ac:dyDescent="0.3">
      <c r="C1005" s="9"/>
    </row>
    <row r="1006" spans="3:3" x14ac:dyDescent="0.3">
      <c r="C1006" s="9"/>
    </row>
    <row r="1007" spans="3:3" x14ac:dyDescent="0.3">
      <c r="C1007" s="9"/>
    </row>
    <row r="1008" spans="3:3" x14ac:dyDescent="0.3">
      <c r="C1008" s="9"/>
    </row>
    <row r="1009" spans="3:3" x14ac:dyDescent="0.3">
      <c r="C1009" s="9"/>
    </row>
    <row r="1010" spans="3:3" x14ac:dyDescent="0.3">
      <c r="C1010" s="9"/>
    </row>
    <row r="1011" spans="3:3" x14ac:dyDescent="0.3">
      <c r="C1011" s="9"/>
    </row>
    <row r="1012" spans="3:3" x14ac:dyDescent="0.3">
      <c r="C1012" s="9"/>
    </row>
    <row r="1013" spans="3:3" x14ac:dyDescent="0.3">
      <c r="C1013" s="9"/>
    </row>
    <row r="1014" spans="3:3" x14ac:dyDescent="0.3">
      <c r="C1014" s="9"/>
    </row>
    <row r="1015" spans="3:3" x14ac:dyDescent="0.3">
      <c r="C1015" s="9"/>
    </row>
    <row r="1016" spans="3:3" x14ac:dyDescent="0.3">
      <c r="C1016" s="9"/>
    </row>
    <row r="1017" spans="3:3" x14ac:dyDescent="0.3">
      <c r="C1017" s="9"/>
    </row>
    <row r="1018" spans="3:3" x14ac:dyDescent="0.3">
      <c r="C1018" s="9"/>
    </row>
    <row r="1019" spans="3:3" x14ac:dyDescent="0.3">
      <c r="C1019" s="9"/>
    </row>
    <row r="1020" spans="3:3" x14ac:dyDescent="0.3">
      <c r="C1020" s="9"/>
    </row>
    <row r="1021" spans="3:3" x14ac:dyDescent="0.3">
      <c r="C1021" s="9"/>
    </row>
    <row r="1022" spans="3:3" x14ac:dyDescent="0.3">
      <c r="C1022" s="9"/>
    </row>
    <row r="1023" spans="3:3" x14ac:dyDescent="0.3">
      <c r="C1023" s="9"/>
    </row>
    <row r="1024" spans="3:3" x14ac:dyDescent="0.3">
      <c r="C1024" s="9"/>
    </row>
    <row r="1025" spans="3:3" x14ac:dyDescent="0.3">
      <c r="C1025" s="9"/>
    </row>
    <row r="1026" spans="3:3" x14ac:dyDescent="0.3">
      <c r="C1026" s="9"/>
    </row>
    <row r="1027" spans="3:3" x14ac:dyDescent="0.3">
      <c r="C1027" s="9"/>
    </row>
    <row r="1028" spans="3:3" x14ac:dyDescent="0.3">
      <c r="C1028" s="9"/>
    </row>
    <row r="1029" spans="3:3" x14ac:dyDescent="0.3">
      <c r="C1029" s="9"/>
    </row>
    <row r="1030" spans="3:3" x14ac:dyDescent="0.3">
      <c r="C1030" s="9"/>
    </row>
    <row r="1031" spans="3:3" x14ac:dyDescent="0.3">
      <c r="C1031" s="9"/>
    </row>
    <row r="1032" spans="3:3" x14ac:dyDescent="0.3">
      <c r="C1032" s="9"/>
    </row>
    <row r="1033" spans="3:3" x14ac:dyDescent="0.3">
      <c r="C1033" s="9"/>
    </row>
    <row r="1034" spans="3:3" x14ac:dyDescent="0.3">
      <c r="C1034" s="9"/>
    </row>
    <row r="1035" spans="3:3" x14ac:dyDescent="0.3">
      <c r="C1035" s="9"/>
    </row>
    <row r="1036" spans="3:3" x14ac:dyDescent="0.3">
      <c r="C1036" s="9"/>
    </row>
    <row r="1037" spans="3:3" x14ac:dyDescent="0.3">
      <c r="C1037" s="9"/>
    </row>
    <row r="1038" spans="3:3" x14ac:dyDescent="0.3">
      <c r="C1038" s="9"/>
    </row>
    <row r="1039" spans="3:3" x14ac:dyDescent="0.3">
      <c r="C1039" s="9"/>
    </row>
    <row r="1040" spans="3:3" x14ac:dyDescent="0.3">
      <c r="C1040" s="9"/>
    </row>
    <row r="1041" spans="3:3" x14ac:dyDescent="0.3">
      <c r="C1041" s="9"/>
    </row>
    <row r="1042" spans="3:3" x14ac:dyDescent="0.3">
      <c r="C1042" s="9"/>
    </row>
    <row r="1043" spans="3:3" x14ac:dyDescent="0.3">
      <c r="C1043" s="9"/>
    </row>
    <row r="1044" spans="3:3" x14ac:dyDescent="0.3">
      <c r="C1044" s="9"/>
    </row>
    <row r="1045" spans="3:3" x14ac:dyDescent="0.3">
      <c r="C1045" s="9"/>
    </row>
    <row r="1046" spans="3:3" x14ac:dyDescent="0.3">
      <c r="C1046" s="9"/>
    </row>
    <row r="1047" spans="3:3" x14ac:dyDescent="0.3">
      <c r="C1047" s="9"/>
    </row>
    <row r="1048" spans="3:3" x14ac:dyDescent="0.3">
      <c r="C1048" s="9"/>
    </row>
    <row r="1049" spans="3:3" x14ac:dyDescent="0.3">
      <c r="C1049" s="9"/>
    </row>
    <row r="1050" spans="3:3" x14ac:dyDescent="0.3">
      <c r="C1050" s="9"/>
    </row>
    <row r="1051" spans="3:3" x14ac:dyDescent="0.3">
      <c r="C1051" s="9"/>
    </row>
    <row r="1052" spans="3:3" x14ac:dyDescent="0.3">
      <c r="C1052" s="9"/>
    </row>
    <row r="1053" spans="3:3" x14ac:dyDescent="0.3">
      <c r="C1053" s="9"/>
    </row>
    <row r="1054" spans="3:3" x14ac:dyDescent="0.3">
      <c r="C1054" s="9"/>
    </row>
    <row r="1055" spans="3:3" x14ac:dyDescent="0.3">
      <c r="C1055" s="9"/>
    </row>
    <row r="1056" spans="3:3" x14ac:dyDescent="0.3">
      <c r="C1056" s="9"/>
    </row>
    <row r="1057" spans="3:3" x14ac:dyDescent="0.3">
      <c r="C1057" s="9"/>
    </row>
    <row r="1058" spans="3:3" x14ac:dyDescent="0.3">
      <c r="C1058" s="9"/>
    </row>
    <row r="1059" spans="3:3" x14ac:dyDescent="0.3">
      <c r="C1059" s="9"/>
    </row>
    <row r="1060" spans="3:3" x14ac:dyDescent="0.3">
      <c r="C1060" s="9"/>
    </row>
    <row r="1061" spans="3:3" x14ac:dyDescent="0.3">
      <c r="C1061" s="9"/>
    </row>
    <row r="1062" spans="3:3" x14ac:dyDescent="0.3">
      <c r="C1062" s="9"/>
    </row>
    <row r="1063" spans="3:3" x14ac:dyDescent="0.3">
      <c r="C1063" s="9"/>
    </row>
    <row r="1064" spans="3:3" x14ac:dyDescent="0.3">
      <c r="C1064" s="9"/>
    </row>
    <row r="1065" spans="3:3" x14ac:dyDescent="0.3">
      <c r="C1065" s="9"/>
    </row>
    <row r="1066" spans="3:3" x14ac:dyDescent="0.3">
      <c r="C1066" s="9"/>
    </row>
    <row r="1067" spans="3:3" x14ac:dyDescent="0.3">
      <c r="C1067" s="9"/>
    </row>
    <row r="1068" spans="3:3" x14ac:dyDescent="0.3">
      <c r="C1068" s="9"/>
    </row>
    <row r="1069" spans="3:3" x14ac:dyDescent="0.3">
      <c r="C1069" s="9"/>
    </row>
    <row r="1070" spans="3:3" x14ac:dyDescent="0.3">
      <c r="C1070" s="9"/>
    </row>
    <row r="1071" spans="3:3" x14ac:dyDescent="0.3">
      <c r="C1071" s="9"/>
    </row>
    <row r="1072" spans="3:3" x14ac:dyDescent="0.3">
      <c r="C1072" s="9"/>
    </row>
    <row r="1073" spans="3:3" x14ac:dyDescent="0.3">
      <c r="C1073" s="9"/>
    </row>
    <row r="1074" spans="3:3" x14ac:dyDescent="0.3">
      <c r="C1074" s="9"/>
    </row>
    <row r="1075" spans="3:3" x14ac:dyDescent="0.3">
      <c r="C1075" s="9"/>
    </row>
    <row r="1076" spans="3:3" x14ac:dyDescent="0.3">
      <c r="C1076" s="9"/>
    </row>
    <row r="1077" spans="3:3" x14ac:dyDescent="0.3">
      <c r="C1077" s="9"/>
    </row>
    <row r="1078" spans="3:3" x14ac:dyDescent="0.3">
      <c r="C1078" s="9"/>
    </row>
    <row r="1079" spans="3:3" x14ac:dyDescent="0.3">
      <c r="C1079" s="9"/>
    </row>
    <row r="1080" spans="3:3" x14ac:dyDescent="0.3">
      <c r="C1080" s="9"/>
    </row>
    <row r="1081" spans="3:3" x14ac:dyDescent="0.3">
      <c r="C1081" s="9"/>
    </row>
    <row r="1082" spans="3:3" x14ac:dyDescent="0.3">
      <c r="C1082" s="9"/>
    </row>
    <row r="1083" spans="3:3" x14ac:dyDescent="0.3">
      <c r="C1083" s="9"/>
    </row>
    <row r="1084" spans="3:3" x14ac:dyDescent="0.3">
      <c r="C1084" s="9"/>
    </row>
    <row r="1085" spans="3:3" x14ac:dyDescent="0.3">
      <c r="C1085" s="9"/>
    </row>
    <row r="1086" spans="3:3" x14ac:dyDescent="0.3">
      <c r="C1086" s="9"/>
    </row>
    <row r="1087" spans="3:3" x14ac:dyDescent="0.3">
      <c r="C1087" s="9"/>
    </row>
    <row r="1088" spans="3:3" x14ac:dyDescent="0.3">
      <c r="C1088" s="9"/>
    </row>
    <row r="1089" spans="3:3" x14ac:dyDescent="0.3">
      <c r="C1089" s="9"/>
    </row>
    <row r="1090" spans="3:3" x14ac:dyDescent="0.3">
      <c r="C1090" s="9"/>
    </row>
    <row r="1091" spans="3:3" x14ac:dyDescent="0.3">
      <c r="C1091" s="9"/>
    </row>
    <row r="1092" spans="3:3" x14ac:dyDescent="0.3">
      <c r="C1092" s="9"/>
    </row>
    <row r="1093" spans="3:3" x14ac:dyDescent="0.3">
      <c r="C1093" s="9"/>
    </row>
    <row r="1094" spans="3:3" x14ac:dyDescent="0.3">
      <c r="C1094" s="9"/>
    </row>
    <row r="1095" spans="3:3" x14ac:dyDescent="0.3">
      <c r="C1095" s="9"/>
    </row>
    <row r="1096" spans="3:3" x14ac:dyDescent="0.3">
      <c r="C1096" s="9"/>
    </row>
    <row r="1097" spans="3:3" x14ac:dyDescent="0.3">
      <c r="C1097" s="9"/>
    </row>
    <row r="1098" spans="3:3" x14ac:dyDescent="0.3">
      <c r="C1098" s="9"/>
    </row>
    <row r="1099" spans="3:3" x14ac:dyDescent="0.3">
      <c r="C1099" s="9"/>
    </row>
    <row r="1100" spans="3:3" x14ac:dyDescent="0.3">
      <c r="C1100" s="9"/>
    </row>
    <row r="1101" spans="3:3" x14ac:dyDescent="0.3">
      <c r="C1101" s="9"/>
    </row>
    <row r="1102" spans="3:3" x14ac:dyDescent="0.3">
      <c r="C1102" s="9"/>
    </row>
    <row r="1103" spans="3:3" x14ac:dyDescent="0.3">
      <c r="C1103" s="9"/>
    </row>
    <row r="1104" spans="3:3" x14ac:dyDescent="0.3">
      <c r="C1104" s="9"/>
    </row>
    <row r="1105" spans="3:3" x14ac:dyDescent="0.3">
      <c r="C1105" s="9"/>
    </row>
    <row r="1106" spans="3:3" x14ac:dyDescent="0.3">
      <c r="C1106" s="9"/>
    </row>
    <row r="1107" spans="3:3" x14ac:dyDescent="0.3">
      <c r="C1107" s="9"/>
    </row>
    <row r="1108" spans="3:3" x14ac:dyDescent="0.3">
      <c r="C1108" s="9"/>
    </row>
    <row r="1109" spans="3:3" x14ac:dyDescent="0.3">
      <c r="C1109" s="9"/>
    </row>
    <row r="1110" spans="3:3" x14ac:dyDescent="0.3">
      <c r="C1110" s="9"/>
    </row>
    <row r="1111" spans="3:3" x14ac:dyDescent="0.3">
      <c r="C1111" s="9"/>
    </row>
    <row r="1112" spans="3:3" x14ac:dyDescent="0.3">
      <c r="C1112" s="9"/>
    </row>
    <row r="1113" spans="3:3" x14ac:dyDescent="0.3">
      <c r="C1113" s="9"/>
    </row>
    <row r="1114" spans="3:3" x14ac:dyDescent="0.3">
      <c r="C1114" s="9"/>
    </row>
    <row r="1115" spans="3:3" x14ac:dyDescent="0.3">
      <c r="C1115" s="9"/>
    </row>
    <row r="1116" spans="3:3" x14ac:dyDescent="0.3">
      <c r="C1116" s="9"/>
    </row>
    <row r="1117" spans="3:3" x14ac:dyDescent="0.3">
      <c r="C1117" s="9"/>
    </row>
    <row r="1118" spans="3:3" x14ac:dyDescent="0.3">
      <c r="C1118" s="9"/>
    </row>
    <row r="1119" spans="3:3" x14ac:dyDescent="0.3">
      <c r="C1119" s="9"/>
    </row>
    <row r="1120" spans="3:3" x14ac:dyDescent="0.3">
      <c r="C1120" s="9"/>
    </row>
    <row r="1121" spans="3:3" x14ac:dyDescent="0.3">
      <c r="C1121" s="9"/>
    </row>
    <row r="1122" spans="3:3" x14ac:dyDescent="0.3">
      <c r="C1122" s="9"/>
    </row>
    <row r="1123" spans="3:3" x14ac:dyDescent="0.3">
      <c r="C1123" s="9"/>
    </row>
    <row r="1124" spans="3:3" x14ac:dyDescent="0.3">
      <c r="C1124" s="9"/>
    </row>
    <row r="1125" spans="3:3" x14ac:dyDescent="0.3">
      <c r="C1125" s="9"/>
    </row>
    <row r="1126" spans="3:3" x14ac:dyDescent="0.3">
      <c r="C1126" s="9"/>
    </row>
    <row r="1127" spans="3:3" x14ac:dyDescent="0.3">
      <c r="C1127" s="9"/>
    </row>
    <row r="1128" spans="3:3" x14ac:dyDescent="0.3">
      <c r="C1128" s="9"/>
    </row>
    <row r="1129" spans="3:3" x14ac:dyDescent="0.3">
      <c r="C1129" s="9"/>
    </row>
    <row r="1130" spans="3:3" x14ac:dyDescent="0.3">
      <c r="C1130" s="9"/>
    </row>
    <row r="1131" spans="3:3" x14ac:dyDescent="0.3">
      <c r="C1131" s="9"/>
    </row>
    <row r="1132" spans="3:3" x14ac:dyDescent="0.3">
      <c r="C1132" s="9"/>
    </row>
    <row r="1133" spans="3:3" x14ac:dyDescent="0.3">
      <c r="C1133" s="9"/>
    </row>
    <row r="1134" spans="3:3" x14ac:dyDescent="0.3">
      <c r="C1134" s="9"/>
    </row>
    <row r="1135" spans="3:3" x14ac:dyDescent="0.3">
      <c r="C1135" s="9"/>
    </row>
    <row r="1136" spans="3:3" x14ac:dyDescent="0.3">
      <c r="C1136" s="9"/>
    </row>
    <row r="1137" spans="3:3" x14ac:dyDescent="0.3">
      <c r="C1137" s="9"/>
    </row>
    <row r="1138" spans="3:3" x14ac:dyDescent="0.3">
      <c r="C1138" s="9"/>
    </row>
    <row r="1139" spans="3:3" x14ac:dyDescent="0.3">
      <c r="C1139" s="9"/>
    </row>
    <row r="1140" spans="3:3" x14ac:dyDescent="0.3">
      <c r="C1140" s="9"/>
    </row>
    <row r="1141" spans="3:3" x14ac:dyDescent="0.3">
      <c r="C1141" s="9"/>
    </row>
    <row r="1142" spans="3:3" x14ac:dyDescent="0.3">
      <c r="C1142" s="9"/>
    </row>
    <row r="1143" spans="3:3" x14ac:dyDescent="0.3">
      <c r="C1143" s="9"/>
    </row>
    <row r="1144" spans="3:3" x14ac:dyDescent="0.3">
      <c r="C1144" s="9"/>
    </row>
    <row r="1145" spans="3:3" x14ac:dyDescent="0.3">
      <c r="C1145" s="9"/>
    </row>
    <row r="1146" spans="3:3" x14ac:dyDescent="0.3">
      <c r="C1146" s="9"/>
    </row>
    <row r="1147" spans="3:3" x14ac:dyDescent="0.3">
      <c r="C1147" s="9"/>
    </row>
    <row r="1148" spans="3:3" x14ac:dyDescent="0.3">
      <c r="C1148" s="9"/>
    </row>
    <row r="1149" spans="3:3" x14ac:dyDescent="0.3">
      <c r="C1149" s="9"/>
    </row>
    <row r="1150" spans="3:3" x14ac:dyDescent="0.3">
      <c r="C1150" s="9"/>
    </row>
    <row r="1151" spans="3:3" x14ac:dyDescent="0.3">
      <c r="C1151" s="9"/>
    </row>
    <row r="1152" spans="3:3" x14ac:dyDescent="0.3">
      <c r="C1152" s="9"/>
    </row>
    <row r="1153" spans="3:3" x14ac:dyDescent="0.3">
      <c r="C1153" s="9"/>
    </row>
    <row r="1154" spans="3:3" x14ac:dyDescent="0.3">
      <c r="C1154" s="9"/>
    </row>
    <row r="1155" spans="3:3" x14ac:dyDescent="0.3">
      <c r="C1155" s="9"/>
    </row>
    <row r="1156" spans="3:3" x14ac:dyDescent="0.3">
      <c r="C1156" s="9"/>
    </row>
    <row r="1157" spans="3:3" x14ac:dyDescent="0.3">
      <c r="C1157" s="9"/>
    </row>
    <row r="1158" spans="3:3" x14ac:dyDescent="0.3">
      <c r="C1158" s="9"/>
    </row>
    <row r="1159" spans="3:3" x14ac:dyDescent="0.3">
      <c r="C1159" s="9"/>
    </row>
    <row r="1160" spans="3:3" x14ac:dyDescent="0.3">
      <c r="C1160" s="9"/>
    </row>
    <row r="1161" spans="3:3" x14ac:dyDescent="0.3">
      <c r="C1161" s="9"/>
    </row>
    <row r="1162" spans="3:3" x14ac:dyDescent="0.3">
      <c r="C1162" s="9"/>
    </row>
    <row r="1163" spans="3:3" x14ac:dyDescent="0.3">
      <c r="C1163" s="9"/>
    </row>
    <row r="1164" spans="3:3" x14ac:dyDescent="0.3">
      <c r="C1164" s="9"/>
    </row>
    <row r="1165" spans="3:3" x14ac:dyDescent="0.3">
      <c r="C1165" s="9"/>
    </row>
    <row r="1166" spans="3:3" x14ac:dyDescent="0.3">
      <c r="C1166" s="9"/>
    </row>
    <row r="1167" spans="3:3" x14ac:dyDescent="0.3">
      <c r="C1167" s="9"/>
    </row>
    <row r="1168" spans="3:3" x14ac:dyDescent="0.3">
      <c r="C1168" s="9"/>
    </row>
    <row r="1169" spans="3:3" x14ac:dyDescent="0.3">
      <c r="C1169" s="9"/>
    </row>
    <row r="1170" spans="3:3" x14ac:dyDescent="0.3">
      <c r="C1170" s="9"/>
    </row>
    <row r="1171" spans="3:3" x14ac:dyDescent="0.3">
      <c r="C1171" s="9"/>
    </row>
    <row r="1172" spans="3:3" x14ac:dyDescent="0.3">
      <c r="C1172" s="9"/>
    </row>
    <row r="1173" spans="3:3" x14ac:dyDescent="0.3">
      <c r="C1173" s="9"/>
    </row>
    <row r="1174" spans="3:3" x14ac:dyDescent="0.3">
      <c r="C1174" s="9"/>
    </row>
    <row r="1175" spans="3:3" x14ac:dyDescent="0.3">
      <c r="C1175" s="9"/>
    </row>
    <row r="1176" spans="3:3" x14ac:dyDescent="0.3">
      <c r="C1176" s="9"/>
    </row>
    <row r="1177" spans="3:3" x14ac:dyDescent="0.3">
      <c r="C1177" s="9"/>
    </row>
    <row r="1178" spans="3:3" x14ac:dyDescent="0.3">
      <c r="C1178" s="9"/>
    </row>
    <row r="1179" spans="3:3" x14ac:dyDescent="0.3">
      <c r="C1179" s="9"/>
    </row>
    <row r="1180" spans="3:3" x14ac:dyDescent="0.3">
      <c r="C1180" s="9"/>
    </row>
    <row r="1181" spans="3:3" x14ac:dyDescent="0.3">
      <c r="C1181" s="9"/>
    </row>
    <row r="1182" spans="3:3" x14ac:dyDescent="0.3">
      <c r="C1182" s="9"/>
    </row>
    <row r="1183" spans="3:3" x14ac:dyDescent="0.3">
      <c r="C1183" s="9"/>
    </row>
    <row r="1184" spans="3:3" x14ac:dyDescent="0.3">
      <c r="C1184" s="9"/>
    </row>
    <row r="1185" spans="3:3" x14ac:dyDescent="0.3">
      <c r="C1185" s="9"/>
    </row>
    <row r="1186" spans="3:3" x14ac:dyDescent="0.3">
      <c r="C1186" s="9"/>
    </row>
    <row r="1187" spans="3:3" x14ac:dyDescent="0.3">
      <c r="C1187" s="9"/>
    </row>
    <row r="1188" spans="3:3" x14ac:dyDescent="0.3">
      <c r="C1188" s="9"/>
    </row>
    <row r="1189" spans="3:3" x14ac:dyDescent="0.3">
      <c r="C1189" s="9"/>
    </row>
    <row r="1190" spans="3:3" x14ac:dyDescent="0.3">
      <c r="C1190" s="9"/>
    </row>
    <row r="1191" spans="3:3" x14ac:dyDescent="0.3">
      <c r="C1191" s="9"/>
    </row>
    <row r="1192" spans="3:3" x14ac:dyDescent="0.3">
      <c r="C1192" s="9"/>
    </row>
    <row r="1193" spans="3:3" x14ac:dyDescent="0.3">
      <c r="C1193" s="9"/>
    </row>
    <row r="1194" spans="3:3" x14ac:dyDescent="0.3">
      <c r="C1194" s="9"/>
    </row>
    <row r="1195" spans="3:3" x14ac:dyDescent="0.3">
      <c r="C1195" s="9"/>
    </row>
    <row r="1196" spans="3:3" x14ac:dyDescent="0.3">
      <c r="C1196" s="9"/>
    </row>
    <row r="1197" spans="3:3" x14ac:dyDescent="0.3">
      <c r="C1197" s="9"/>
    </row>
    <row r="1198" spans="3:3" x14ac:dyDescent="0.3">
      <c r="C1198" s="9"/>
    </row>
    <row r="1199" spans="3:3" x14ac:dyDescent="0.3">
      <c r="C1199" s="9"/>
    </row>
    <row r="1200" spans="3:3" x14ac:dyDescent="0.3">
      <c r="C1200" s="9"/>
    </row>
    <row r="1201" spans="3:3" x14ac:dyDescent="0.3">
      <c r="C1201" s="9"/>
    </row>
    <row r="1202" spans="3:3" x14ac:dyDescent="0.3">
      <c r="C1202" s="9"/>
    </row>
    <row r="1203" spans="3:3" x14ac:dyDescent="0.3">
      <c r="C1203" s="9"/>
    </row>
    <row r="1204" spans="3:3" x14ac:dyDescent="0.3">
      <c r="C1204" s="9"/>
    </row>
    <row r="1205" spans="3:3" x14ac:dyDescent="0.3">
      <c r="C1205" s="9"/>
    </row>
    <row r="1206" spans="3:3" x14ac:dyDescent="0.3">
      <c r="C1206" s="9"/>
    </row>
    <row r="1207" spans="3:3" x14ac:dyDescent="0.3">
      <c r="C1207" s="9"/>
    </row>
    <row r="1208" spans="3:3" x14ac:dyDescent="0.3">
      <c r="C1208" s="9"/>
    </row>
    <row r="1209" spans="3:3" x14ac:dyDescent="0.3">
      <c r="C1209" s="9"/>
    </row>
    <row r="1210" spans="3:3" x14ac:dyDescent="0.3">
      <c r="C1210" s="9"/>
    </row>
    <row r="1211" spans="3:3" x14ac:dyDescent="0.3">
      <c r="C1211" s="9"/>
    </row>
    <row r="1212" spans="3:3" x14ac:dyDescent="0.3">
      <c r="C1212" s="9"/>
    </row>
    <row r="1213" spans="3:3" x14ac:dyDescent="0.3">
      <c r="C1213" s="9"/>
    </row>
    <row r="1214" spans="3:3" x14ac:dyDescent="0.3">
      <c r="C1214" s="9"/>
    </row>
    <row r="1215" spans="3:3" x14ac:dyDescent="0.3">
      <c r="C1215" s="9"/>
    </row>
    <row r="1216" spans="3:3" x14ac:dyDescent="0.3">
      <c r="C1216" s="9"/>
    </row>
    <row r="1217" spans="3:3" x14ac:dyDescent="0.3">
      <c r="C1217" s="9"/>
    </row>
    <row r="1218" spans="3:3" x14ac:dyDescent="0.3">
      <c r="C1218" s="9"/>
    </row>
    <row r="1219" spans="3:3" x14ac:dyDescent="0.3">
      <c r="C1219" s="9"/>
    </row>
    <row r="1220" spans="3:3" x14ac:dyDescent="0.3">
      <c r="C1220" s="9"/>
    </row>
    <row r="1221" spans="3:3" x14ac:dyDescent="0.3">
      <c r="C1221" s="9"/>
    </row>
    <row r="1222" spans="3:3" x14ac:dyDescent="0.3">
      <c r="C1222" s="9"/>
    </row>
    <row r="1223" spans="3:3" x14ac:dyDescent="0.3">
      <c r="C1223" s="9"/>
    </row>
    <row r="1224" spans="3:3" x14ac:dyDescent="0.3">
      <c r="C1224" s="9"/>
    </row>
    <row r="1225" spans="3:3" x14ac:dyDescent="0.3">
      <c r="C1225" s="9"/>
    </row>
    <row r="1226" spans="3:3" x14ac:dyDescent="0.3">
      <c r="C1226" s="9"/>
    </row>
    <row r="1227" spans="3:3" x14ac:dyDescent="0.3">
      <c r="C1227" s="9"/>
    </row>
    <row r="1228" spans="3:3" x14ac:dyDescent="0.3">
      <c r="C1228" s="9"/>
    </row>
    <row r="1229" spans="3:3" x14ac:dyDescent="0.3">
      <c r="C1229" s="9"/>
    </row>
    <row r="1230" spans="3:3" x14ac:dyDescent="0.3">
      <c r="C1230" s="9"/>
    </row>
    <row r="1231" spans="3:3" x14ac:dyDescent="0.3">
      <c r="C1231" s="9"/>
    </row>
    <row r="1232" spans="3:3" x14ac:dyDescent="0.3">
      <c r="C1232" s="9"/>
    </row>
    <row r="1233" spans="3:3" x14ac:dyDescent="0.3">
      <c r="C1233" s="9"/>
    </row>
    <row r="1234" spans="3:3" x14ac:dyDescent="0.3">
      <c r="C1234" s="9"/>
    </row>
    <row r="1235" spans="3:3" x14ac:dyDescent="0.3">
      <c r="C1235" s="9"/>
    </row>
    <row r="1236" spans="3:3" x14ac:dyDescent="0.3">
      <c r="C1236" s="9"/>
    </row>
    <row r="1237" spans="3:3" x14ac:dyDescent="0.3">
      <c r="C1237" s="9"/>
    </row>
    <row r="1238" spans="3:3" x14ac:dyDescent="0.3">
      <c r="C1238" s="9"/>
    </row>
    <row r="1239" spans="3:3" x14ac:dyDescent="0.3">
      <c r="C1239" s="9"/>
    </row>
    <row r="1240" spans="3:3" x14ac:dyDescent="0.3">
      <c r="C1240" s="9"/>
    </row>
    <row r="1241" spans="3:3" x14ac:dyDescent="0.3">
      <c r="C1241" s="9"/>
    </row>
    <row r="1242" spans="3:3" x14ac:dyDescent="0.3">
      <c r="C1242" s="9"/>
    </row>
    <row r="1243" spans="3:3" x14ac:dyDescent="0.3">
      <c r="C1243" s="9"/>
    </row>
    <row r="1244" spans="3:3" x14ac:dyDescent="0.3">
      <c r="C1244" s="9"/>
    </row>
    <row r="1245" spans="3:3" x14ac:dyDescent="0.3">
      <c r="C1245" s="9"/>
    </row>
    <row r="1246" spans="3:3" x14ac:dyDescent="0.3">
      <c r="C1246" s="9"/>
    </row>
    <row r="1247" spans="3:3" x14ac:dyDescent="0.3">
      <c r="C1247" s="9"/>
    </row>
    <row r="1248" spans="3:3" x14ac:dyDescent="0.3">
      <c r="C1248" s="9"/>
    </row>
    <row r="1249" spans="3:3" x14ac:dyDescent="0.3">
      <c r="C1249" s="9"/>
    </row>
    <row r="1250" spans="3:3" x14ac:dyDescent="0.3">
      <c r="C1250" s="9"/>
    </row>
    <row r="1251" spans="3:3" x14ac:dyDescent="0.3">
      <c r="C1251" s="9"/>
    </row>
    <row r="1252" spans="3:3" x14ac:dyDescent="0.3">
      <c r="C1252" s="9"/>
    </row>
    <row r="1253" spans="3:3" x14ac:dyDescent="0.3">
      <c r="C1253" s="9"/>
    </row>
    <row r="1254" spans="3:3" x14ac:dyDescent="0.3">
      <c r="C1254" s="9"/>
    </row>
    <row r="1255" spans="3:3" x14ac:dyDescent="0.3">
      <c r="C1255" s="9"/>
    </row>
    <row r="1256" spans="3:3" x14ac:dyDescent="0.3">
      <c r="C1256" s="9"/>
    </row>
    <row r="1257" spans="3:3" x14ac:dyDescent="0.3">
      <c r="C1257" s="9"/>
    </row>
    <row r="1258" spans="3:3" x14ac:dyDescent="0.3">
      <c r="C1258" s="9"/>
    </row>
    <row r="1259" spans="3:3" x14ac:dyDescent="0.3">
      <c r="C1259" s="9"/>
    </row>
    <row r="1260" spans="3:3" x14ac:dyDescent="0.3">
      <c r="C1260" s="9"/>
    </row>
    <row r="1261" spans="3:3" x14ac:dyDescent="0.3">
      <c r="C1261" s="9"/>
    </row>
    <row r="1262" spans="3:3" x14ac:dyDescent="0.3">
      <c r="C1262" s="9"/>
    </row>
    <row r="1263" spans="3:3" x14ac:dyDescent="0.3">
      <c r="C1263" s="9"/>
    </row>
    <row r="1264" spans="3:3" x14ac:dyDescent="0.3">
      <c r="C1264" s="9"/>
    </row>
    <row r="1265" spans="3:3" x14ac:dyDescent="0.3">
      <c r="C1265" s="9"/>
    </row>
    <row r="1266" spans="3:3" x14ac:dyDescent="0.3">
      <c r="C1266" s="9"/>
    </row>
    <row r="1267" spans="3:3" x14ac:dyDescent="0.3">
      <c r="C1267" s="9"/>
    </row>
    <row r="1268" spans="3:3" x14ac:dyDescent="0.3">
      <c r="C1268" s="9"/>
    </row>
    <row r="1269" spans="3:3" x14ac:dyDescent="0.3">
      <c r="C1269" s="9"/>
    </row>
    <row r="1270" spans="3:3" x14ac:dyDescent="0.3">
      <c r="C1270" s="9"/>
    </row>
    <row r="1271" spans="3:3" x14ac:dyDescent="0.3">
      <c r="C1271" s="9"/>
    </row>
    <row r="1272" spans="3:3" x14ac:dyDescent="0.3">
      <c r="C1272" s="9"/>
    </row>
    <row r="1273" spans="3:3" x14ac:dyDescent="0.3">
      <c r="C1273" s="9"/>
    </row>
    <row r="1274" spans="3:3" x14ac:dyDescent="0.3">
      <c r="C1274" s="9"/>
    </row>
    <row r="1275" spans="3:3" x14ac:dyDescent="0.3">
      <c r="C1275" s="9"/>
    </row>
    <row r="1276" spans="3:3" x14ac:dyDescent="0.3">
      <c r="C1276" s="9"/>
    </row>
    <row r="1277" spans="3:3" x14ac:dyDescent="0.3">
      <c r="C1277" s="9"/>
    </row>
    <row r="1278" spans="3:3" x14ac:dyDescent="0.3">
      <c r="C1278" s="9"/>
    </row>
    <row r="1279" spans="3:3" x14ac:dyDescent="0.3">
      <c r="C1279" s="9"/>
    </row>
    <row r="1280" spans="3:3" x14ac:dyDescent="0.3">
      <c r="C1280" s="9"/>
    </row>
    <row r="1281" spans="3:3" x14ac:dyDescent="0.3">
      <c r="C1281" s="9"/>
    </row>
    <row r="1282" spans="3:3" x14ac:dyDescent="0.3">
      <c r="C1282" s="9"/>
    </row>
    <row r="1283" spans="3:3" x14ac:dyDescent="0.3">
      <c r="C1283" s="9"/>
    </row>
    <row r="1284" spans="3:3" x14ac:dyDescent="0.3">
      <c r="C1284" s="9"/>
    </row>
    <row r="1285" spans="3:3" x14ac:dyDescent="0.3">
      <c r="C1285" s="9"/>
    </row>
    <row r="1286" spans="3:3" x14ac:dyDescent="0.3">
      <c r="C1286" s="9"/>
    </row>
    <row r="1287" spans="3:3" x14ac:dyDescent="0.3">
      <c r="C1287" s="9"/>
    </row>
    <row r="1288" spans="3:3" x14ac:dyDescent="0.3">
      <c r="C1288" s="9"/>
    </row>
    <row r="1289" spans="3:3" x14ac:dyDescent="0.3">
      <c r="C1289" s="9"/>
    </row>
    <row r="1290" spans="3:3" x14ac:dyDescent="0.3">
      <c r="C1290" s="9"/>
    </row>
    <row r="1291" spans="3:3" x14ac:dyDescent="0.3">
      <c r="C1291" s="9"/>
    </row>
    <row r="1292" spans="3:3" x14ac:dyDescent="0.3">
      <c r="C1292" s="9"/>
    </row>
    <row r="1293" spans="3:3" x14ac:dyDescent="0.3">
      <c r="C1293" s="9"/>
    </row>
    <row r="1294" spans="3:3" x14ac:dyDescent="0.3">
      <c r="C1294" s="9"/>
    </row>
    <row r="1295" spans="3:3" x14ac:dyDescent="0.3">
      <c r="C1295" s="9"/>
    </row>
    <row r="1296" spans="3:3" x14ac:dyDescent="0.3">
      <c r="C1296" s="9"/>
    </row>
    <row r="1297" spans="3:3" x14ac:dyDescent="0.3">
      <c r="C1297" s="9"/>
    </row>
    <row r="1298" spans="3:3" x14ac:dyDescent="0.3">
      <c r="C1298" s="9"/>
    </row>
    <row r="1299" spans="3:3" x14ac:dyDescent="0.3">
      <c r="C1299" s="9"/>
    </row>
    <row r="1300" spans="3:3" x14ac:dyDescent="0.3">
      <c r="C1300" s="9"/>
    </row>
    <row r="1301" spans="3:3" x14ac:dyDescent="0.3">
      <c r="C1301" s="9"/>
    </row>
    <row r="1302" spans="3:3" x14ac:dyDescent="0.3">
      <c r="C1302" s="9"/>
    </row>
    <row r="1303" spans="3:3" x14ac:dyDescent="0.3">
      <c r="C1303" s="9"/>
    </row>
    <row r="1304" spans="3:3" x14ac:dyDescent="0.3">
      <c r="C1304" s="9"/>
    </row>
    <row r="1305" spans="3:3" x14ac:dyDescent="0.3">
      <c r="C1305" s="9"/>
    </row>
    <row r="1306" spans="3:3" x14ac:dyDescent="0.3">
      <c r="C1306" s="9"/>
    </row>
    <row r="1307" spans="3:3" x14ac:dyDescent="0.3">
      <c r="C1307" s="9"/>
    </row>
    <row r="1308" spans="3:3" x14ac:dyDescent="0.3">
      <c r="C1308" s="9"/>
    </row>
    <row r="1309" spans="3:3" x14ac:dyDescent="0.3">
      <c r="C1309" s="9"/>
    </row>
    <row r="1310" spans="3:3" x14ac:dyDescent="0.3">
      <c r="C1310" s="9"/>
    </row>
    <row r="1311" spans="3:3" x14ac:dyDescent="0.3">
      <c r="C1311" s="9"/>
    </row>
    <row r="1312" spans="3:3" x14ac:dyDescent="0.3">
      <c r="C1312" s="9"/>
    </row>
    <row r="1313" spans="3:3" x14ac:dyDescent="0.3">
      <c r="C1313" s="9"/>
    </row>
    <row r="1314" spans="3:3" x14ac:dyDescent="0.3">
      <c r="C1314" s="9"/>
    </row>
    <row r="1315" spans="3:3" x14ac:dyDescent="0.3">
      <c r="C1315" s="9"/>
    </row>
    <row r="1316" spans="3:3" x14ac:dyDescent="0.3">
      <c r="C1316" s="9"/>
    </row>
    <row r="1317" spans="3:3" x14ac:dyDescent="0.3">
      <c r="C1317" s="9"/>
    </row>
    <row r="1318" spans="3:3" x14ac:dyDescent="0.3">
      <c r="C1318" s="9"/>
    </row>
    <row r="1319" spans="3:3" x14ac:dyDescent="0.3">
      <c r="C1319" s="9"/>
    </row>
    <row r="1320" spans="3:3" x14ac:dyDescent="0.3">
      <c r="C1320" s="9"/>
    </row>
    <row r="1321" spans="3:3" x14ac:dyDescent="0.3">
      <c r="C1321" s="9"/>
    </row>
    <row r="1322" spans="3:3" x14ac:dyDescent="0.3">
      <c r="C1322" s="9"/>
    </row>
    <row r="1323" spans="3:3" x14ac:dyDescent="0.3">
      <c r="C1323" s="9"/>
    </row>
    <row r="1324" spans="3:3" x14ac:dyDescent="0.3">
      <c r="C1324" s="9"/>
    </row>
    <row r="1325" spans="3:3" x14ac:dyDescent="0.3">
      <c r="C1325" s="9"/>
    </row>
    <row r="1326" spans="3:3" x14ac:dyDescent="0.3">
      <c r="C1326" s="9"/>
    </row>
    <row r="1327" spans="3:3" x14ac:dyDescent="0.3">
      <c r="C1327" s="9"/>
    </row>
    <row r="1328" spans="3:3" x14ac:dyDescent="0.3">
      <c r="C1328" s="9"/>
    </row>
    <row r="1329" spans="3:3" x14ac:dyDescent="0.3">
      <c r="C1329" s="9"/>
    </row>
    <row r="1330" spans="3:3" x14ac:dyDescent="0.3">
      <c r="C1330" s="9"/>
    </row>
    <row r="1331" spans="3:3" x14ac:dyDescent="0.3">
      <c r="C1331" s="9"/>
    </row>
    <row r="1332" spans="3:3" x14ac:dyDescent="0.3">
      <c r="C1332" s="9"/>
    </row>
    <row r="1333" spans="3:3" x14ac:dyDescent="0.3">
      <c r="C1333" s="9"/>
    </row>
    <row r="1334" spans="3:3" x14ac:dyDescent="0.3">
      <c r="C1334" s="9"/>
    </row>
    <row r="1335" spans="3:3" x14ac:dyDescent="0.3">
      <c r="C1335" s="9"/>
    </row>
    <row r="1336" spans="3:3" x14ac:dyDescent="0.3">
      <c r="C1336" s="9"/>
    </row>
    <row r="1337" spans="3:3" x14ac:dyDescent="0.3">
      <c r="C1337" s="9"/>
    </row>
    <row r="1338" spans="3:3" x14ac:dyDescent="0.3">
      <c r="C1338" s="9"/>
    </row>
    <row r="1339" spans="3:3" x14ac:dyDescent="0.3">
      <c r="C1339" s="9"/>
    </row>
    <row r="1340" spans="3:3" x14ac:dyDescent="0.3">
      <c r="C1340" s="9"/>
    </row>
    <row r="1341" spans="3:3" x14ac:dyDescent="0.3">
      <c r="C1341" s="9"/>
    </row>
    <row r="1342" spans="3:3" x14ac:dyDescent="0.3">
      <c r="C1342" s="9"/>
    </row>
    <row r="1343" spans="3:3" x14ac:dyDescent="0.3">
      <c r="C1343" s="9"/>
    </row>
    <row r="1344" spans="3:3" x14ac:dyDescent="0.3">
      <c r="C1344" s="9"/>
    </row>
    <row r="1345" spans="3:3" x14ac:dyDescent="0.3">
      <c r="C1345" s="9"/>
    </row>
    <row r="1346" spans="3:3" x14ac:dyDescent="0.3">
      <c r="C1346" s="9"/>
    </row>
    <row r="1347" spans="3:3" x14ac:dyDescent="0.3">
      <c r="C1347" s="9"/>
    </row>
    <row r="1348" spans="3:3" x14ac:dyDescent="0.3">
      <c r="C1348" s="9"/>
    </row>
    <row r="1349" spans="3:3" x14ac:dyDescent="0.3">
      <c r="C1349" s="9"/>
    </row>
    <row r="1350" spans="3:3" x14ac:dyDescent="0.3">
      <c r="C1350" s="9"/>
    </row>
    <row r="1351" spans="3:3" x14ac:dyDescent="0.3">
      <c r="C1351" s="9"/>
    </row>
    <row r="1352" spans="3:3" x14ac:dyDescent="0.3">
      <c r="C1352" s="9"/>
    </row>
    <row r="1353" spans="3:3" x14ac:dyDescent="0.3">
      <c r="C1353" s="9"/>
    </row>
    <row r="1354" spans="3:3" x14ac:dyDescent="0.3">
      <c r="C1354" s="9"/>
    </row>
    <row r="1355" spans="3:3" x14ac:dyDescent="0.3">
      <c r="C1355" s="9"/>
    </row>
    <row r="1356" spans="3:3" x14ac:dyDescent="0.3">
      <c r="C1356" s="9"/>
    </row>
    <row r="1357" spans="3:3" x14ac:dyDescent="0.3">
      <c r="C1357" s="9"/>
    </row>
    <row r="1358" spans="3:3" x14ac:dyDescent="0.3">
      <c r="C1358" s="9"/>
    </row>
    <row r="1359" spans="3:3" x14ac:dyDescent="0.3">
      <c r="C1359" s="9"/>
    </row>
    <row r="1360" spans="3:3" x14ac:dyDescent="0.3">
      <c r="C1360" s="9"/>
    </row>
    <row r="1361" spans="3:3" x14ac:dyDescent="0.3">
      <c r="C1361" s="9"/>
    </row>
    <row r="1362" spans="3:3" x14ac:dyDescent="0.3">
      <c r="C1362" s="9"/>
    </row>
    <row r="1363" spans="3:3" x14ac:dyDescent="0.3">
      <c r="C1363" s="9"/>
    </row>
    <row r="1364" spans="3:3" x14ac:dyDescent="0.3">
      <c r="C1364" s="9"/>
    </row>
    <row r="1365" spans="3:3" x14ac:dyDescent="0.3">
      <c r="C1365" s="9"/>
    </row>
    <row r="1366" spans="3:3" x14ac:dyDescent="0.3">
      <c r="C1366" s="9"/>
    </row>
    <row r="1367" spans="3:3" x14ac:dyDescent="0.3">
      <c r="C1367" s="9"/>
    </row>
    <row r="1368" spans="3:3" x14ac:dyDescent="0.3">
      <c r="C1368" s="9"/>
    </row>
    <row r="1369" spans="3:3" x14ac:dyDescent="0.3">
      <c r="C1369" s="9"/>
    </row>
    <row r="1370" spans="3:3" x14ac:dyDescent="0.3">
      <c r="C1370" s="9"/>
    </row>
    <row r="1371" spans="3:3" x14ac:dyDescent="0.3">
      <c r="C1371" s="9"/>
    </row>
    <row r="1372" spans="3:3" x14ac:dyDescent="0.3">
      <c r="C1372" s="9"/>
    </row>
    <row r="1373" spans="3:3" x14ac:dyDescent="0.3">
      <c r="C1373" s="9"/>
    </row>
    <row r="1374" spans="3:3" x14ac:dyDescent="0.3">
      <c r="C1374" s="9"/>
    </row>
    <row r="1375" spans="3:3" x14ac:dyDescent="0.3">
      <c r="C1375" s="9"/>
    </row>
    <row r="1376" spans="3:3" x14ac:dyDescent="0.3">
      <c r="C1376" s="9"/>
    </row>
    <row r="1377" spans="3:3" x14ac:dyDescent="0.3">
      <c r="C1377" s="9"/>
    </row>
    <row r="1378" spans="3:3" x14ac:dyDescent="0.3">
      <c r="C1378" s="9"/>
    </row>
    <row r="1379" spans="3:3" x14ac:dyDescent="0.3">
      <c r="C1379" s="9"/>
    </row>
    <row r="1380" spans="3:3" x14ac:dyDescent="0.3">
      <c r="C1380" s="9"/>
    </row>
    <row r="1381" spans="3:3" x14ac:dyDescent="0.3">
      <c r="C1381" s="9"/>
    </row>
    <row r="1382" spans="3:3" x14ac:dyDescent="0.3">
      <c r="C1382" s="9"/>
    </row>
    <row r="1383" spans="3:3" x14ac:dyDescent="0.3">
      <c r="C1383" s="9"/>
    </row>
    <row r="1384" spans="3:3" x14ac:dyDescent="0.3">
      <c r="C1384" s="9"/>
    </row>
    <row r="1385" spans="3:3" x14ac:dyDescent="0.3">
      <c r="C1385" s="9"/>
    </row>
    <row r="1386" spans="3:3" x14ac:dyDescent="0.3">
      <c r="C1386" s="9"/>
    </row>
    <row r="1387" spans="3:3" x14ac:dyDescent="0.3">
      <c r="C1387" s="9"/>
    </row>
    <row r="1388" spans="3:3" x14ac:dyDescent="0.3">
      <c r="C1388" s="9"/>
    </row>
    <row r="1389" spans="3:3" x14ac:dyDescent="0.3">
      <c r="C1389" s="9"/>
    </row>
    <row r="1390" spans="3:3" x14ac:dyDescent="0.3">
      <c r="C1390" s="9"/>
    </row>
    <row r="1391" spans="3:3" x14ac:dyDescent="0.3">
      <c r="C1391" s="9"/>
    </row>
    <row r="1392" spans="3:3" x14ac:dyDescent="0.3">
      <c r="C1392" s="9"/>
    </row>
    <row r="1393" spans="3:3" x14ac:dyDescent="0.3">
      <c r="C1393" s="9"/>
    </row>
    <row r="1394" spans="3:3" x14ac:dyDescent="0.3">
      <c r="C1394" s="9"/>
    </row>
    <row r="1395" spans="3:3" x14ac:dyDescent="0.3">
      <c r="C1395" s="9"/>
    </row>
    <row r="1396" spans="3:3" x14ac:dyDescent="0.3">
      <c r="C1396" s="9"/>
    </row>
    <row r="1397" spans="3:3" x14ac:dyDescent="0.3">
      <c r="C1397" s="9"/>
    </row>
    <row r="1398" spans="3:3" x14ac:dyDescent="0.3">
      <c r="C1398" s="9"/>
    </row>
    <row r="1399" spans="3:3" x14ac:dyDescent="0.3">
      <c r="C1399" s="9"/>
    </row>
    <row r="1400" spans="3:3" x14ac:dyDescent="0.3">
      <c r="C1400" s="9"/>
    </row>
    <row r="1401" spans="3:3" x14ac:dyDescent="0.3">
      <c r="C1401" s="9"/>
    </row>
    <row r="1402" spans="3:3" x14ac:dyDescent="0.3">
      <c r="C1402" s="9"/>
    </row>
    <row r="1403" spans="3:3" x14ac:dyDescent="0.3">
      <c r="C1403" s="9"/>
    </row>
    <row r="1404" spans="3:3" x14ac:dyDescent="0.3">
      <c r="C1404" s="9"/>
    </row>
    <row r="1405" spans="3:3" x14ac:dyDescent="0.3">
      <c r="C1405" s="9"/>
    </row>
    <row r="1406" spans="3:3" x14ac:dyDescent="0.3">
      <c r="C1406" s="9"/>
    </row>
    <row r="1407" spans="3:3" x14ac:dyDescent="0.3">
      <c r="C1407" s="9"/>
    </row>
    <row r="1408" spans="3:3" x14ac:dyDescent="0.3">
      <c r="C1408" s="9"/>
    </row>
    <row r="1409" spans="3:3" x14ac:dyDescent="0.3">
      <c r="C1409" s="9"/>
    </row>
    <row r="1410" spans="3:3" x14ac:dyDescent="0.3">
      <c r="C1410" s="9"/>
    </row>
    <row r="1411" spans="3:3" x14ac:dyDescent="0.3">
      <c r="C1411" s="9"/>
    </row>
    <row r="1412" spans="3:3" x14ac:dyDescent="0.3">
      <c r="C1412" s="9"/>
    </row>
    <row r="1413" spans="3:3" x14ac:dyDescent="0.3">
      <c r="C1413" s="9"/>
    </row>
    <row r="1414" spans="3:3" x14ac:dyDescent="0.3">
      <c r="C1414" s="9"/>
    </row>
    <row r="1415" spans="3:3" x14ac:dyDescent="0.3">
      <c r="C1415" s="9"/>
    </row>
    <row r="1416" spans="3:3" x14ac:dyDescent="0.3">
      <c r="C1416" s="9"/>
    </row>
    <row r="1417" spans="3:3" x14ac:dyDescent="0.3">
      <c r="C1417" s="9"/>
    </row>
    <row r="1418" spans="3:3" x14ac:dyDescent="0.3">
      <c r="C1418" s="9"/>
    </row>
    <row r="1419" spans="3:3" x14ac:dyDescent="0.3">
      <c r="C1419" s="9"/>
    </row>
    <row r="1420" spans="3:3" x14ac:dyDescent="0.3">
      <c r="C1420" s="9"/>
    </row>
    <row r="1421" spans="3:3" x14ac:dyDescent="0.3">
      <c r="C1421" s="9"/>
    </row>
    <row r="1422" spans="3:3" x14ac:dyDescent="0.3">
      <c r="C1422" s="9"/>
    </row>
    <row r="1423" spans="3:3" x14ac:dyDescent="0.3">
      <c r="C1423" s="9"/>
    </row>
    <row r="1424" spans="3:3" x14ac:dyDescent="0.3">
      <c r="C1424" s="9"/>
    </row>
    <row r="1425" spans="3:3" x14ac:dyDescent="0.3">
      <c r="C1425" s="9"/>
    </row>
    <row r="1426" spans="3:3" x14ac:dyDescent="0.3">
      <c r="C1426" s="9"/>
    </row>
    <row r="1427" spans="3:3" x14ac:dyDescent="0.3">
      <c r="C1427" s="9"/>
    </row>
    <row r="1428" spans="3:3" x14ac:dyDescent="0.3">
      <c r="C1428" s="9"/>
    </row>
    <row r="1429" spans="3:3" x14ac:dyDescent="0.3">
      <c r="C1429" s="9"/>
    </row>
    <row r="1430" spans="3:3" x14ac:dyDescent="0.3">
      <c r="C1430" s="9"/>
    </row>
    <row r="1431" spans="3:3" x14ac:dyDescent="0.3">
      <c r="C1431" s="9"/>
    </row>
    <row r="1432" spans="3:3" x14ac:dyDescent="0.3">
      <c r="C1432" s="9"/>
    </row>
    <row r="1433" spans="3:3" x14ac:dyDescent="0.3">
      <c r="C1433" s="9"/>
    </row>
    <row r="1434" spans="3:3" x14ac:dyDescent="0.3">
      <c r="C1434" s="9"/>
    </row>
    <row r="1435" spans="3:3" x14ac:dyDescent="0.3">
      <c r="C1435" s="9"/>
    </row>
    <row r="1436" spans="3:3" x14ac:dyDescent="0.3">
      <c r="C1436" s="9"/>
    </row>
    <row r="1437" spans="3:3" x14ac:dyDescent="0.3">
      <c r="C1437" s="9"/>
    </row>
    <row r="1438" spans="3:3" x14ac:dyDescent="0.3">
      <c r="C1438" s="9"/>
    </row>
    <row r="1439" spans="3:3" x14ac:dyDescent="0.3">
      <c r="C1439" s="9"/>
    </row>
    <row r="1440" spans="3:3" x14ac:dyDescent="0.3">
      <c r="C1440" s="9"/>
    </row>
    <row r="1441" spans="3:3" x14ac:dyDescent="0.3">
      <c r="C1441" s="9"/>
    </row>
    <row r="1442" spans="3:3" x14ac:dyDescent="0.3">
      <c r="C1442" s="9"/>
    </row>
    <row r="1443" spans="3:3" x14ac:dyDescent="0.3">
      <c r="C1443" s="9"/>
    </row>
    <row r="1444" spans="3:3" x14ac:dyDescent="0.3">
      <c r="C1444" s="9"/>
    </row>
    <row r="1445" spans="3:3" x14ac:dyDescent="0.3">
      <c r="C1445" s="9"/>
    </row>
    <row r="1446" spans="3:3" x14ac:dyDescent="0.3">
      <c r="C1446" s="9"/>
    </row>
    <row r="1447" spans="3:3" x14ac:dyDescent="0.3">
      <c r="C1447" s="9"/>
    </row>
    <row r="1448" spans="3:3" x14ac:dyDescent="0.3">
      <c r="C1448" s="9"/>
    </row>
    <row r="1449" spans="3:3" x14ac:dyDescent="0.3">
      <c r="C1449" s="9"/>
    </row>
    <row r="1450" spans="3:3" x14ac:dyDescent="0.3">
      <c r="C1450" s="9"/>
    </row>
    <row r="1451" spans="3:3" x14ac:dyDescent="0.3">
      <c r="C1451" s="9"/>
    </row>
    <row r="1452" spans="3:3" x14ac:dyDescent="0.3">
      <c r="C1452" s="9"/>
    </row>
    <row r="1453" spans="3:3" x14ac:dyDescent="0.3">
      <c r="C1453" s="9"/>
    </row>
    <row r="1454" spans="3:3" x14ac:dyDescent="0.3">
      <c r="C1454" s="9"/>
    </row>
    <row r="1455" spans="3:3" x14ac:dyDescent="0.3">
      <c r="C1455" s="9"/>
    </row>
    <row r="1456" spans="3:3" x14ac:dyDescent="0.3">
      <c r="C1456" s="9"/>
    </row>
    <row r="1457" spans="3:3" x14ac:dyDescent="0.3">
      <c r="C1457" s="9"/>
    </row>
    <row r="1458" spans="3:3" x14ac:dyDescent="0.3">
      <c r="C1458" s="9"/>
    </row>
    <row r="1459" spans="3:3" x14ac:dyDescent="0.3">
      <c r="C1459" s="9"/>
    </row>
    <row r="1460" spans="3:3" x14ac:dyDescent="0.3">
      <c r="C1460" s="9"/>
    </row>
    <row r="1461" spans="3:3" x14ac:dyDescent="0.3">
      <c r="C1461" s="9"/>
    </row>
    <row r="1462" spans="3:3" x14ac:dyDescent="0.3">
      <c r="C1462" s="9"/>
    </row>
    <row r="1463" spans="3:3" x14ac:dyDescent="0.3">
      <c r="C1463" s="9"/>
    </row>
    <row r="1464" spans="3:3" x14ac:dyDescent="0.3">
      <c r="C1464" s="9"/>
    </row>
    <row r="1465" spans="3:3" x14ac:dyDescent="0.3">
      <c r="C1465" s="9"/>
    </row>
    <row r="1466" spans="3:3" x14ac:dyDescent="0.3">
      <c r="C1466" s="9"/>
    </row>
    <row r="1467" spans="3:3" x14ac:dyDescent="0.3">
      <c r="C1467" s="9"/>
    </row>
    <row r="1468" spans="3:3" x14ac:dyDescent="0.3">
      <c r="C1468" s="9"/>
    </row>
    <row r="1469" spans="3:3" x14ac:dyDescent="0.3">
      <c r="C1469" s="9"/>
    </row>
    <row r="1470" spans="3:3" x14ac:dyDescent="0.3">
      <c r="C1470" s="9"/>
    </row>
    <row r="1471" spans="3:3" x14ac:dyDescent="0.3">
      <c r="C1471" s="9"/>
    </row>
    <row r="1472" spans="3:3" x14ac:dyDescent="0.3">
      <c r="C1472" s="9"/>
    </row>
    <row r="1473" spans="3:3" x14ac:dyDescent="0.3">
      <c r="C1473" s="9"/>
    </row>
    <row r="1474" spans="3:3" x14ac:dyDescent="0.3">
      <c r="C1474" s="9"/>
    </row>
    <row r="1475" spans="3:3" x14ac:dyDescent="0.3">
      <c r="C1475" s="9"/>
    </row>
    <row r="1476" spans="3:3" x14ac:dyDescent="0.3">
      <c r="C1476" s="9"/>
    </row>
    <row r="1477" spans="3:3" x14ac:dyDescent="0.3">
      <c r="C1477" s="9"/>
    </row>
    <row r="1478" spans="3:3" x14ac:dyDescent="0.3">
      <c r="C1478" s="9"/>
    </row>
    <row r="1479" spans="3:3" x14ac:dyDescent="0.3">
      <c r="C1479" s="9"/>
    </row>
    <row r="1480" spans="3:3" x14ac:dyDescent="0.3">
      <c r="C1480" s="9"/>
    </row>
    <row r="1481" spans="3:3" x14ac:dyDescent="0.3">
      <c r="C1481" s="9"/>
    </row>
    <row r="1482" spans="3:3" x14ac:dyDescent="0.3">
      <c r="C1482" s="9"/>
    </row>
    <row r="1483" spans="3:3" x14ac:dyDescent="0.3">
      <c r="C1483" s="9"/>
    </row>
    <row r="1484" spans="3:3" x14ac:dyDescent="0.3">
      <c r="C1484" s="9"/>
    </row>
    <row r="1485" spans="3:3" x14ac:dyDescent="0.3">
      <c r="C1485" s="9"/>
    </row>
    <row r="1486" spans="3:3" x14ac:dyDescent="0.3">
      <c r="C1486" s="9"/>
    </row>
    <row r="1487" spans="3:3" x14ac:dyDescent="0.3">
      <c r="C1487" s="9"/>
    </row>
    <row r="1488" spans="3:3" x14ac:dyDescent="0.3">
      <c r="C1488" s="9"/>
    </row>
    <row r="1489" spans="3:3" x14ac:dyDescent="0.3">
      <c r="C1489" s="9"/>
    </row>
    <row r="1490" spans="3:3" x14ac:dyDescent="0.3">
      <c r="C1490" s="9"/>
    </row>
    <row r="1491" spans="3:3" x14ac:dyDescent="0.3">
      <c r="C1491" s="9"/>
    </row>
    <row r="1492" spans="3:3" x14ac:dyDescent="0.3">
      <c r="C1492" s="9"/>
    </row>
    <row r="1493" spans="3:3" x14ac:dyDescent="0.3">
      <c r="C1493" s="9"/>
    </row>
    <row r="1494" spans="3:3" x14ac:dyDescent="0.3">
      <c r="C1494" s="9"/>
    </row>
    <row r="1495" spans="3:3" x14ac:dyDescent="0.3">
      <c r="C1495" s="9"/>
    </row>
    <row r="1496" spans="3:3" x14ac:dyDescent="0.3">
      <c r="C1496" s="9"/>
    </row>
    <row r="1497" spans="3:3" x14ac:dyDescent="0.3">
      <c r="C1497" s="9"/>
    </row>
    <row r="1498" spans="3:3" x14ac:dyDescent="0.3">
      <c r="C1498" s="9"/>
    </row>
    <row r="1499" spans="3:3" x14ac:dyDescent="0.3">
      <c r="C1499" s="9"/>
    </row>
    <row r="1500" spans="3:3" x14ac:dyDescent="0.3">
      <c r="C1500" s="9"/>
    </row>
    <row r="1501" spans="3:3" x14ac:dyDescent="0.3">
      <c r="C1501" s="9"/>
    </row>
    <row r="1502" spans="3:3" x14ac:dyDescent="0.3">
      <c r="C1502" s="9"/>
    </row>
    <row r="1503" spans="3:3" x14ac:dyDescent="0.3">
      <c r="C1503" s="9"/>
    </row>
    <row r="1504" spans="3:3" x14ac:dyDescent="0.3">
      <c r="C1504" s="9"/>
    </row>
    <row r="1505" spans="3:3" x14ac:dyDescent="0.3">
      <c r="C1505" s="9"/>
    </row>
    <row r="1506" spans="3:3" x14ac:dyDescent="0.3">
      <c r="C1506" s="9"/>
    </row>
    <row r="1507" spans="3:3" x14ac:dyDescent="0.3">
      <c r="C1507" s="9"/>
    </row>
    <row r="1508" spans="3:3" x14ac:dyDescent="0.3">
      <c r="C1508" s="9"/>
    </row>
    <row r="1509" spans="3:3" x14ac:dyDescent="0.3">
      <c r="C1509" s="9"/>
    </row>
    <row r="1510" spans="3:3" x14ac:dyDescent="0.3">
      <c r="C1510" s="9"/>
    </row>
    <row r="1511" spans="3:3" x14ac:dyDescent="0.3">
      <c r="C1511" s="9"/>
    </row>
    <row r="1512" spans="3:3" x14ac:dyDescent="0.3">
      <c r="C1512" s="9"/>
    </row>
    <row r="1513" spans="3:3" x14ac:dyDescent="0.3">
      <c r="C1513" s="9"/>
    </row>
    <row r="1514" spans="3:3" x14ac:dyDescent="0.3">
      <c r="C1514" s="9"/>
    </row>
    <row r="1515" spans="3:3" x14ac:dyDescent="0.3">
      <c r="C1515" s="9"/>
    </row>
    <row r="1516" spans="3:3" x14ac:dyDescent="0.3">
      <c r="C1516" s="9"/>
    </row>
    <row r="1517" spans="3:3" x14ac:dyDescent="0.3">
      <c r="C1517" s="9"/>
    </row>
    <row r="1518" spans="3:3" x14ac:dyDescent="0.3">
      <c r="C1518" s="9"/>
    </row>
    <row r="1519" spans="3:3" x14ac:dyDescent="0.3">
      <c r="C1519" s="9"/>
    </row>
    <row r="1520" spans="3:3" x14ac:dyDescent="0.3">
      <c r="C1520" s="9"/>
    </row>
    <row r="1521" spans="3:3" x14ac:dyDescent="0.3">
      <c r="C1521" s="9"/>
    </row>
    <row r="1522" spans="3:3" x14ac:dyDescent="0.3">
      <c r="C1522" s="9"/>
    </row>
    <row r="1523" spans="3:3" x14ac:dyDescent="0.3">
      <c r="C1523" s="9"/>
    </row>
    <row r="1524" spans="3:3" x14ac:dyDescent="0.3">
      <c r="C1524" s="9"/>
    </row>
    <row r="1525" spans="3:3" x14ac:dyDescent="0.3">
      <c r="C1525" s="9"/>
    </row>
    <row r="1526" spans="3:3" x14ac:dyDescent="0.3">
      <c r="C1526" s="9"/>
    </row>
    <row r="1527" spans="3:3" x14ac:dyDescent="0.3">
      <c r="C1527" s="9"/>
    </row>
    <row r="1528" spans="3:3" x14ac:dyDescent="0.3">
      <c r="C1528" s="9"/>
    </row>
    <row r="1529" spans="3:3" x14ac:dyDescent="0.3">
      <c r="C1529" s="9"/>
    </row>
    <row r="1530" spans="3:3" x14ac:dyDescent="0.3">
      <c r="C1530" s="9"/>
    </row>
    <row r="1531" spans="3:3" x14ac:dyDescent="0.3">
      <c r="C1531" s="9"/>
    </row>
    <row r="1532" spans="3:3" x14ac:dyDescent="0.3">
      <c r="C1532" s="9"/>
    </row>
    <row r="1533" spans="3:3" x14ac:dyDescent="0.3">
      <c r="C1533" s="9"/>
    </row>
    <row r="1534" spans="3:3" x14ac:dyDescent="0.3">
      <c r="C1534" s="9"/>
    </row>
    <row r="1535" spans="3:3" x14ac:dyDescent="0.3">
      <c r="C1535" s="9"/>
    </row>
    <row r="1536" spans="3:3" x14ac:dyDescent="0.3">
      <c r="C1536" s="9"/>
    </row>
    <row r="1537" spans="3:3" x14ac:dyDescent="0.3">
      <c r="C1537" s="9"/>
    </row>
    <row r="1538" spans="3:3" x14ac:dyDescent="0.3">
      <c r="C1538" s="9"/>
    </row>
    <row r="1539" spans="3:3" x14ac:dyDescent="0.3">
      <c r="C1539" s="9"/>
    </row>
    <row r="1540" spans="3:3" x14ac:dyDescent="0.3">
      <c r="C1540" s="9"/>
    </row>
    <row r="1541" spans="3:3" x14ac:dyDescent="0.3">
      <c r="C1541" s="9"/>
    </row>
    <row r="1542" spans="3:3" x14ac:dyDescent="0.3">
      <c r="C1542" s="9"/>
    </row>
    <row r="1543" spans="3:3" x14ac:dyDescent="0.3">
      <c r="C1543" s="9"/>
    </row>
    <row r="1544" spans="3:3" x14ac:dyDescent="0.3">
      <c r="C1544" s="9"/>
    </row>
    <row r="1545" spans="3:3" x14ac:dyDescent="0.3">
      <c r="C1545" s="9"/>
    </row>
    <row r="1546" spans="3:3" x14ac:dyDescent="0.3">
      <c r="C1546" s="9"/>
    </row>
    <row r="1547" spans="3:3" x14ac:dyDescent="0.3">
      <c r="C1547" s="9"/>
    </row>
    <row r="1548" spans="3:3" x14ac:dyDescent="0.3">
      <c r="C1548" s="9"/>
    </row>
    <row r="1549" spans="3:3" x14ac:dyDescent="0.3">
      <c r="C1549" s="9"/>
    </row>
    <row r="1550" spans="3:3" x14ac:dyDescent="0.3">
      <c r="C1550" s="9"/>
    </row>
    <row r="1551" spans="3:3" x14ac:dyDescent="0.3">
      <c r="C1551" s="9"/>
    </row>
    <row r="1552" spans="3:3" x14ac:dyDescent="0.3">
      <c r="C1552" s="9"/>
    </row>
    <row r="1553" spans="3:3" x14ac:dyDescent="0.3">
      <c r="C1553" s="9"/>
    </row>
    <row r="1554" spans="3:3" x14ac:dyDescent="0.3">
      <c r="C1554" s="9"/>
    </row>
    <row r="1555" spans="3:3" x14ac:dyDescent="0.3">
      <c r="C1555" s="9"/>
    </row>
    <row r="1556" spans="3:3" x14ac:dyDescent="0.3">
      <c r="C1556" s="9"/>
    </row>
    <row r="1557" spans="3:3" x14ac:dyDescent="0.3">
      <c r="C1557" s="9"/>
    </row>
    <row r="1558" spans="3:3" x14ac:dyDescent="0.3">
      <c r="C1558" s="9"/>
    </row>
    <row r="1559" spans="3:3" x14ac:dyDescent="0.3">
      <c r="C1559" s="9"/>
    </row>
    <row r="1560" spans="3:3" x14ac:dyDescent="0.3">
      <c r="C1560" s="9"/>
    </row>
    <row r="1561" spans="3:3" x14ac:dyDescent="0.3">
      <c r="C1561" s="9"/>
    </row>
    <row r="1562" spans="3:3" x14ac:dyDescent="0.3">
      <c r="C1562" s="9"/>
    </row>
    <row r="1563" spans="3:3" x14ac:dyDescent="0.3">
      <c r="C1563" s="9"/>
    </row>
    <row r="1564" spans="3:3" x14ac:dyDescent="0.3">
      <c r="C1564" s="9"/>
    </row>
    <row r="1565" spans="3:3" x14ac:dyDescent="0.3">
      <c r="C1565" s="9"/>
    </row>
    <row r="1566" spans="3:3" x14ac:dyDescent="0.3">
      <c r="C1566" s="9"/>
    </row>
    <row r="1567" spans="3:3" x14ac:dyDescent="0.3">
      <c r="C1567" s="9"/>
    </row>
    <row r="1568" spans="3:3" x14ac:dyDescent="0.3">
      <c r="C1568" s="9"/>
    </row>
    <row r="1569" spans="3:3" x14ac:dyDescent="0.3">
      <c r="C1569" s="9"/>
    </row>
    <row r="1570" spans="3:3" x14ac:dyDescent="0.3">
      <c r="C1570" s="9"/>
    </row>
    <row r="1571" spans="3:3" x14ac:dyDescent="0.3">
      <c r="C1571" s="9"/>
    </row>
    <row r="1572" spans="3:3" x14ac:dyDescent="0.3">
      <c r="C1572" s="9"/>
    </row>
    <row r="1573" spans="3:3" x14ac:dyDescent="0.3">
      <c r="C1573" s="9"/>
    </row>
    <row r="1574" spans="3:3" x14ac:dyDescent="0.3">
      <c r="C1574" s="9"/>
    </row>
    <row r="1575" spans="3:3" x14ac:dyDescent="0.3">
      <c r="C1575" s="9"/>
    </row>
    <row r="1576" spans="3:3" x14ac:dyDescent="0.3">
      <c r="C1576" s="9"/>
    </row>
    <row r="1577" spans="3:3" x14ac:dyDescent="0.3">
      <c r="C1577" s="9"/>
    </row>
    <row r="1578" spans="3:3" x14ac:dyDescent="0.3">
      <c r="C1578" s="9"/>
    </row>
    <row r="1579" spans="3:3" x14ac:dyDescent="0.3">
      <c r="C1579" s="9"/>
    </row>
    <row r="1580" spans="3:3" x14ac:dyDescent="0.3">
      <c r="C1580" s="9"/>
    </row>
    <row r="1581" spans="3:3" x14ac:dyDescent="0.3">
      <c r="C1581" s="9"/>
    </row>
    <row r="1582" spans="3:3" x14ac:dyDescent="0.3">
      <c r="C1582" s="9"/>
    </row>
    <row r="1583" spans="3:3" x14ac:dyDescent="0.3">
      <c r="C1583" s="9"/>
    </row>
    <row r="1584" spans="3:3" x14ac:dyDescent="0.3">
      <c r="C1584" s="9"/>
    </row>
    <row r="1585" spans="3:3" x14ac:dyDescent="0.3">
      <c r="C1585" s="9"/>
    </row>
    <row r="1586" spans="3:3" x14ac:dyDescent="0.3">
      <c r="C1586" s="9"/>
    </row>
    <row r="1587" spans="3:3" x14ac:dyDescent="0.3">
      <c r="C1587" s="9"/>
    </row>
    <row r="1588" spans="3:3" x14ac:dyDescent="0.3">
      <c r="C1588" s="9"/>
    </row>
    <row r="1589" spans="3:3" x14ac:dyDescent="0.3">
      <c r="C1589" s="9"/>
    </row>
    <row r="1590" spans="3:3" x14ac:dyDescent="0.3">
      <c r="C1590" s="9"/>
    </row>
    <row r="1591" spans="3:3" x14ac:dyDescent="0.3">
      <c r="C1591" s="9"/>
    </row>
    <row r="1592" spans="3:3" x14ac:dyDescent="0.3">
      <c r="C1592" s="9"/>
    </row>
    <row r="1593" spans="3:3" x14ac:dyDescent="0.3">
      <c r="C1593" s="9"/>
    </row>
    <row r="1594" spans="3:3" x14ac:dyDescent="0.3">
      <c r="C1594" s="9"/>
    </row>
    <row r="1595" spans="3:3" x14ac:dyDescent="0.3">
      <c r="C1595" s="9"/>
    </row>
    <row r="1596" spans="3:3" x14ac:dyDescent="0.3">
      <c r="C1596" s="9"/>
    </row>
    <row r="1597" spans="3:3" x14ac:dyDescent="0.3">
      <c r="C1597" s="9"/>
    </row>
    <row r="1598" spans="3:3" x14ac:dyDescent="0.3">
      <c r="C1598" s="9"/>
    </row>
    <row r="1599" spans="3:3" x14ac:dyDescent="0.3">
      <c r="C1599" s="9"/>
    </row>
    <row r="1600" spans="3:3" x14ac:dyDescent="0.3">
      <c r="C1600" s="9"/>
    </row>
    <row r="1601" spans="3:3" x14ac:dyDescent="0.3">
      <c r="C1601" s="9"/>
    </row>
    <row r="1602" spans="3:3" x14ac:dyDescent="0.3">
      <c r="C1602" s="9"/>
    </row>
    <row r="1603" spans="3:3" x14ac:dyDescent="0.3">
      <c r="C1603" s="9"/>
    </row>
    <row r="1604" spans="3:3" x14ac:dyDescent="0.3">
      <c r="C1604" s="9"/>
    </row>
    <row r="1605" spans="3:3" x14ac:dyDescent="0.3">
      <c r="C1605" s="9"/>
    </row>
    <row r="1606" spans="3:3" x14ac:dyDescent="0.3">
      <c r="C1606" s="9"/>
    </row>
    <row r="1607" spans="3:3" x14ac:dyDescent="0.3">
      <c r="C1607" s="9"/>
    </row>
    <row r="1608" spans="3:3" x14ac:dyDescent="0.3">
      <c r="C1608" s="9"/>
    </row>
    <row r="1609" spans="3:3" x14ac:dyDescent="0.3">
      <c r="C1609" s="9"/>
    </row>
    <row r="1610" spans="3:3" x14ac:dyDescent="0.3">
      <c r="C1610" s="9"/>
    </row>
    <row r="1611" spans="3:3" x14ac:dyDescent="0.3">
      <c r="C1611" s="9"/>
    </row>
    <row r="1612" spans="3:3" x14ac:dyDescent="0.3">
      <c r="C1612" s="9"/>
    </row>
    <row r="1613" spans="3:3" x14ac:dyDescent="0.3">
      <c r="C1613" s="9"/>
    </row>
    <row r="1614" spans="3:3" x14ac:dyDescent="0.3">
      <c r="C1614" s="9"/>
    </row>
    <row r="1615" spans="3:3" x14ac:dyDescent="0.3">
      <c r="C1615" s="9"/>
    </row>
    <row r="1616" spans="3:3" x14ac:dyDescent="0.3">
      <c r="C1616" s="9"/>
    </row>
    <row r="1617" spans="3:3" x14ac:dyDescent="0.3">
      <c r="C1617" s="9"/>
    </row>
    <row r="1618" spans="3:3" x14ac:dyDescent="0.3">
      <c r="C1618" s="9"/>
    </row>
    <row r="1619" spans="3:3" x14ac:dyDescent="0.3">
      <c r="C1619" s="9"/>
    </row>
    <row r="1620" spans="3:3" x14ac:dyDescent="0.3">
      <c r="C1620" s="9"/>
    </row>
    <row r="1621" spans="3:3" x14ac:dyDescent="0.3">
      <c r="C1621" s="9"/>
    </row>
    <row r="1622" spans="3:3" x14ac:dyDescent="0.3">
      <c r="C1622" s="9"/>
    </row>
    <row r="1623" spans="3:3" x14ac:dyDescent="0.3">
      <c r="C1623" s="9"/>
    </row>
    <row r="1624" spans="3:3" x14ac:dyDescent="0.3">
      <c r="C1624" s="9"/>
    </row>
    <row r="1625" spans="3:3" x14ac:dyDescent="0.3">
      <c r="C1625" s="9"/>
    </row>
    <row r="1626" spans="3:3" x14ac:dyDescent="0.3">
      <c r="C1626" s="9"/>
    </row>
    <row r="1627" spans="3:3" x14ac:dyDescent="0.3">
      <c r="C1627" s="9"/>
    </row>
    <row r="1628" spans="3:3" x14ac:dyDescent="0.3">
      <c r="C1628" s="9"/>
    </row>
    <row r="1629" spans="3:3" x14ac:dyDescent="0.3">
      <c r="C1629" s="9"/>
    </row>
    <row r="1630" spans="3:3" x14ac:dyDescent="0.3">
      <c r="C1630" s="9"/>
    </row>
    <row r="1631" spans="3:3" x14ac:dyDescent="0.3">
      <c r="C1631" s="9"/>
    </row>
    <row r="1632" spans="3:3" x14ac:dyDescent="0.3">
      <c r="C1632" s="9"/>
    </row>
    <row r="1633" spans="3:3" x14ac:dyDescent="0.3">
      <c r="C1633" s="9"/>
    </row>
    <row r="1634" spans="3:3" x14ac:dyDescent="0.3">
      <c r="C1634" s="9"/>
    </row>
    <row r="1635" spans="3:3" x14ac:dyDescent="0.3">
      <c r="C1635" s="9"/>
    </row>
    <row r="1636" spans="3:3" x14ac:dyDescent="0.3">
      <c r="C1636" s="9"/>
    </row>
    <row r="1637" spans="3:3" x14ac:dyDescent="0.3">
      <c r="C1637" s="9"/>
    </row>
    <row r="1638" spans="3:3" x14ac:dyDescent="0.3">
      <c r="C1638" s="9"/>
    </row>
    <row r="1639" spans="3:3" x14ac:dyDescent="0.3">
      <c r="C1639" s="9"/>
    </row>
    <row r="1640" spans="3:3" x14ac:dyDescent="0.3">
      <c r="C1640" s="9"/>
    </row>
    <row r="1641" spans="3:3" x14ac:dyDescent="0.3">
      <c r="C1641" s="9"/>
    </row>
    <row r="1642" spans="3:3" x14ac:dyDescent="0.3">
      <c r="C1642" s="9"/>
    </row>
    <row r="1643" spans="3:3" x14ac:dyDescent="0.3">
      <c r="C1643" s="9"/>
    </row>
    <row r="1644" spans="3:3" x14ac:dyDescent="0.3">
      <c r="C1644" s="9"/>
    </row>
    <row r="1645" spans="3:3" x14ac:dyDescent="0.3">
      <c r="C1645" s="9"/>
    </row>
    <row r="1646" spans="3:3" x14ac:dyDescent="0.3">
      <c r="C1646" s="9"/>
    </row>
    <row r="1647" spans="3:3" x14ac:dyDescent="0.3">
      <c r="C1647" s="9"/>
    </row>
    <row r="1648" spans="3:3" x14ac:dyDescent="0.3">
      <c r="C1648" s="9"/>
    </row>
    <row r="1649" spans="3:3" x14ac:dyDescent="0.3">
      <c r="C1649" s="9"/>
    </row>
    <row r="1650" spans="3:3" x14ac:dyDescent="0.3">
      <c r="C1650" s="9"/>
    </row>
    <row r="1651" spans="3:3" x14ac:dyDescent="0.3">
      <c r="C1651" s="9"/>
    </row>
    <row r="1652" spans="3:3" x14ac:dyDescent="0.3">
      <c r="C1652" s="9"/>
    </row>
    <row r="1653" spans="3:3" x14ac:dyDescent="0.3">
      <c r="C1653" s="9"/>
    </row>
    <row r="1654" spans="3:3" x14ac:dyDescent="0.3">
      <c r="C1654" s="9"/>
    </row>
    <row r="1655" spans="3:3" x14ac:dyDescent="0.3">
      <c r="C1655" s="9"/>
    </row>
    <row r="1656" spans="3:3" x14ac:dyDescent="0.3">
      <c r="C1656" s="9"/>
    </row>
    <row r="1657" spans="3:3" x14ac:dyDescent="0.3">
      <c r="C1657" s="9"/>
    </row>
    <row r="1658" spans="3:3" x14ac:dyDescent="0.3">
      <c r="C1658" s="9"/>
    </row>
    <row r="1659" spans="3:3" x14ac:dyDescent="0.3">
      <c r="C1659" s="9"/>
    </row>
    <row r="1660" spans="3:3" x14ac:dyDescent="0.3">
      <c r="C1660" s="9"/>
    </row>
    <row r="1661" spans="3:3" x14ac:dyDescent="0.3">
      <c r="C1661" s="9"/>
    </row>
    <row r="1662" spans="3:3" x14ac:dyDescent="0.3">
      <c r="C1662" s="9"/>
    </row>
    <row r="1663" spans="3:3" x14ac:dyDescent="0.3">
      <c r="C1663" s="9"/>
    </row>
    <row r="1664" spans="3:3" x14ac:dyDescent="0.3">
      <c r="C1664" s="9"/>
    </row>
    <row r="1665" spans="3:3" x14ac:dyDescent="0.3">
      <c r="C1665" s="9"/>
    </row>
    <row r="1666" spans="3:3" x14ac:dyDescent="0.3">
      <c r="C1666" s="9"/>
    </row>
    <row r="1667" spans="3:3" x14ac:dyDescent="0.3">
      <c r="C1667" s="9"/>
    </row>
    <row r="1668" spans="3:3" x14ac:dyDescent="0.3">
      <c r="C1668" s="9"/>
    </row>
    <row r="1669" spans="3:3" x14ac:dyDescent="0.3">
      <c r="C1669" s="9"/>
    </row>
    <row r="1670" spans="3:3" x14ac:dyDescent="0.3">
      <c r="C1670" s="9"/>
    </row>
    <row r="1671" spans="3:3" x14ac:dyDescent="0.3">
      <c r="C1671" s="9"/>
    </row>
    <row r="1672" spans="3:3" x14ac:dyDescent="0.3">
      <c r="C1672" s="9"/>
    </row>
    <row r="1673" spans="3:3" x14ac:dyDescent="0.3">
      <c r="C1673" s="9"/>
    </row>
    <row r="1674" spans="3:3" x14ac:dyDescent="0.3">
      <c r="C1674" s="9"/>
    </row>
    <row r="1675" spans="3:3" x14ac:dyDescent="0.3">
      <c r="C1675" s="9"/>
    </row>
    <row r="1676" spans="3:3" x14ac:dyDescent="0.3">
      <c r="C1676" s="9"/>
    </row>
    <row r="1677" spans="3:3" x14ac:dyDescent="0.3">
      <c r="C1677" s="9"/>
    </row>
    <row r="1678" spans="3:3" x14ac:dyDescent="0.3">
      <c r="C1678" s="9"/>
    </row>
    <row r="1679" spans="3:3" x14ac:dyDescent="0.3">
      <c r="C1679" s="9"/>
    </row>
    <row r="1680" spans="3:3" x14ac:dyDescent="0.3">
      <c r="C1680" s="9"/>
    </row>
    <row r="1681" spans="3:3" x14ac:dyDescent="0.3">
      <c r="C1681" s="9"/>
    </row>
    <row r="1682" spans="3:3" x14ac:dyDescent="0.3">
      <c r="C1682" s="9"/>
    </row>
    <row r="1683" spans="3:3" x14ac:dyDescent="0.3">
      <c r="C1683" s="9"/>
    </row>
    <row r="1684" spans="3:3" x14ac:dyDescent="0.3">
      <c r="C1684" s="9"/>
    </row>
    <row r="1685" spans="3:3" x14ac:dyDescent="0.3">
      <c r="C1685" s="9"/>
    </row>
    <row r="1686" spans="3:3" x14ac:dyDescent="0.3">
      <c r="C1686" s="9"/>
    </row>
    <row r="1687" spans="3:3" x14ac:dyDescent="0.3">
      <c r="C1687" s="9"/>
    </row>
    <row r="1688" spans="3:3" x14ac:dyDescent="0.3">
      <c r="C1688" s="9"/>
    </row>
    <row r="1689" spans="3:3" x14ac:dyDescent="0.3">
      <c r="C1689" s="9"/>
    </row>
    <row r="1690" spans="3:3" x14ac:dyDescent="0.3">
      <c r="C1690" s="9"/>
    </row>
    <row r="1691" spans="3:3" x14ac:dyDescent="0.3">
      <c r="C1691" s="9"/>
    </row>
    <row r="1692" spans="3:3" x14ac:dyDescent="0.3">
      <c r="C1692" s="9"/>
    </row>
    <row r="1693" spans="3:3" x14ac:dyDescent="0.3">
      <c r="C1693" s="9"/>
    </row>
    <row r="1694" spans="3:3" x14ac:dyDescent="0.3">
      <c r="C1694" s="9"/>
    </row>
    <row r="1695" spans="3:3" x14ac:dyDescent="0.3">
      <c r="C1695" s="9"/>
    </row>
    <row r="1696" spans="3:3" x14ac:dyDescent="0.3">
      <c r="C1696" s="9"/>
    </row>
    <row r="1697" spans="3:3" x14ac:dyDescent="0.3">
      <c r="C1697" s="9"/>
    </row>
    <row r="1698" spans="3:3" x14ac:dyDescent="0.3">
      <c r="C1698" s="9"/>
    </row>
    <row r="1699" spans="3:3" x14ac:dyDescent="0.3">
      <c r="C1699" s="9"/>
    </row>
    <row r="1700" spans="3:3" x14ac:dyDescent="0.3">
      <c r="C1700" s="9"/>
    </row>
    <row r="1701" spans="3:3" x14ac:dyDescent="0.3">
      <c r="C1701" s="9"/>
    </row>
    <row r="1702" spans="3:3" x14ac:dyDescent="0.3">
      <c r="C1702" s="9"/>
    </row>
    <row r="1703" spans="3:3" x14ac:dyDescent="0.3">
      <c r="C1703" s="9"/>
    </row>
    <row r="1704" spans="3:3" x14ac:dyDescent="0.3">
      <c r="C1704" s="9"/>
    </row>
    <row r="1705" spans="3:3" x14ac:dyDescent="0.3">
      <c r="C1705" s="9"/>
    </row>
    <row r="1706" spans="3:3" x14ac:dyDescent="0.3">
      <c r="C1706" s="9"/>
    </row>
    <row r="1707" spans="3:3" x14ac:dyDescent="0.3">
      <c r="C1707" s="9"/>
    </row>
    <row r="1708" spans="3:3" x14ac:dyDescent="0.3">
      <c r="C1708" s="9"/>
    </row>
    <row r="1709" spans="3:3" x14ac:dyDescent="0.3">
      <c r="C1709" s="9"/>
    </row>
    <row r="1710" spans="3:3" x14ac:dyDescent="0.3">
      <c r="C1710" s="9"/>
    </row>
    <row r="1711" spans="3:3" x14ac:dyDescent="0.3">
      <c r="C1711" s="9"/>
    </row>
    <row r="1712" spans="3:3" x14ac:dyDescent="0.3">
      <c r="C1712" s="9"/>
    </row>
    <row r="1713" spans="3:3" x14ac:dyDescent="0.3">
      <c r="C1713" s="9"/>
    </row>
    <row r="1714" spans="3:3" x14ac:dyDescent="0.3">
      <c r="C1714" s="9"/>
    </row>
    <row r="1715" spans="3:3" x14ac:dyDescent="0.3">
      <c r="C1715" s="9"/>
    </row>
    <row r="1716" spans="3:3" x14ac:dyDescent="0.3">
      <c r="C1716" s="9"/>
    </row>
    <row r="1717" spans="3:3" x14ac:dyDescent="0.3">
      <c r="C1717" s="9"/>
    </row>
    <row r="1718" spans="3:3" x14ac:dyDescent="0.3">
      <c r="C1718" s="9"/>
    </row>
    <row r="1719" spans="3:3" x14ac:dyDescent="0.3">
      <c r="C1719" s="9"/>
    </row>
    <row r="1720" spans="3:3" x14ac:dyDescent="0.3">
      <c r="C1720" s="9"/>
    </row>
    <row r="1721" spans="3:3" x14ac:dyDescent="0.3">
      <c r="C1721" s="9"/>
    </row>
    <row r="1722" spans="3:3" x14ac:dyDescent="0.3">
      <c r="C1722" s="9"/>
    </row>
    <row r="1723" spans="3:3" x14ac:dyDescent="0.3">
      <c r="C1723" s="9"/>
    </row>
    <row r="1724" spans="3:3" x14ac:dyDescent="0.3">
      <c r="C1724" s="9"/>
    </row>
    <row r="1725" spans="3:3" x14ac:dyDescent="0.3">
      <c r="C1725" s="9"/>
    </row>
    <row r="1726" spans="3:3" x14ac:dyDescent="0.3">
      <c r="C1726" s="9"/>
    </row>
    <row r="1727" spans="3:3" x14ac:dyDescent="0.3">
      <c r="C1727" s="9"/>
    </row>
    <row r="1728" spans="3:3" x14ac:dyDescent="0.3">
      <c r="C1728" s="9"/>
    </row>
    <row r="1729" spans="3:3" x14ac:dyDescent="0.3">
      <c r="C1729" s="9"/>
    </row>
    <row r="1730" spans="3:3" x14ac:dyDescent="0.3">
      <c r="C1730" s="9"/>
    </row>
    <row r="1731" spans="3:3" x14ac:dyDescent="0.3">
      <c r="C1731" s="9"/>
    </row>
    <row r="1732" spans="3:3" x14ac:dyDescent="0.3">
      <c r="C1732" s="9"/>
    </row>
    <row r="1733" spans="3:3" x14ac:dyDescent="0.3">
      <c r="C1733" s="9"/>
    </row>
    <row r="1734" spans="3:3" x14ac:dyDescent="0.3">
      <c r="C1734" s="9"/>
    </row>
    <row r="1735" spans="3:3" x14ac:dyDescent="0.3">
      <c r="C1735" s="9"/>
    </row>
    <row r="1736" spans="3:3" x14ac:dyDescent="0.3">
      <c r="C1736" s="9"/>
    </row>
    <row r="1737" spans="3:3" x14ac:dyDescent="0.3">
      <c r="C1737" s="9"/>
    </row>
    <row r="1738" spans="3:3" x14ac:dyDescent="0.3">
      <c r="C1738" s="9"/>
    </row>
    <row r="1739" spans="3:3" x14ac:dyDescent="0.3">
      <c r="C1739" s="9"/>
    </row>
    <row r="1740" spans="3:3" x14ac:dyDescent="0.3">
      <c r="C1740" s="9"/>
    </row>
    <row r="1741" spans="3:3" x14ac:dyDescent="0.3">
      <c r="C1741" s="9"/>
    </row>
    <row r="1742" spans="3:3" x14ac:dyDescent="0.3">
      <c r="C1742" s="9"/>
    </row>
    <row r="1743" spans="3:3" x14ac:dyDescent="0.3">
      <c r="C1743" s="9"/>
    </row>
    <row r="1744" spans="3:3" x14ac:dyDescent="0.3">
      <c r="C1744" s="9"/>
    </row>
    <row r="1745" spans="3:3" x14ac:dyDescent="0.3">
      <c r="C1745" s="9"/>
    </row>
    <row r="1746" spans="3:3" x14ac:dyDescent="0.3">
      <c r="C1746" s="9"/>
    </row>
    <row r="1747" spans="3:3" x14ac:dyDescent="0.3">
      <c r="C1747" s="9"/>
    </row>
    <row r="1748" spans="3:3" x14ac:dyDescent="0.3">
      <c r="C1748" s="9"/>
    </row>
    <row r="1749" spans="3:3" x14ac:dyDescent="0.3">
      <c r="C1749" s="9"/>
    </row>
    <row r="1750" spans="3:3" x14ac:dyDescent="0.3">
      <c r="C1750" s="9"/>
    </row>
    <row r="1751" spans="3:3" x14ac:dyDescent="0.3">
      <c r="C1751" s="9"/>
    </row>
    <row r="1752" spans="3:3" x14ac:dyDescent="0.3">
      <c r="C1752" s="9"/>
    </row>
    <row r="1753" spans="3:3" x14ac:dyDescent="0.3">
      <c r="C1753" s="9"/>
    </row>
    <row r="1754" spans="3:3" x14ac:dyDescent="0.3">
      <c r="C1754" s="9"/>
    </row>
    <row r="1755" spans="3:3" x14ac:dyDescent="0.3">
      <c r="C1755" s="9"/>
    </row>
    <row r="1756" spans="3:3" x14ac:dyDescent="0.3">
      <c r="C1756" s="9"/>
    </row>
    <row r="1757" spans="3:3" x14ac:dyDescent="0.3">
      <c r="C1757" s="9"/>
    </row>
    <row r="1758" spans="3:3" x14ac:dyDescent="0.3">
      <c r="C1758" s="9"/>
    </row>
    <row r="1759" spans="3:3" x14ac:dyDescent="0.3">
      <c r="C1759" s="9"/>
    </row>
    <row r="1760" spans="3:3" x14ac:dyDescent="0.3">
      <c r="C1760" s="9"/>
    </row>
    <row r="1761" spans="3:3" x14ac:dyDescent="0.3">
      <c r="C1761" s="9"/>
    </row>
    <row r="1762" spans="3:3" x14ac:dyDescent="0.3">
      <c r="C1762" s="9"/>
    </row>
    <row r="1763" spans="3:3" x14ac:dyDescent="0.3">
      <c r="C1763" s="9"/>
    </row>
    <row r="1764" spans="3:3" x14ac:dyDescent="0.3">
      <c r="C1764" s="9"/>
    </row>
    <row r="1765" spans="3:3" x14ac:dyDescent="0.3">
      <c r="C1765" s="9"/>
    </row>
    <row r="1766" spans="3:3" x14ac:dyDescent="0.3">
      <c r="C1766" s="9"/>
    </row>
    <row r="1767" spans="3:3" x14ac:dyDescent="0.3">
      <c r="C1767" s="9"/>
    </row>
    <row r="1768" spans="3:3" x14ac:dyDescent="0.3">
      <c r="C1768" s="9"/>
    </row>
    <row r="1769" spans="3:3" x14ac:dyDescent="0.3">
      <c r="C1769" s="9"/>
    </row>
    <row r="1770" spans="3:3" x14ac:dyDescent="0.3">
      <c r="C1770" s="9"/>
    </row>
    <row r="1771" spans="3:3" x14ac:dyDescent="0.3">
      <c r="C1771" s="9"/>
    </row>
    <row r="1772" spans="3:3" x14ac:dyDescent="0.3">
      <c r="C1772" s="9"/>
    </row>
    <row r="1773" spans="3:3" x14ac:dyDescent="0.3">
      <c r="C1773" s="9"/>
    </row>
    <row r="1774" spans="3:3" x14ac:dyDescent="0.3">
      <c r="C1774" s="9"/>
    </row>
    <row r="1775" spans="3:3" x14ac:dyDescent="0.3">
      <c r="C1775" s="9"/>
    </row>
    <row r="1776" spans="3:3" x14ac:dyDescent="0.3">
      <c r="C1776" s="9"/>
    </row>
    <row r="1777" spans="3:3" x14ac:dyDescent="0.3">
      <c r="C1777" s="9"/>
    </row>
    <row r="1778" spans="3:3" x14ac:dyDescent="0.3">
      <c r="C1778" s="9"/>
    </row>
    <row r="1779" spans="3:3" x14ac:dyDescent="0.3">
      <c r="C1779" s="9"/>
    </row>
    <row r="1780" spans="3:3" x14ac:dyDescent="0.3">
      <c r="C1780" s="9"/>
    </row>
    <row r="1781" spans="3:3" x14ac:dyDescent="0.3">
      <c r="C1781" s="9"/>
    </row>
    <row r="1782" spans="3:3" x14ac:dyDescent="0.3">
      <c r="C1782" s="9"/>
    </row>
    <row r="1783" spans="3:3" x14ac:dyDescent="0.3">
      <c r="C1783" s="9"/>
    </row>
    <row r="1784" spans="3:3" x14ac:dyDescent="0.3">
      <c r="C1784" s="9"/>
    </row>
    <row r="1785" spans="3:3" x14ac:dyDescent="0.3">
      <c r="C1785" s="9"/>
    </row>
    <row r="1786" spans="3:3" x14ac:dyDescent="0.3">
      <c r="C1786" s="9"/>
    </row>
    <row r="1787" spans="3:3" x14ac:dyDescent="0.3">
      <c r="C1787" s="9"/>
    </row>
    <row r="1788" spans="3:3" x14ac:dyDescent="0.3">
      <c r="C1788" s="9"/>
    </row>
    <row r="1789" spans="3:3" x14ac:dyDescent="0.3">
      <c r="C1789" s="9"/>
    </row>
    <row r="1790" spans="3:3" x14ac:dyDescent="0.3">
      <c r="C1790" s="9"/>
    </row>
    <row r="1791" spans="3:3" x14ac:dyDescent="0.3">
      <c r="C1791" s="9"/>
    </row>
    <row r="1792" spans="3:3" x14ac:dyDescent="0.3">
      <c r="C1792" s="9"/>
    </row>
    <row r="1793" spans="3:3" x14ac:dyDescent="0.3">
      <c r="C1793" s="9"/>
    </row>
    <row r="1794" spans="3:3" x14ac:dyDescent="0.3">
      <c r="C1794" s="9"/>
    </row>
    <row r="1795" spans="3:3" x14ac:dyDescent="0.3">
      <c r="C1795" s="9"/>
    </row>
    <row r="1796" spans="3:3" x14ac:dyDescent="0.3">
      <c r="C1796" s="9"/>
    </row>
    <row r="1797" spans="3:3" x14ac:dyDescent="0.3">
      <c r="C1797" s="9"/>
    </row>
    <row r="1798" spans="3:3" x14ac:dyDescent="0.3">
      <c r="C1798" s="9"/>
    </row>
    <row r="1799" spans="3:3" x14ac:dyDescent="0.3">
      <c r="C1799" s="9"/>
    </row>
    <row r="1800" spans="3:3" x14ac:dyDescent="0.3">
      <c r="C1800" s="9"/>
    </row>
    <row r="1801" spans="3:3" x14ac:dyDescent="0.3">
      <c r="C1801" s="9"/>
    </row>
    <row r="1802" spans="3:3" x14ac:dyDescent="0.3">
      <c r="C1802" s="9"/>
    </row>
    <row r="1803" spans="3:3" x14ac:dyDescent="0.3">
      <c r="C1803" s="9"/>
    </row>
    <row r="1804" spans="3:3" x14ac:dyDescent="0.3">
      <c r="C1804" s="9"/>
    </row>
    <row r="1805" spans="3:3" x14ac:dyDescent="0.3">
      <c r="C1805" s="9"/>
    </row>
    <row r="1806" spans="3:3" x14ac:dyDescent="0.3">
      <c r="C1806" s="9"/>
    </row>
    <row r="1807" spans="3:3" x14ac:dyDescent="0.3">
      <c r="C1807" s="9"/>
    </row>
    <row r="1808" spans="3:3" x14ac:dyDescent="0.3">
      <c r="C1808" s="9"/>
    </row>
    <row r="1809" spans="3:3" x14ac:dyDescent="0.3">
      <c r="C1809" s="9"/>
    </row>
    <row r="1810" spans="3:3" x14ac:dyDescent="0.3">
      <c r="C1810" s="9"/>
    </row>
    <row r="1811" spans="3:3" x14ac:dyDescent="0.3">
      <c r="C1811" s="9"/>
    </row>
    <row r="1812" spans="3:3" x14ac:dyDescent="0.3">
      <c r="C1812" s="9"/>
    </row>
    <row r="1813" spans="3:3" x14ac:dyDescent="0.3">
      <c r="C1813" s="9"/>
    </row>
    <row r="1814" spans="3:3" x14ac:dyDescent="0.3">
      <c r="C1814" s="9"/>
    </row>
    <row r="1815" spans="3:3" x14ac:dyDescent="0.3">
      <c r="C1815" s="9"/>
    </row>
    <row r="1816" spans="3:3" x14ac:dyDescent="0.3">
      <c r="C1816" s="9"/>
    </row>
    <row r="1817" spans="3:3" x14ac:dyDescent="0.3">
      <c r="C1817" s="9"/>
    </row>
    <row r="1818" spans="3:3" x14ac:dyDescent="0.3">
      <c r="C1818" s="9"/>
    </row>
    <row r="1819" spans="3:3" x14ac:dyDescent="0.3">
      <c r="C1819" s="9"/>
    </row>
    <row r="1820" spans="3:3" x14ac:dyDescent="0.3">
      <c r="C1820" s="9"/>
    </row>
    <row r="1821" spans="3:3" x14ac:dyDescent="0.3">
      <c r="C1821" s="9"/>
    </row>
    <row r="1822" spans="3:3" x14ac:dyDescent="0.3">
      <c r="C1822" s="9"/>
    </row>
    <row r="1823" spans="3:3" x14ac:dyDescent="0.3">
      <c r="C1823" s="9"/>
    </row>
    <row r="1824" spans="3:3" x14ac:dyDescent="0.3">
      <c r="C1824" s="9"/>
    </row>
    <row r="1825" spans="3:3" x14ac:dyDescent="0.3">
      <c r="C1825" s="9"/>
    </row>
    <row r="1826" spans="3:3" x14ac:dyDescent="0.3">
      <c r="C1826" s="9"/>
    </row>
    <row r="1827" spans="3:3" x14ac:dyDescent="0.3">
      <c r="C1827" s="9"/>
    </row>
    <row r="1828" spans="3:3" x14ac:dyDescent="0.3">
      <c r="C1828" s="9"/>
    </row>
    <row r="1829" spans="3:3" x14ac:dyDescent="0.3">
      <c r="C1829" s="9"/>
    </row>
    <row r="1830" spans="3:3" x14ac:dyDescent="0.3">
      <c r="C1830" s="9"/>
    </row>
    <row r="1831" spans="3:3" x14ac:dyDescent="0.3">
      <c r="C1831" s="9"/>
    </row>
    <row r="1832" spans="3:3" x14ac:dyDescent="0.3">
      <c r="C1832" s="9"/>
    </row>
    <row r="1833" spans="3:3" x14ac:dyDescent="0.3">
      <c r="C1833" s="9"/>
    </row>
    <row r="1834" spans="3:3" x14ac:dyDescent="0.3">
      <c r="C1834" s="9"/>
    </row>
    <row r="1835" spans="3:3" x14ac:dyDescent="0.3">
      <c r="C1835" s="9"/>
    </row>
    <row r="1836" spans="3:3" x14ac:dyDescent="0.3">
      <c r="C1836" s="9"/>
    </row>
    <row r="1837" spans="3:3" x14ac:dyDescent="0.3">
      <c r="C1837" s="9"/>
    </row>
    <row r="1838" spans="3:3" x14ac:dyDescent="0.3">
      <c r="C1838" s="9"/>
    </row>
    <row r="1839" spans="3:3" x14ac:dyDescent="0.3">
      <c r="C1839" s="9"/>
    </row>
    <row r="1840" spans="3:3" x14ac:dyDescent="0.3">
      <c r="C1840" s="9"/>
    </row>
    <row r="1841" spans="3:3" x14ac:dyDescent="0.3">
      <c r="C1841" s="9"/>
    </row>
    <row r="1842" spans="3:3" x14ac:dyDescent="0.3">
      <c r="C1842" s="9"/>
    </row>
    <row r="1843" spans="3:3" x14ac:dyDescent="0.3">
      <c r="C1843" s="9"/>
    </row>
    <row r="1844" spans="3:3" x14ac:dyDescent="0.3">
      <c r="C1844" s="9"/>
    </row>
    <row r="1845" spans="3:3" x14ac:dyDescent="0.3">
      <c r="C1845" s="9"/>
    </row>
    <row r="1846" spans="3:3" x14ac:dyDescent="0.3">
      <c r="C1846" s="9"/>
    </row>
    <row r="1847" spans="3:3" x14ac:dyDescent="0.3">
      <c r="C1847" s="9"/>
    </row>
    <row r="1848" spans="3:3" x14ac:dyDescent="0.3">
      <c r="C1848" s="9"/>
    </row>
    <row r="1849" spans="3:3" x14ac:dyDescent="0.3">
      <c r="C1849" s="9"/>
    </row>
    <row r="1850" spans="3:3" x14ac:dyDescent="0.3">
      <c r="C1850" s="9"/>
    </row>
    <row r="1851" spans="3:3" x14ac:dyDescent="0.3">
      <c r="C1851" s="9"/>
    </row>
    <row r="1852" spans="3:3" x14ac:dyDescent="0.3">
      <c r="C1852" s="9"/>
    </row>
    <row r="1853" spans="3:3" x14ac:dyDescent="0.3">
      <c r="C1853" s="9"/>
    </row>
    <row r="1854" spans="3:3" x14ac:dyDescent="0.3">
      <c r="C1854" s="9"/>
    </row>
    <row r="1855" spans="3:3" x14ac:dyDescent="0.3">
      <c r="C1855" s="9"/>
    </row>
    <row r="1856" spans="3:3" x14ac:dyDescent="0.3">
      <c r="C1856" s="9"/>
    </row>
    <row r="1857" spans="3:3" x14ac:dyDescent="0.3">
      <c r="C1857" s="9"/>
    </row>
    <row r="1858" spans="3:3" x14ac:dyDescent="0.3">
      <c r="C1858" s="9"/>
    </row>
    <row r="1859" spans="3:3" x14ac:dyDescent="0.3">
      <c r="C1859" s="9"/>
    </row>
    <row r="1860" spans="3:3" x14ac:dyDescent="0.3">
      <c r="C1860" s="9"/>
    </row>
    <row r="1861" spans="3:3" x14ac:dyDescent="0.3">
      <c r="C1861" s="9"/>
    </row>
    <row r="1862" spans="3:3" x14ac:dyDescent="0.3">
      <c r="C1862" s="9"/>
    </row>
    <row r="1863" spans="3:3" x14ac:dyDescent="0.3">
      <c r="C1863" s="9"/>
    </row>
    <row r="1864" spans="3:3" x14ac:dyDescent="0.3">
      <c r="C1864" s="9"/>
    </row>
    <row r="1865" spans="3:3" x14ac:dyDescent="0.3">
      <c r="C1865" s="9"/>
    </row>
    <row r="1866" spans="3:3" x14ac:dyDescent="0.3">
      <c r="C1866" s="9"/>
    </row>
    <row r="1867" spans="3:3" x14ac:dyDescent="0.3">
      <c r="C1867" s="9"/>
    </row>
    <row r="1868" spans="3:3" x14ac:dyDescent="0.3">
      <c r="C1868" s="9"/>
    </row>
    <row r="1869" spans="3:3" x14ac:dyDescent="0.3">
      <c r="C1869" s="9"/>
    </row>
    <row r="1870" spans="3:3" x14ac:dyDescent="0.3">
      <c r="C1870" s="9"/>
    </row>
    <row r="1871" spans="3:3" x14ac:dyDescent="0.3">
      <c r="C1871" s="9"/>
    </row>
    <row r="1872" spans="3:3" x14ac:dyDescent="0.3">
      <c r="C1872" s="9"/>
    </row>
    <row r="1873" spans="3:3" x14ac:dyDescent="0.3">
      <c r="C1873" s="9"/>
    </row>
    <row r="1874" spans="3:3" x14ac:dyDescent="0.3">
      <c r="C1874" s="9"/>
    </row>
    <row r="1875" spans="3:3" x14ac:dyDescent="0.3">
      <c r="C1875" s="9"/>
    </row>
    <row r="1876" spans="3:3" x14ac:dyDescent="0.3">
      <c r="C1876" s="9"/>
    </row>
    <row r="1877" spans="3:3" x14ac:dyDescent="0.3">
      <c r="C1877" s="9"/>
    </row>
    <row r="1878" spans="3:3" x14ac:dyDescent="0.3">
      <c r="C1878" s="9"/>
    </row>
    <row r="1879" spans="3:3" x14ac:dyDescent="0.3">
      <c r="C1879" s="9"/>
    </row>
    <row r="1880" spans="3:3" x14ac:dyDescent="0.3">
      <c r="C1880" s="9"/>
    </row>
    <row r="1881" spans="3:3" x14ac:dyDescent="0.3">
      <c r="C1881" s="9"/>
    </row>
    <row r="1882" spans="3:3" x14ac:dyDescent="0.3">
      <c r="C1882" s="9"/>
    </row>
    <row r="1883" spans="3:3" x14ac:dyDescent="0.3">
      <c r="C1883" s="9"/>
    </row>
    <row r="1884" spans="3:3" x14ac:dyDescent="0.3">
      <c r="C1884" s="9"/>
    </row>
    <row r="1885" spans="3:3" x14ac:dyDescent="0.3">
      <c r="C1885" s="9"/>
    </row>
    <row r="1886" spans="3:3" x14ac:dyDescent="0.3">
      <c r="C1886" s="9"/>
    </row>
    <row r="1887" spans="3:3" x14ac:dyDescent="0.3">
      <c r="C1887" s="9"/>
    </row>
    <row r="1888" spans="3:3" x14ac:dyDescent="0.3">
      <c r="C1888" s="9"/>
    </row>
    <row r="1889" spans="3:3" x14ac:dyDescent="0.3">
      <c r="C1889" s="9"/>
    </row>
    <row r="1890" spans="3:3" x14ac:dyDescent="0.3">
      <c r="C1890" s="9"/>
    </row>
    <row r="1891" spans="3:3" x14ac:dyDescent="0.3">
      <c r="C1891" s="9"/>
    </row>
    <row r="1892" spans="3:3" x14ac:dyDescent="0.3">
      <c r="C1892" s="9"/>
    </row>
    <row r="1893" spans="3:3" x14ac:dyDescent="0.3">
      <c r="C1893" s="9"/>
    </row>
    <row r="1894" spans="3:3" x14ac:dyDescent="0.3">
      <c r="C1894" s="9"/>
    </row>
    <row r="1895" spans="3:3" x14ac:dyDescent="0.3">
      <c r="C1895" s="9"/>
    </row>
    <row r="1896" spans="3:3" x14ac:dyDescent="0.3">
      <c r="C1896" s="9"/>
    </row>
    <row r="1897" spans="3:3" x14ac:dyDescent="0.3">
      <c r="C1897" s="9"/>
    </row>
    <row r="1898" spans="3:3" x14ac:dyDescent="0.3">
      <c r="C1898" s="9"/>
    </row>
    <row r="1899" spans="3:3" x14ac:dyDescent="0.3">
      <c r="C1899" s="9"/>
    </row>
    <row r="1900" spans="3:3" x14ac:dyDescent="0.3">
      <c r="C1900" s="9"/>
    </row>
    <row r="1901" spans="3:3" x14ac:dyDescent="0.3">
      <c r="C1901" s="9"/>
    </row>
    <row r="1902" spans="3:3" x14ac:dyDescent="0.3">
      <c r="C1902" s="9"/>
    </row>
    <row r="1903" spans="3:3" x14ac:dyDescent="0.3">
      <c r="C1903" s="9"/>
    </row>
    <row r="1904" spans="3:3" x14ac:dyDescent="0.3">
      <c r="C1904" s="9"/>
    </row>
    <row r="1905" spans="3:3" x14ac:dyDescent="0.3">
      <c r="C1905" s="9"/>
    </row>
    <row r="1906" spans="3:3" x14ac:dyDescent="0.3">
      <c r="C1906" s="9"/>
    </row>
    <row r="1907" spans="3:3" x14ac:dyDescent="0.3">
      <c r="C1907" s="9"/>
    </row>
    <row r="1908" spans="3:3" x14ac:dyDescent="0.3">
      <c r="C1908" s="9"/>
    </row>
    <row r="1909" spans="3:3" x14ac:dyDescent="0.3">
      <c r="C1909" s="9"/>
    </row>
    <row r="1910" spans="3:3" x14ac:dyDescent="0.3">
      <c r="C1910" s="9"/>
    </row>
    <row r="1911" spans="3:3" x14ac:dyDescent="0.3">
      <c r="C1911" s="9"/>
    </row>
    <row r="1912" spans="3:3" x14ac:dyDescent="0.3">
      <c r="C1912" s="9"/>
    </row>
    <row r="1913" spans="3:3" x14ac:dyDescent="0.3">
      <c r="C1913" s="9"/>
    </row>
    <row r="1914" spans="3:3" x14ac:dyDescent="0.3">
      <c r="C1914" s="9"/>
    </row>
    <row r="1915" spans="3:3" x14ac:dyDescent="0.3">
      <c r="C1915" s="9"/>
    </row>
    <row r="1916" spans="3:3" x14ac:dyDescent="0.3">
      <c r="C1916" s="9"/>
    </row>
    <row r="1917" spans="3:3" x14ac:dyDescent="0.3">
      <c r="C1917" s="9"/>
    </row>
    <row r="1918" spans="3:3" x14ac:dyDescent="0.3">
      <c r="C1918" s="9"/>
    </row>
    <row r="1919" spans="3:3" x14ac:dyDescent="0.3">
      <c r="C1919" s="9"/>
    </row>
    <row r="1920" spans="3:3" x14ac:dyDescent="0.3">
      <c r="C1920" s="9"/>
    </row>
    <row r="1921" spans="3:3" x14ac:dyDescent="0.3">
      <c r="C1921" s="9"/>
    </row>
    <row r="1922" spans="3:3" x14ac:dyDescent="0.3">
      <c r="C1922" s="9"/>
    </row>
    <row r="1923" spans="3:3" x14ac:dyDescent="0.3">
      <c r="C1923" s="9"/>
    </row>
    <row r="1924" spans="3:3" x14ac:dyDescent="0.3">
      <c r="C1924" s="9"/>
    </row>
    <row r="1925" spans="3:3" x14ac:dyDescent="0.3">
      <c r="C1925" s="9"/>
    </row>
    <row r="1926" spans="3:3" x14ac:dyDescent="0.3">
      <c r="C1926" s="9"/>
    </row>
    <row r="1927" spans="3:3" x14ac:dyDescent="0.3">
      <c r="C1927" s="9"/>
    </row>
    <row r="1928" spans="3:3" x14ac:dyDescent="0.3">
      <c r="C1928" s="9"/>
    </row>
    <row r="1929" spans="3:3" x14ac:dyDescent="0.3">
      <c r="C1929" s="9"/>
    </row>
    <row r="1930" spans="3:3" x14ac:dyDescent="0.3">
      <c r="C1930" s="9"/>
    </row>
    <row r="1931" spans="3:3" x14ac:dyDescent="0.3">
      <c r="C1931" s="9"/>
    </row>
    <row r="1932" spans="3:3" x14ac:dyDescent="0.3">
      <c r="C1932" s="9"/>
    </row>
    <row r="1933" spans="3:3" x14ac:dyDescent="0.3">
      <c r="C1933" s="9"/>
    </row>
    <row r="1934" spans="3:3" x14ac:dyDescent="0.3">
      <c r="C1934" s="9"/>
    </row>
    <row r="1935" spans="3:3" x14ac:dyDescent="0.3">
      <c r="C1935" s="9"/>
    </row>
    <row r="1936" spans="3:3" x14ac:dyDescent="0.3">
      <c r="C1936" s="9"/>
    </row>
    <row r="1937" spans="3:3" x14ac:dyDescent="0.3">
      <c r="C1937" s="9"/>
    </row>
    <row r="1938" spans="3:3" x14ac:dyDescent="0.3">
      <c r="C1938" s="9"/>
    </row>
    <row r="1939" spans="3:3" x14ac:dyDescent="0.3">
      <c r="C1939" s="9"/>
    </row>
    <row r="1940" spans="3:3" x14ac:dyDescent="0.3">
      <c r="C1940" s="9"/>
    </row>
    <row r="1941" spans="3:3" x14ac:dyDescent="0.3">
      <c r="C1941" s="9"/>
    </row>
    <row r="1942" spans="3:3" x14ac:dyDescent="0.3">
      <c r="C1942" s="9"/>
    </row>
    <row r="1943" spans="3:3" x14ac:dyDescent="0.3">
      <c r="C1943" s="9"/>
    </row>
    <row r="1944" spans="3:3" x14ac:dyDescent="0.3">
      <c r="C1944" s="9"/>
    </row>
    <row r="1945" spans="3:3" x14ac:dyDescent="0.3">
      <c r="C1945" s="9"/>
    </row>
    <row r="1946" spans="3:3" x14ac:dyDescent="0.3">
      <c r="C1946" s="9"/>
    </row>
    <row r="1947" spans="3:3" x14ac:dyDescent="0.3">
      <c r="C1947" s="9"/>
    </row>
    <row r="1948" spans="3:3" x14ac:dyDescent="0.3">
      <c r="C1948" s="9"/>
    </row>
    <row r="1949" spans="3:3" x14ac:dyDescent="0.3">
      <c r="C1949" s="9"/>
    </row>
    <row r="1950" spans="3:3" x14ac:dyDescent="0.3">
      <c r="C1950" s="9"/>
    </row>
    <row r="1951" spans="3:3" x14ac:dyDescent="0.3">
      <c r="C1951" s="9"/>
    </row>
    <row r="1952" spans="3:3" x14ac:dyDescent="0.3">
      <c r="C1952" s="9"/>
    </row>
    <row r="1953" spans="3:3" x14ac:dyDescent="0.3">
      <c r="C1953" s="9"/>
    </row>
    <row r="1954" spans="3:3" x14ac:dyDescent="0.3">
      <c r="C1954" s="9"/>
    </row>
    <row r="1955" spans="3:3" x14ac:dyDescent="0.3">
      <c r="C1955" s="9"/>
    </row>
    <row r="1956" spans="3:3" x14ac:dyDescent="0.3">
      <c r="C1956" s="9"/>
    </row>
    <row r="1957" spans="3:3" x14ac:dyDescent="0.3">
      <c r="C1957" s="9"/>
    </row>
    <row r="1958" spans="3:3" x14ac:dyDescent="0.3">
      <c r="C1958" s="9"/>
    </row>
    <row r="1959" spans="3:3" x14ac:dyDescent="0.3">
      <c r="C1959" s="9"/>
    </row>
    <row r="1960" spans="3:3" x14ac:dyDescent="0.3">
      <c r="C1960" s="9"/>
    </row>
    <row r="1961" spans="3:3" x14ac:dyDescent="0.3">
      <c r="C1961" s="9"/>
    </row>
    <row r="1962" spans="3:3" x14ac:dyDescent="0.3">
      <c r="C1962" s="9"/>
    </row>
    <row r="1963" spans="3:3" x14ac:dyDescent="0.3">
      <c r="C1963" s="9"/>
    </row>
    <row r="1964" spans="3:3" x14ac:dyDescent="0.3">
      <c r="C1964" s="9"/>
    </row>
    <row r="1965" spans="3:3" x14ac:dyDescent="0.3">
      <c r="C1965" s="9"/>
    </row>
    <row r="1966" spans="3:3" x14ac:dyDescent="0.3">
      <c r="C1966" s="9"/>
    </row>
    <row r="1967" spans="3:3" x14ac:dyDescent="0.3">
      <c r="C1967" s="9"/>
    </row>
    <row r="1968" spans="3:3" x14ac:dyDescent="0.3">
      <c r="C1968" s="9"/>
    </row>
    <row r="1969" spans="3:3" x14ac:dyDescent="0.3">
      <c r="C1969" s="9"/>
    </row>
    <row r="1970" spans="3:3" x14ac:dyDescent="0.3">
      <c r="C1970" s="9"/>
    </row>
    <row r="1971" spans="3:3" x14ac:dyDescent="0.3">
      <c r="C1971" s="9"/>
    </row>
    <row r="1972" spans="3:3" x14ac:dyDescent="0.3">
      <c r="C1972" s="9"/>
    </row>
    <row r="1973" spans="3:3" x14ac:dyDescent="0.3">
      <c r="C1973" s="9"/>
    </row>
    <row r="1974" spans="3:3" x14ac:dyDescent="0.3">
      <c r="C1974" s="9"/>
    </row>
    <row r="1975" spans="3:3" x14ac:dyDescent="0.3">
      <c r="C1975" s="9"/>
    </row>
    <row r="1976" spans="3:3" x14ac:dyDescent="0.3">
      <c r="C1976" s="9"/>
    </row>
    <row r="1977" spans="3:3" x14ac:dyDescent="0.3">
      <c r="C1977" s="9"/>
    </row>
    <row r="1978" spans="3:3" x14ac:dyDescent="0.3">
      <c r="C1978" s="9"/>
    </row>
    <row r="1979" spans="3:3" x14ac:dyDescent="0.3">
      <c r="C1979" s="9"/>
    </row>
    <row r="1980" spans="3:3" x14ac:dyDescent="0.3">
      <c r="C1980" s="9"/>
    </row>
    <row r="1981" spans="3:3" x14ac:dyDescent="0.3">
      <c r="C1981" s="9"/>
    </row>
    <row r="1982" spans="3:3" x14ac:dyDescent="0.3">
      <c r="C1982" s="9"/>
    </row>
    <row r="1983" spans="3:3" x14ac:dyDescent="0.3">
      <c r="C1983" s="9"/>
    </row>
    <row r="1984" spans="3:3" x14ac:dyDescent="0.3">
      <c r="C1984" s="9"/>
    </row>
    <row r="1985" spans="3:3" x14ac:dyDescent="0.3">
      <c r="C1985" s="9"/>
    </row>
    <row r="1986" spans="3:3" x14ac:dyDescent="0.3">
      <c r="C1986" s="9"/>
    </row>
    <row r="1987" spans="3:3" x14ac:dyDescent="0.3">
      <c r="C1987" s="9"/>
    </row>
    <row r="1988" spans="3:3" x14ac:dyDescent="0.3">
      <c r="C1988" s="9"/>
    </row>
    <row r="1989" spans="3:3" x14ac:dyDescent="0.3">
      <c r="C1989" s="9"/>
    </row>
    <row r="1990" spans="3:3" x14ac:dyDescent="0.3">
      <c r="C1990" s="9"/>
    </row>
    <row r="1991" spans="3:3" x14ac:dyDescent="0.3">
      <c r="C1991" s="9"/>
    </row>
    <row r="1992" spans="3:3" x14ac:dyDescent="0.3">
      <c r="C1992" s="9"/>
    </row>
    <row r="1993" spans="3:3" x14ac:dyDescent="0.3">
      <c r="C1993" s="9"/>
    </row>
    <row r="1994" spans="3:3" x14ac:dyDescent="0.3">
      <c r="C1994" s="9"/>
    </row>
    <row r="1995" spans="3:3" x14ac:dyDescent="0.3">
      <c r="C1995" s="9"/>
    </row>
    <row r="1996" spans="3:3" x14ac:dyDescent="0.3">
      <c r="C1996" s="9"/>
    </row>
    <row r="1997" spans="3:3" x14ac:dyDescent="0.3">
      <c r="C1997" s="9"/>
    </row>
    <row r="1998" spans="3:3" x14ac:dyDescent="0.3">
      <c r="C1998" s="9"/>
    </row>
    <row r="1999" spans="3:3" x14ac:dyDescent="0.3">
      <c r="C1999" s="9"/>
    </row>
    <row r="2000" spans="3:3" x14ac:dyDescent="0.3">
      <c r="C2000" s="9"/>
    </row>
    <row r="2001" spans="3:3" x14ac:dyDescent="0.3">
      <c r="C2001" s="9"/>
    </row>
    <row r="2002" spans="3:3" x14ac:dyDescent="0.3">
      <c r="C2002" s="9"/>
    </row>
    <row r="2003" spans="3:3" x14ac:dyDescent="0.3">
      <c r="C2003" s="9"/>
    </row>
    <row r="2004" spans="3:3" x14ac:dyDescent="0.3">
      <c r="C2004" s="9"/>
    </row>
    <row r="2005" spans="3:3" x14ac:dyDescent="0.3">
      <c r="C2005" s="9"/>
    </row>
    <row r="2006" spans="3:3" x14ac:dyDescent="0.3">
      <c r="C2006" s="9"/>
    </row>
    <row r="2007" spans="3:3" x14ac:dyDescent="0.3">
      <c r="C2007" s="9"/>
    </row>
    <row r="2008" spans="3:3" x14ac:dyDescent="0.3">
      <c r="C2008" s="9"/>
    </row>
    <row r="2009" spans="3:3" x14ac:dyDescent="0.3">
      <c r="C2009" s="9"/>
    </row>
    <row r="2010" spans="3:3" x14ac:dyDescent="0.3">
      <c r="C2010" s="9"/>
    </row>
    <row r="2011" spans="3:3" x14ac:dyDescent="0.3">
      <c r="C2011" s="9"/>
    </row>
    <row r="2012" spans="3:3" x14ac:dyDescent="0.3">
      <c r="C2012" s="9"/>
    </row>
    <row r="2013" spans="3:3" x14ac:dyDescent="0.3">
      <c r="C2013" s="9"/>
    </row>
    <row r="2014" spans="3:3" x14ac:dyDescent="0.3">
      <c r="C2014" s="9"/>
    </row>
    <row r="2015" spans="3:3" x14ac:dyDescent="0.3">
      <c r="C2015" s="9"/>
    </row>
    <row r="2016" spans="3:3" x14ac:dyDescent="0.3">
      <c r="C2016" s="9"/>
    </row>
    <row r="2017" spans="3:3" x14ac:dyDescent="0.3">
      <c r="C2017" s="9"/>
    </row>
    <row r="2018" spans="3:3" x14ac:dyDescent="0.3">
      <c r="C2018" s="9"/>
    </row>
    <row r="2019" spans="3:3" x14ac:dyDescent="0.3">
      <c r="C2019" s="9"/>
    </row>
    <row r="2020" spans="3:3" x14ac:dyDescent="0.3">
      <c r="C2020" s="9"/>
    </row>
    <row r="2021" spans="3:3" x14ac:dyDescent="0.3">
      <c r="C2021" s="9"/>
    </row>
    <row r="2022" spans="3:3" x14ac:dyDescent="0.3">
      <c r="C2022" s="9"/>
    </row>
    <row r="2023" spans="3:3" x14ac:dyDescent="0.3">
      <c r="C2023" s="9"/>
    </row>
    <row r="2024" spans="3:3" x14ac:dyDescent="0.3">
      <c r="C2024" s="9"/>
    </row>
    <row r="2025" spans="3:3" x14ac:dyDescent="0.3">
      <c r="C2025" s="9"/>
    </row>
    <row r="2026" spans="3:3" x14ac:dyDescent="0.3">
      <c r="C2026" s="9"/>
    </row>
    <row r="2027" spans="3:3" x14ac:dyDescent="0.3">
      <c r="C2027" s="9"/>
    </row>
    <row r="2028" spans="3:3" x14ac:dyDescent="0.3">
      <c r="C2028" s="9"/>
    </row>
    <row r="2029" spans="3:3" x14ac:dyDescent="0.3">
      <c r="C2029" s="9"/>
    </row>
    <row r="2030" spans="3:3" x14ac:dyDescent="0.3">
      <c r="C2030" s="9"/>
    </row>
    <row r="2031" spans="3:3" x14ac:dyDescent="0.3">
      <c r="C2031" s="9"/>
    </row>
    <row r="2032" spans="3:3" x14ac:dyDescent="0.3">
      <c r="C2032" s="9"/>
    </row>
    <row r="2033" spans="3:3" x14ac:dyDescent="0.3">
      <c r="C2033" s="9"/>
    </row>
    <row r="2034" spans="3:3" x14ac:dyDescent="0.3">
      <c r="C2034" s="9"/>
    </row>
    <row r="2035" spans="3:3" x14ac:dyDescent="0.3">
      <c r="C2035" s="9"/>
    </row>
    <row r="2036" spans="3:3" x14ac:dyDescent="0.3">
      <c r="C2036" s="9"/>
    </row>
    <row r="2037" spans="3:3" x14ac:dyDescent="0.3">
      <c r="C2037" s="9"/>
    </row>
    <row r="2038" spans="3:3" x14ac:dyDescent="0.3">
      <c r="C2038" s="9"/>
    </row>
    <row r="2039" spans="3:3" x14ac:dyDescent="0.3">
      <c r="C2039" s="9"/>
    </row>
    <row r="2040" spans="3:3" x14ac:dyDescent="0.3">
      <c r="C2040" s="9"/>
    </row>
    <row r="2041" spans="3:3" x14ac:dyDescent="0.3">
      <c r="C2041" s="9"/>
    </row>
    <row r="2042" spans="3:3" x14ac:dyDescent="0.3">
      <c r="C2042" s="9"/>
    </row>
    <row r="2043" spans="3:3" x14ac:dyDescent="0.3">
      <c r="C2043" s="9"/>
    </row>
    <row r="2044" spans="3:3" x14ac:dyDescent="0.3">
      <c r="C2044" s="9"/>
    </row>
    <row r="2045" spans="3:3" x14ac:dyDescent="0.3">
      <c r="C2045" s="9"/>
    </row>
    <row r="2046" spans="3:3" x14ac:dyDescent="0.3">
      <c r="C2046" s="9"/>
    </row>
    <row r="2047" spans="3:3" x14ac:dyDescent="0.3">
      <c r="C2047" s="9"/>
    </row>
    <row r="2048" spans="3:3" x14ac:dyDescent="0.3">
      <c r="C2048" s="9"/>
    </row>
    <row r="2049" spans="3:3" x14ac:dyDescent="0.3">
      <c r="C2049" s="9"/>
    </row>
    <row r="2050" spans="3:3" x14ac:dyDescent="0.3">
      <c r="C2050" s="9"/>
    </row>
    <row r="2051" spans="3:3" x14ac:dyDescent="0.3">
      <c r="C2051" s="9"/>
    </row>
    <row r="2052" spans="3:3" x14ac:dyDescent="0.3">
      <c r="C2052" s="9"/>
    </row>
    <row r="2053" spans="3:3" x14ac:dyDescent="0.3">
      <c r="C2053" s="9"/>
    </row>
    <row r="2054" spans="3:3" x14ac:dyDescent="0.3">
      <c r="C2054" s="9"/>
    </row>
    <row r="2055" spans="3:3" x14ac:dyDescent="0.3">
      <c r="C2055" s="9"/>
    </row>
    <row r="2056" spans="3:3" x14ac:dyDescent="0.3">
      <c r="C2056" s="9"/>
    </row>
    <row r="2057" spans="3:3" x14ac:dyDescent="0.3">
      <c r="C2057" s="9"/>
    </row>
    <row r="2058" spans="3:3" x14ac:dyDescent="0.3">
      <c r="C2058" s="9"/>
    </row>
    <row r="2059" spans="3:3" x14ac:dyDescent="0.3">
      <c r="C2059" s="9"/>
    </row>
    <row r="2060" spans="3:3" x14ac:dyDescent="0.3">
      <c r="C2060" s="9"/>
    </row>
    <row r="2061" spans="3:3" x14ac:dyDescent="0.3">
      <c r="C2061" s="9"/>
    </row>
    <row r="2062" spans="3:3" x14ac:dyDescent="0.3">
      <c r="C2062" s="9"/>
    </row>
    <row r="2063" spans="3:3" x14ac:dyDescent="0.3">
      <c r="C2063" s="9"/>
    </row>
    <row r="2064" spans="3:3" x14ac:dyDescent="0.3">
      <c r="C2064" s="9"/>
    </row>
    <row r="2065" spans="3:3" x14ac:dyDescent="0.3">
      <c r="C2065" s="9"/>
    </row>
    <row r="2066" spans="3:3" x14ac:dyDescent="0.3">
      <c r="C2066" s="9"/>
    </row>
    <row r="2067" spans="3:3" x14ac:dyDescent="0.3">
      <c r="C2067" s="9"/>
    </row>
    <row r="2068" spans="3:3" x14ac:dyDescent="0.3">
      <c r="C2068" s="9"/>
    </row>
    <row r="2069" spans="3:3" x14ac:dyDescent="0.3">
      <c r="C2069" s="9"/>
    </row>
    <row r="2070" spans="3:3" x14ac:dyDescent="0.3">
      <c r="C2070" s="9"/>
    </row>
    <row r="2071" spans="3:3" x14ac:dyDescent="0.3">
      <c r="C2071" s="9"/>
    </row>
    <row r="2072" spans="3:3" x14ac:dyDescent="0.3">
      <c r="C2072" s="9"/>
    </row>
    <row r="2073" spans="3:3" x14ac:dyDescent="0.3">
      <c r="C2073" s="9"/>
    </row>
    <row r="2074" spans="3:3" x14ac:dyDescent="0.3">
      <c r="C2074" s="9"/>
    </row>
    <row r="2075" spans="3:3" x14ac:dyDescent="0.3">
      <c r="C2075" s="9"/>
    </row>
    <row r="2076" spans="3:3" x14ac:dyDescent="0.3">
      <c r="C2076" s="9"/>
    </row>
    <row r="2077" spans="3:3" x14ac:dyDescent="0.3">
      <c r="C2077" s="9"/>
    </row>
    <row r="2078" spans="3:3" x14ac:dyDescent="0.3">
      <c r="C2078" s="9"/>
    </row>
    <row r="2079" spans="3:3" x14ac:dyDescent="0.3">
      <c r="C2079" s="9"/>
    </row>
    <row r="2080" spans="3:3" x14ac:dyDescent="0.3">
      <c r="C2080" s="9"/>
    </row>
    <row r="2081" spans="3:3" x14ac:dyDescent="0.3">
      <c r="C2081" s="9"/>
    </row>
    <row r="2082" spans="3:3" x14ac:dyDescent="0.3">
      <c r="C2082" s="9"/>
    </row>
    <row r="2083" spans="3:3" x14ac:dyDescent="0.3">
      <c r="C2083" s="9"/>
    </row>
    <row r="2084" spans="3:3" x14ac:dyDescent="0.3">
      <c r="C2084" s="9"/>
    </row>
    <row r="2085" spans="3:3" x14ac:dyDescent="0.3">
      <c r="C2085" s="9"/>
    </row>
    <row r="2086" spans="3:3" x14ac:dyDescent="0.3">
      <c r="C2086" s="9"/>
    </row>
    <row r="2087" spans="3:3" x14ac:dyDescent="0.3">
      <c r="C2087" s="9"/>
    </row>
    <row r="2088" spans="3:3" x14ac:dyDescent="0.3">
      <c r="C2088" s="9"/>
    </row>
    <row r="2089" spans="3:3" x14ac:dyDescent="0.3">
      <c r="C2089" s="9"/>
    </row>
    <row r="2090" spans="3:3" x14ac:dyDescent="0.3">
      <c r="C2090" s="9"/>
    </row>
    <row r="2091" spans="3:3" x14ac:dyDescent="0.3">
      <c r="C2091" s="9"/>
    </row>
    <row r="2092" spans="3:3" x14ac:dyDescent="0.3">
      <c r="C2092" s="9"/>
    </row>
    <row r="2093" spans="3:3" x14ac:dyDescent="0.3">
      <c r="C2093" s="9"/>
    </row>
    <row r="2094" spans="3:3" x14ac:dyDescent="0.3">
      <c r="C2094" s="9"/>
    </row>
    <row r="2095" spans="3:3" x14ac:dyDescent="0.3">
      <c r="C2095" s="9"/>
    </row>
    <row r="2096" spans="3:3" x14ac:dyDescent="0.3">
      <c r="C2096" s="9"/>
    </row>
    <row r="2097" spans="3:3" x14ac:dyDescent="0.3">
      <c r="C2097" s="9"/>
    </row>
    <row r="2098" spans="3:3" x14ac:dyDescent="0.3">
      <c r="C2098" s="9"/>
    </row>
    <row r="2099" spans="3:3" x14ac:dyDescent="0.3">
      <c r="C2099" s="9"/>
    </row>
    <row r="2100" spans="3:3" x14ac:dyDescent="0.3">
      <c r="C2100" s="9"/>
    </row>
    <row r="2101" spans="3:3" x14ac:dyDescent="0.3">
      <c r="C2101" s="9"/>
    </row>
    <row r="2102" spans="3:3" x14ac:dyDescent="0.3">
      <c r="C2102" s="9"/>
    </row>
    <row r="2103" spans="3:3" x14ac:dyDescent="0.3">
      <c r="C2103" s="9"/>
    </row>
    <row r="2104" spans="3:3" x14ac:dyDescent="0.3">
      <c r="C2104" s="9"/>
    </row>
    <row r="2105" spans="3:3" x14ac:dyDescent="0.3">
      <c r="C2105" s="9"/>
    </row>
    <row r="2106" spans="3:3" x14ac:dyDescent="0.3">
      <c r="C2106" s="9"/>
    </row>
    <row r="2107" spans="3:3" x14ac:dyDescent="0.3">
      <c r="C2107" s="9"/>
    </row>
    <row r="2108" spans="3:3" x14ac:dyDescent="0.3">
      <c r="C2108" s="9"/>
    </row>
    <row r="2109" spans="3:3" x14ac:dyDescent="0.3">
      <c r="C2109" s="9"/>
    </row>
    <row r="2110" spans="3:3" x14ac:dyDescent="0.3">
      <c r="C2110" s="9"/>
    </row>
    <row r="2111" spans="3:3" x14ac:dyDescent="0.3">
      <c r="C2111" s="9"/>
    </row>
    <row r="2112" spans="3:3" x14ac:dyDescent="0.3">
      <c r="C2112" s="9"/>
    </row>
    <row r="2113" spans="3:3" x14ac:dyDescent="0.3">
      <c r="C2113" s="9"/>
    </row>
    <row r="2114" spans="3:3" x14ac:dyDescent="0.3">
      <c r="C2114" s="9"/>
    </row>
    <row r="2115" spans="3:3" x14ac:dyDescent="0.3">
      <c r="C2115" s="9"/>
    </row>
    <row r="2116" spans="3:3" x14ac:dyDescent="0.3">
      <c r="C2116" s="9"/>
    </row>
    <row r="2117" spans="3:3" x14ac:dyDescent="0.3">
      <c r="C2117" s="9"/>
    </row>
    <row r="2118" spans="3:3" x14ac:dyDescent="0.3">
      <c r="C2118" s="9"/>
    </row>
    <row r="2119" spans="3:3" x14ac:dyDescent="0.3">
      <c r="C2119" s="9"/>
    </row>
    <row r="2120" spans="3:3" x14ac:dyDescent="0.3">
      <c r="C2120" s="9"/>
    </row>
    <row r="2121" spans="3:3" x14ac:dyDescent="0.3">
      <c r="C2121" s="9"/>
    </row>
    <row r="2122" spans="3:3" x14ac:dyDescent="0.3">
      <c r="C2122" s="9"/>
    </row>
    <row r="2123" spans="3:3" x14ac:dyDescent="0.3">
      <c r="C2123" s="9"/>
    </row>
    <row r="2124" spans="3:3" x14ac:dyDescent="0.3">
      <c r="C2124" s="9"/>
    </row>
    <row r="2125" spans="3:3" x14ac:dyDescent="0.3">
      <c r="C2125" s="9"/>
    </row>
    <row r="2126" spans="3:3" x14ac:dyDescent="0.3">
      <c r="C2126" s="9"/>
    </row>
    <row r="2127" spans="3:3" x14ac:dyDescent="0.3">
      <c r="C2127" s="9"/>
    </row>
    <row r="2128" spans="3:3" x14ac:dyDescent="0.3">
      <c r="C2128" s="9"/>
    </row>
    <row r="2129" spans="3:3" x14ac:dyDescent="0.3">
      <c r="C2129" s="9"/>
    </row>
    <row r="2130" spans="3:3" x14ac:dyDescent="0.3">
      <c r="C2130" s="9"/>
    </row>
    <row r="2131" spans="3:3" x14ac:dyDescent="0.3">
      <c r="C2131" s="9"/>
    </row>
    <row r="2132" spans="3:3" x14ac:dyDescent="0.3">
      <c r="C2132" s="9"/>
    </row>
    <row r="2133" spans="3:3" x14ac:dyDescent="0.3">
      <c r="C2133" s="9"/>
    </row>
    <row r="2134" spans="3:3" x14ac:dyDescent="0.3">
      <c r="C2134" s="9"/>
    </row>
    <row r="2135" spans="3:3" x14ac:dyDescent="0.3">
      <c r="C2135" s="9"/>
    </row>
    <row r="2136" spans="3:3" x14ac:dyDescent="0.3">
      <c r="C2136" s="9"/>
    </row>
    <row r="2137" spans="3:3" x14ac:dyDescent="0.3">
      <c r="C2137" s="9"/>
    </row>
    <row r="2138" spans="3:3" x14ac:dyDescent="0.3">
      <c r="C2138" s="9"/>
    </row>
    <row r="2139" spans="3:3" x14ac:dyDescent="0.3">
      <c r="C2139" s="9"/>
    </row>
    <row r="2140" spans="3:3" x14ac:dyDescent="0.3">
      <c r="C2140" s="9"/>
    </row>
    <row r="2141" spans="3:3" x14ac:dyDescent="0.3">
      <c r="C2141" s="9"/>
    </row>
    <row r="2142" spans="3:3" x14ac:dyDescent="0.3">
      <c r="C2142" s="9"/>
    </row>
    <row r="2143" spans="3:3" x14ac:dyDescent="0.3">
      <c r="C2143" s="9"/>
    </row>
    <row r="2144" spans="3:3" x14ac:dyDescent="0.3">
      <c r="C2144" s="9"/>
    </row>
    <row r="2145" spans="3:3" x14ac:dyDescent="0.3">
      <c r="C2145" s="9"/>
    </row>
    <row r="2146" spans="3:3" x14ac:dyDescent="0.3">
      <c r="C2146" s="9"/>
    </row>
    <row r="2147" spans="3:3" x14ac:dyDescent="0.3">
      <c r="C2147" s="9"/>
    </row>
    <row r="2148" spans="3:3" x14ac:dyDescent="0.3">
      <c r="C2148" s="9"/>
    </row>
    <row r="2149" spans="3:3" x14ac:dyDescent="0.3">
      <c r="C2149" s="9"/>
    </row>
    <row r="2150" spans="3:3" x14ac:dyDescent="0.3">
      <c r="C2150" s="9"/>
    </row>
    <row r="2151" spans="3:3" x14ac:dyDescent="0.3">
      <c r="C2151" s="9"/>
    </row>
    <row r="2152" spans="3:3" x14ac:dyDescent="0.3">
      <c r="C2152" s="9"/>
    </row>
    <row r="2153" spans="3:3" x14ac:dyDescent="0.3">
      <c r="C2153" s="9"/>
    </row>
    <row r="2154" spans="3:3" x14ac:dyDescent="0.3">
      <c r="C2154" s="9"/>
    </row>
    <row r="2155" spans="3:3" x14ac:dyDescent="0.3">
      <c r="C2155" s="9"/>
    </row>
    <row r="2156" spans="3:3" x14ac:dyDescent="0.3">
      <c r="C2156" s="9"/>
    </row>
    <row r="2157" spans="3:3" x14ac:dyDescent="0.3">
      <c r="C2157" s="9"/>
    </row>
    <row r="2158" spans="3:3" x14ac:dyDescent="0.3">
      <c r="C2158" s="9"/>
    </row>
    <row r="2159" spans="3:3" x14ac:dyDescent="0.3">
      <c r="C2159" s="9"/>
    </row>
    <row r="2160" spans="3:3" x14ac:dyDescent="0.3">
      <c r="C2160" s="9"/>
    </row>
    <row r="2161" spans="3:3" x14ac:dyDescent="0.3">
      <c r="C2161" s="9"/>
    </row>
    <row r="2162" spans="3:3" x14ac:dyDescent="0.3">
      <c r="C2162" s="9"/>
    </row>
    <row r="2163" spans="3:3" x14ac:dyDescent="0.3">
      <c r="C2163" s="9"/>
    </row>
    <row r="2164" spans="3:3" x14ac:dyDescent="0.3">
      <c r="C2164" s="9"/>
    </row>
    <row r="2165" spans="3:3" x14ac:dyDescent="0.3">
      <c r="C2165" s="9"/>
    </row>
    <row r="2166" spans="3:3" x14ac:dyDescent="0.3">
      <c r="C2166" s="9"/>
    </row>
    <row r="2167" spans="3:3" x14ac:dyDescent="0.3">
      <c r="C2167" s="9"/>
    </row>
    <row r="2168" spans="3:3" x14ac:dyDescent="0.3">
      <c r="C2168" s="9"/>
    </row>
    <row r="2169" spans="3:3" x14ac:dyDescent="0.3">
      <c r="C2169" s="9"/>
    </row>
    <row r="2170" spans="3:3" x14ac:dyDescent="0.3">
      <c r="C2170" s="9"/>
    </row>
    <row r="2171" spans="3:3" x14ac:dyDescent="0.3">
      <c r="C2171" s="9"/>
    </row>
    <row r="2172" spans="3:3" x14ac:dyDescent="0.3">
      <c r="C2172" s="9"/>
    </row>
    <row r="2173" spans="3:3" x14ac:dyDescent="0.3">
      <c r="C2173" s="9"/>
    </row>
    <row r="2174" spans="3:3" x14ac:dyDescent="0.3">
      <c r="C2174" s="9"/>
    </row>
    <row r="2175" spans="3:3" x14ac:dyDescent="0.3">
      <c r="C2175" s="9"/>
    </row>
    <row r="2176" spans="3:3" x14ac:dyDescent="0.3">
      <c r="C2176" s="9"/>
    </row>
    <row r="2177" spans="3:3" x14ac:dyDescent="0.3">
      <c r="C2177" s="9"/>
    </row>
    <row r="2178" spans="3:3" x14ac:dyDescent="0.3">
      <c r="C2178" s="9"/>
    </row>
    <row r="2179" spans="3:3" x14ac:dyDescent="0.3">
      <c r="C2179" s="9"/>
    </row>
    <row r="2180" spans="3:3" x14ac:dyDescent="0.3">
      <c r="C2180" s="9"/>
    </row>
    <row r="2181" spans="3:3" x14ac:dyDescent="0.3">
      <c r="C2181" s="9"/>
    </row>
    <row r="2182" spans="3:3" x14ac:dyDescent="0.3">
      <c r="C2182" s="9"/>
    </row>
    <row r="2183" spans="3:3" x14ac:dyDescent="0.3">
      <c r="C2183" s="9"/>
    </row>
    <row r="2184" spans="3:3" x14ac:dyDescent="0.3">
      <c r="C2184" s="9"/>
    </row>
    <row r="2185" spans="3:3" x14ac:dyDescent="0.3">
      <c r="C2185" s="9"/>
    </row>
    <row r="2186" spans="3:3" x14ac:dyDescent="0.3">
      <c r="C2186" s="9"/>
    </row>
    <row r="2187" spans="3:3" x14ac:dyDescent="0.3">
      <c r="C2187" s="9"/>
    </row>
    <row r="2188" spans="3:3" x14ac:dyDescent="0.3">
      <c r="C2188" s="9"/>
    </row>
    <row r="2189" spans="3:3" x14ac:dyDescent="0.3">
      <c r="C2189" s="9"/>
    </row>
    <row r="2190" spans="3:3" x14ac:dyDescent="0.3">
      <c r="C2190" s="9"/>
    </row>
    <row r="2191" spans="3:3" x14ac:dyDescent="0.3">
      <c r="C2191" s="9"/>
    </row>
    <row r="2192" spans="3:3" x14ac:dyDescent="0.3">
      <c r="C2192" s="9"/>
    </row>
    <row r="2193" spans="3:3" x14ac:dyDescent="0.3">
      <c r="C2193" s="9"/>
    </row>
    <row r="2194" spans="3:3" x14ac:dyDescent="0.3">
      <c r="C2194" s="9"/>
    </row>
    <row r="2195" spans="3:3" x14ac:dyDescent="0.3">
      <c r="C2195" s="9"/>
    </row>
    <row r="2196" spans="3:3" x14ac:dyDescent="0.3">
      <c r="C2196" s="9"/>
    </row>
    <row r="2197" spans="3:3" x14ac:dyDescent="0.3">
      <c r="C2197" s="9"/>
    </row>
    <row r="2198" spans="3:3" x14ac:dyDescent="0.3">
      <c r="C2198" s="9"/>
    </row>
    <row r="2199" spans="3:3" x14ac:dyDescent="0.3">
      <c r="C2199" s="9"/>
    </row>
    <row r="2200" spans="3:3" x14ac:dyDescent="0.3">
      <c r="C2200" s="9"/>
    </row>
    <row r="2201" spans="3:3" x14ac:dyDescent="0.3">
      <c r="C2201" s="9"/>
    </row>
    <row r="2202" spans="3:3" x14ac:dyDescent="0.3">
      <c r="C2202" s="9"/>
    </row>
    <row r="2203" spans="3:3" x14ac:dyDescent="0.3">
      <c r="C2203" s="9"/>
    </row>
    <row r="2204" spans="3:3" x14ac:dyDescent="0.3">
      <c r="C2204" s="9"/>
    </row>
    <row r="2205" spans="3:3" x14ac:dyDescent="0.3">
      <c r="C2205" s="9"/>
    </row>
    <row r="2206" spans="3:3" x14ac:dyDescent="0.3">
      <c r="C2206" s="9"/>
    </row>
    <row r="2207" spans="3:3" x14ac:dyDescent="0.3">
      <c r="C2207" s="9"/>
    </row>
    <row r="2208" spans="3:3" x14ac:dyDescent="0.3">
      <c r="C2208" s="9"/>
    </row>
    <row r="2209" spans="3:3" x14ac:dyDescent="0.3">
      <c r="C2209" s="9"/>
    </row>
    <row r="2210" spans="3:3" x14ac:dyDescent="0.3">
      <c r="C2210" s="9"/>
    </row>
    <row r="2211" spans="3:3" x14ac:dyDescent="0.3">
      <c r="C2211" s="9"/>
    </row>
    <row r="2212" spans="3:3" x14ac:dyDescent="0.3">
      <c r="C2212" s="9"/>
    </row>
    <row r="2213" spans="3:3" x14ac:dyDescent="0.3">
      <c r="C2213" s="9"/>
    </row>
    <row r="2214" spans="3:3" x14ac:dyDescent="0.3">
      <c r="C2214" s="9"/>
    </row>
    <row r="2215" spans="3:3" x14ac:dyDescent="0.3">
      <c r="C2215" s="9"/>
    </row>
    <row r="2216" spans="3:3" x14ac:dyDescent="0.3">
      <c r="C2216" s="9"/>
    </row>
    <row r="2217" spans="3:3" x14ac:dyDescent="0.3">
      <c r="C2217" s="9"/>
    </row>
    <row r="2218" spans="3:3" x14ac:dyDescent="0.3">
      <c r="C2218" s="9"/>
    </row>
    <row r="2219" spans="3:3" x14ac:dyDescent="0.3">
      <c r="C2219" s="9"/>
    </row>
    <row r="2220" spans="3:3" x14ac:dyDescent="0.3">
      <c r="C2220" s="9"/>
    </row>
    <row r="2221" spans="3:3" x14ac:dyDescent="0.3">
      <c r="C2221" s="9"/>
    </row>
    <row r="2222" spans="3:3" x14ac:dyDescent="0.3">
      <c r="C2222" s="9"/>
    </row>
    <row r="2223" spans="3:3" x14ac:dyDescent="0.3">
      <c r="C2223" s="9"/>
    </row>
    <row r="2224" spans="3:3" x14ac:dyDescent="0.3">
      <c r="C2224" s="9"/>
    </row>
    <row r="2225" spans="3:3" x14ac:dyDescent="0.3">
      <c r="C2225" s="9"/>
    </row>
    <row r="2226" spans="3:3" x14ac:dyDescent="0.3">
      <c r="C2226" s="9"/>
    </row>
    <row r="2227" spans="3:3" x14ac:dyDescent="0.3">
      <c r="C2227" s="9"/>
    </row>
    <row r="2228" spans="3:3" x14ac:dyDescent="0.3">
      <c r="C2228" s="9"/>
    </row>
    <row r="2229" spans="3:3" x14ac:dyDescent="0.3">
      <c r="C2229" s="9"/>
    </row>
    <row r="2230" spans="3:3" x14ac:dyDescent="0.3">
      <c r="C2230" s="9"/>
    </row>
    <row r="2231" spans="3:3" x14ac:dyDescent="0.3">
      <c r="C2231" s="9"/>
    </row>
    <row r="2232" spans="3:3" x14ac:dyDescent="0.3">
      <c r="C2232" s="9"/>
    </row>
    <row r="2233" spans="3:3" x14ac:dyDescent="0.3">
      <c r="C2233" s="9"/>
    </row>
    <row r="2234" spans="3:3" x14ac:dyDescent="0.3">
      <c r="C2234" s="9"/>
    </row>
    <row r="2235" spans="3:3" x14ac:dyDescent="0.3">
      <c r="C2235" s="9"/>
    </row>
    <row r="2236" spans="3:3" x14ac:dyDescent="0.3">
      <c r="C2236" s="9"/>
    </row>
    <row r="2237" spans="3:3" x14ac:dyDescent="0.3">
      <c r="C2237" s="9"/>
    </row>
    <row r="2238" spans="3:3" x14ac:dyDescent="0.3">
      <c r="C2238" s="9"/>
    </row>
    <row r="2239" spans="3:3" x14ac:dyDescent="0.3">
      <c r="C2239" s="9"/>
    </row>
    <row r="2240" spans="3:3" x14ac:dyDescent="0.3">
      <c r="C2240" s="9"/>
    </row>
    <row r="2241" spans="3:3" x14ac:dyDescent="0.3">
      <c r="C2241" s="9"/>
    </row>
    <row r="2242" spans="3:3" x14ac:dyDescent="0.3">
      <c r="C2242" s="9"/>
    </row>
    <row r="2243" spans="3:3" x14ac:dyDescent="0.3">
      <c r="C2243" s="9"/>
    </row>
    <row r="2244" spans="3:3" x14ac:dyDescent="0.3">
      <c r="C2244" s="9"/>
    </row>
    <row r="2245" spans="3:3" x14ac:dyDescent="0.3">
      <c r="C2245" s="9"/>
    </row>
    <row r="2246" spans="3:3" x14ac:dyDescent="0.3">
      <c r="C2246" s="9"/>
    </row>
    <row r="2247" spans="3:3" x14ac:dyDescent="0.3">
      <c r="C2247" s="9"/>
    </row>
    <row r="2248" spans="3:3" x14ac:dyDescent="0.3">
      <c r="C2248" s="9"/>
    </row>
    <row r="2249" spans="3:3" x14ac:dyDescent="0.3">
      <c r="C2249" s="9"/>
    </row>
    <row r="2250" spans="3:3" x14ac:dyDescent="0.3">
      <c r="C2250" s="9"/>
    </row>
    <row r="2251" spans="3:3" x14ac:dyDescent="0.3">
      <c r="C2251" s="9"/>
    </row>
    <row r="2252" spans="3:3" x14ac:dyDescent="0.3">
      <c r="C2252" s="9"/>
    </row>
    <row r="2253" spans="3:3" x14ac:dyDescent="0.3">
      <c r="C2253" s="9"/>
    </row>
    <row r="2254" spans="3:3" x14ac:dyDescent="0.3">
      <c r="C2254" s="9"/>
    </row>
    <row r="2255" spans="3:3" x14ac:dyDescent="0.3">
      <c r="C2255" s="9"/>
    </row>
    <row r="2256" spans="3:3" x14ac:dyDescent="0.3">
      <c r="C2256" s="9"/>
    </row>
    <row r="2257" spans="3:3" x14ac:dyDescent="0.3">
      <c r="C2257" s="9"/>
    </row>
    <row r="2258" spans="3:3" x14ac:dyDescent="0.3">
      <c r="C2258" s="9"/>
    </row>
    <row r="2259" spans="3:3" x14ac:dyDescent="0.3">
      <c r="C2259" s="9"/>
    </row>
    <row r="2260" spans="3:3" x14ac:dyDescent="0.3">
      <c r="C2260" s="9"/>
    </row>
    <row r="2261" spans="3:3" x14ac:dyDescent="0.3">
      <c r="C2261" s="9"/>
    </row>
    <row r="2262" spans="3:3" x14ac:dyDescent="0.3">
      <c r="C2262" s="9"/>
    </row>
    <row r="2263" spans="3:3" x14ac:dyDescent="0.3">
      <c r="C2263" s="9"/>
    </row>
    <row r="2264" spans="3:3" x14ac:dyDescent="0.3">
      <c r="C2264" s="9"/>
    </row>
    <row r="2265" spans="3:3" x14ac:dyDescent="0.3">
      <c r="C2265" s="9"/>
    </row>
    <row r="2266" spans="3:3" x14ac:dyDescent="0.3">
      <c r="C2266" s="9"/>
    </row>
    <row r="2267" spans="3:3" x14ac:dyDescent="0.3">
      <c r="C2267" s="9"/>
    </row>
    <row r="2268" spans="3:3" x14ac:dyDescent="0.3">
      <c r="C2268" s="9"/>
    </row>
    <row r="2269" spans="3:3" x14ac:dyDescent="0.3">
      <c r="C2269" s="9"/>
    </row>
    <row r="2270" spans="3:3" x14ac:dyDescent="0.3">
      <c r="C2270" s="9"/>
    </row>
    <row r="2271" spans="3:3" x14ac:dyDescent="0.3">
      <c r="C2271" s="9"/>
    </row>
    <row r="2272" spans="3:3" x14ac:dyDescent="0.3">
      <c r="C2272" s="9"/>
    </row>
    <row r="2273" spans="3:3" x14ac:dyDescent="0.3">
      <c r="C2273" s="9"/>
    </row>
    <row r="2274" spans="3:3" x14ac:dyDescent="0.3">
      <c r="C2274" s="9"/>
    </row>
    <row r="2275" spans="3:3" x14ac:dyDescent="0.3">
      <c r="C2275" s="9"/>
    </row>
    <row r="2276" spans="3:3" x14ac:dyDescent="0.3">
      <c r="C2276" s="9"/>
    </row>
    <row r="2277" spans="3:3" x14ac:dyDescent="0.3">
      <c r="C2277" s="9"/>
    </row>
    <row r="2278" spans="3:3" x14ac:dyDescent="0.3">
      <c r="C2278" s="9"/>
    </row>
    <row r="2279" spans="3:3" x14ac:dyDescent="0.3">
      <c r="C2279" s="9"/>
    </row>
    <row r="2280" spans="3:3" x14ac:dyDescent="0.3">
      <c r="C2280" s="9"/>
    </row>
    <row r="2281" spans="3:3" x14ac:dyDescent="0.3">
      <c r="C2281" s="9"/>
    </row>
    <row r="2282" spans="3:3" x14ac:dyDescent="0.3">
      <c r="C2282" s="9"/>
    </row>
    <row r="2283" spans="3:3" x14ac:dyDescent="0.3">
      <c r="C2283" s="9"/>
    </row>
    <row r="2284" spans="3:3" x14ac:dyDescent="0.3">
      <c r="C2284" s="9"/>
    </row>
    <row r="2285" spans="3:3" x14ac:dyDescent="0.3">
      <c r="C2285" s="9"/>
    </row>
    <row r="2286" spans="3:3" x14ac:dyDescent="0.3">
      <c r="C2286" s="9"/>
    </row>
    <row r="2287" spans="3:3" x14ac:dyDescent="0.3">
      <c r="C2287" s="9"/>
    </row>
    <row r="2288" spans="3:3" x14ac:dyDescent="0.3">
      <c r="C2288" s="9"/>
    </row>
    <row r="2289" spans="3:3" x14ac:dyDescent="0.3">
      <c r="C2289" s="9"/>
    </row>
    <row r="2290" spans="3:3" x14ac:dyDescent="0.3">
      <c r="C2290" s="9"/>
    </row>
    <row r="2291" spans="3:3" x14ac:dyDescent="0.3">
      <c r="C2291" s="9"/>
    </row>
    <row r="2292" spans="3:3" x14ac:dyDescent="0.3">
      <c r="C2292" s="9"/>
    </row>
    <row r="2293" spans="3:3" x14ac:dyDescent="0.3">
      <c r="C2293" s="9"/>
    </row>
    <row r="2294" spans="3:3" x14ac:dyDescent="0.3">
      <c r="C2294" s="9"/>
    </row>
    <row r="2295" spans="3:3" x14ac:dyDescent="0.3">
      <c r="C2295" s="9"/>
    </row>
    <row r="2296" spans="3:3" x14ac:dyDescent="0.3">
      <c r="C2296" s="9"/>
    </row>
    <row r="2297" spans="3:3" x14ac:dyDescent="0.3">
      <c r="C2297" s="9"/>
    </row>
    <row r="2298" spans="3:3" x14ac:dyDescent="0.3">
      <c r="C2298" s="9"/>
    </row>
    <row r="2299" spans="3:3" x14ac:dyDescent="0.3">
      <c r="C2299" s="9"/>
    </row>
    <row r="2300" spans="3:3" x14ac:dyDescent="0.3">
      <c r="C2300" s="9"/>
    </row>
    <row r="2301" spans="3:3" x14ac:dyDescent="0.3">
      <c r="C2301" s="9"/>
    </row>
    <row r="2302" spans="3:3" x14ac:dyDescent="0.3">
      <c r="C2302" s="9"/>
    </row>
    <row r="2303" spans="3:3" x14ac:dyDescent="0.3">
      <c r="C2303" s="9"/>
    </row>
    <row r="2304" spans="3:3" x14ac:dyDescent="0.3">
      <c r="C2304" s="9"/>
    </row>
    <row r="2305" spans="3:3" x14ac:dyDescent="0.3">
      <c r="C2305" s="9"/>
    </row>
    <row r="2306" spans="3:3" x14ac:dyDescent="0.3">
      <c r="C2306" s="9"/>
    </row>
    <row r="2307" spans="3:3" x14ac:dyDescent="0.3">
      <c r="C2307" s="9"/>
    </row>
    <row r="2308" spans="3:3" x14ac:dyDescent="0.3">
      <c r="C2308" s="9"/>
    </row>
    <row r="2309" spans="3:3" x14ac:dyDescent="0.3">
      <c r="C2309" s="9"/>
    </row>
    <row r="2310" spans="3:3" x14ac:dyDescent="0.3">
      <c r="C2310" s="9"/>
    </row>
    <row r="2311" spans="3:3" x14ac:dyDescent="0.3">
      <c r="C2311" s="9"/>
    </row>
    <row r="2312" spans="3:3" x14ac:dyDescent="0.3">
      <c r="C2312" s="9"/>
    </row>
    <row r="2313" spans="3:3" x14ac:dyDescent="0.3">
      <c r="C2313" s="9"/>
    </row>
    <row r="2314" spans="3:3" x14ac:dyDescent="0.3">
      <c r="C2314" s="9"/>
    </row>
    <row r="2315" spans="3:3" x14ac:dyDescent="0.3">
      <c r="C2315" s="9"/>
    </row>
    <row r="2316" spans="3:3" x14ac:dyDescent="0.3">
      <c r="C2316" s="9"/>
    </row>
    <row r="2317" spans="3:3" x14ac:dyDescent="0.3">
      <c r="C2317" s="9"/>
    </row>
    <row r="2318" spans="3:3" x14ac:dyDescent="0.3">
      <c r="C2318" s="9"/>
    </row>
    <row r="2319" spans="3:3" x14ac:dyDescent="0.3">
      <c r="C2319" s="9"/>
    </row>
    <row r="2320" spans="3:3" x14ac:dyDescent="0.3">
      <c r="C2320" s="9"/>
    </row>
    <row r="2321" spans="3:3" x14ac:dyDescent="0.3">
      <c r="C2321" s="9"/>
    </row>
    <row r="2322" spans="3:3" x14ac:dyDescent="0.3">
      <c r="C2322" s="9"/>
    </row>
    <row r="2323" spans="3:3" x14ac:dyDescent="0.3">
      <c r="C2323" s="9"/>
    </row>
    <row r="2324" spans="3:3" x14ac:dyDescent="0.3">
      <c r="C2324" s="9"/>
    </row>
    <row r="2325" spans="3:3" x14ac:dyDescent="0.3">
      <c r="C2325" s="9"/>
    </row>
    <row r="2326" spans="3:3" x14ac:dyDescent="0.3">
      <c r="C2326" s="9"/>
    </row>
    <row r="2327" spans="3:3" x14ac:dyDescent="0.3">
      <c r="C2327" s="9"/>
    </row>
    <row r="2328" spans="3:3" x14ac:dyDescent="0.3">
      <c r="C2328" s="9"/>
    </row>
    <row r="2329" spans="3:3" x14ac:dyDescent="0.3">
      <c r="C2329" s="9"/>
    </row>
    <row r="2330" spans="3:3" x14ac:dyDescent="0.3">
      <c r="C2330" s="9"/>
    </row>
    <row r="2331" spans="3:3" x14ac:dyDescent="0.3">
      <c r="C2331" s="9"/>
    </row>
    <row r="2332" spans="3:3" x14ac:dyDescent="0.3">
      <c r="C2332" s="9"/>
    </row>
    <row r="2333" spans="3:3" x14ac:dyDescent="0.3">
      <c r="C2333" s="9"/>
    </row>
    <row r="2334" spans="3:3" x14ac:dyDescent="0.3">
      <c r="C2334" s="9"/>
    </row>
    <row r="2335" spans="3:3" x14ac:dyDescent="0.3">
      <c r="C2335" s="9"/>
    </row>
    <row r="2336" spans="3:3" x14ac:dyDescent="0.3">
      <c r="C2336" s="9"/>
    </row>
    <row r="2337" spans="3:3" x14ac:dyDescent="0.3">
      <c r="C2337" s="9"/>
    </row>
    <row r="2338" spans="3:3" x14ac:dyDescent="0.3">
      <c r="C2338" s="9"/>
    </row>
    <row r="2339" spans="3:3" x14ac:dyDescent="0.3">
      <c r="C2339" s="9"/>
    </row>
    <row r="2340" spans="3:3" x14ac:dyDescent="0.3">
      <c r="C2340" s="9"/>
    </row>
    <row r="2341" spans="3:3" x14ac:dyDescent="0.3">
      <c r="C2341" s="9"/>
    </row>
    <row r="2342" spans="3:3" x14ac:dyDescent="0.3">
      <c r="C2342" s="9"/>
    </row>
    <row r="2343" spans="3:3" x14ac:dyDescent="0.3">
      <c r="C2343" s="9"/>
    </row>
    <row r="2344" spans="3:3" x14ac:dyDescent="0.3">
      <c r="C2344" s="9"/>
    </row>
    <row r="2345" spans="3:3" x14ac:dyDescent="0.3">
      <c r="C2345" s="9"/>
    </row>
    <row r="2346" spans="3:3" x14ac:dyDescent="0.3">
      <c r="C2346" s="9"/>
    </row>
    <row r="2347" spans="3:3" x14ac:dyDescent="0.3">
      <c r="C2347" s="9"/>
    </row>
    <row r="2348" spans="3:3" x14ac:dyDescent="0.3">
      <c r="C2348" s="9"/>
    </row>
    <row r="2349" spans="3:3" x14ac:dyDescent="0.3">
      <c r="C2349" s="9"/>
    </row>
    <row r="2350" spans="3:3" x14ac:dyDescent="0.3">
      <c r="C2350" s="9"/>
    </row>
    <row r="2351" spans="3:3" x14ac:dyDescent="0.3">
      <c r="C2351" s="9"/>
    </row>
    <row r="2352" spans="3:3" x14ac:dyDescent="0.3">
      <c r="C2352" s="9"/>
    </row>
    <row r="2353" spans="3:3" x14ac:dyDescent="0.3">
      <c r="C2353" s="9"/>
    </row>
    <row r="2354" spans="3:3" x14ac:dyDescent="0.3">
      <c r="C2354" s="9"/>
    </row>
    <row r="2355" spans="3:3" x14ac:dyDescent="0.3">
      <c r="C2355" s="9"/>
    </row>
    <row r="2356" spans="3:3" x14ac:dyDescent="0.3">
      <c r="C2356" s="9"/>
    </row>
    <row r="2357" spans="3:3" x14ac:dyDescent="0.3">
      <c r="C2357" s="9"/>
    </row>
    <row r="2358" spans="3:3" x14ac:dyDescent="0.3">
      <c r="C2358" s="9"/>
    </row>
    <row r="2359" spans="3:3" x14ac:dyDescent="0.3">
      <c r="C2359" s="9"/>
    </row>
    <row r="2360" spans="3:3" x14ac:dyDescent="0.3">
      <c r="C2360" s="9"/>
    </row>
    <row r="2361" spans="3:3" x14ac:dyDescent="0.3">
      <c r="C2361" s="9"/>
    </row>
    <row r="2362" spans="3:3" x14ac:dyDescent="0.3">
      <c r="C2362" s="9"/>
    </row>
    <row r="2363" spans="3:3" x14ac:dyDescent="0.3">
      <c r="C2363" s="9"/>
    </row>
    <row r="2364" spans="3:3" x14ac:dyDescent="0.3">
      <c r="C2364" s="9"/>
    </row>
    <row r="2365" spans="3:3" x14ac:dyDescent="0.3">
      <c r="C2365" s="9"/>
    </row>
    <row r="2366" spans="3:3" x14ac:dyDescent="0.3">
      <c r="C2366" s="9"/>
    </row>
    <row r="2367" spans="3:3" x14ac:dyDescent="0.3">
      <c r="C2367" s="9"/>
    </row>
    <row r="2368" spans="3:3" x14ac:dyDescent="0.3">
      <c r="C2368" s="9"/>
    </row>
    <row r="2369" spans="3:3" x14ac:dyDescent="0.3">
      <c r="C2369" s="9"/>
    </row>
    <row r="2370" spans="3:3" x14ac:dyDescent="0.3">
      <c r="C2370" s="9"/>
    </row>
    <row r="2371" spans="3:3" x14ac:dyDescent="0.3">
      <c r="C2371" s="9"/>
    </row>
    <row r="2372" spans="3:3" x14ac:dyDescent="0.3">
      <c r="C2372" s="9"/>
    </row>
    <row r="2373" spans="3:3" x14ac:dyDescent="0.3">
      <c r="C2373" s="9"/>
    </row>
    <row r="2374" spans="3:3" x14ac:dyDescent="0.3">
      <c r="C2374" s="9"/>
    </row>
    <row r="2375" spans="3:3" x14ac:dyDescent="0.3">
      <c r="C2375" s="9"/>
    </row>
    <row r="2376" spans="3:3" x14ac:dyDescent="0.3">
      <c r="C2376" s="9"/>
    </row>
    <row r="2377" spans="3:3" x14ac:dyDescent="0.3">
      <c r="C2377" s="9"/>
    </row>
    <row r="2378" spans="3:3" x14ac:dyDescent="0.3">
      <c r="C2378" s="9"/>
    </row>
    <row r="2379" spans="3:3" x14ac:dyDescent="0.3">
      <c r="C2379" s="9"/>
    </row>
    <row r="2380" spans="3:3" x14ac:dyDescent="0.3">
      <c r="C2380" s="9"/>
    </row>
    <row r="2381" spans="3:3" x14ac:dyDescent="0.3">
      <c r="C2381" s="9"/>
    </row>
    <row r="2382" spans="3:3" x14ac:dyDescent="0.3">
      <c r="C2382" s="9"/>
    </row>
    <row r="2383" spans="3:3" x14ac:dyDescent="0.3">
      <c r="C2383" s="9"/>
    </row>
    <row r="2384" spans="3:3" x14ac:dyDescent="0.3">
      <c r="C2384" s="9"/>
    </row>
    <row r="2385" spans="3:3" x14ac:dyDescent="0.3">
      <c r="C2385" s="9"/>
    </row>
    <row r="2386" spans="3:3" x14ac:dyDescent="0.3">
      <c r="C2386" s="9"/>
    </row>
    <row r="2387" spans="3:3" x14ac:dyDescent="0.3">
      <c r="C2387" s="9"/>
    </row>
    <row r="2388" spans="3:3" x14ac:dyDescent="0.3">
      <c r="C2388" s="9"/>
    </row>
    <row r="2389" spans="3:3" x14ac:dyDescent="0.3">
      <c r="C2389" s="9"/>
    </row>
    <row r="2390" spans="3:3" x14ac:dyDescent="0.3">
      <c r="C2390" s="9"/>
    </row>
    <row r="2391" spans="3:3" x14ac:dyDescent="0.3">
      <c r="C2391" s="9"/>
    </row>
    <row r="2392" spans="3:3" x14ac:dyDescent="0.3">
      <c r="C2392" s="9"/>
    </row>
    <row r="2393" spans="3:3" x14ac:dyDescent="0.3">
      <c r="C2393" s="9"/>
    </row>
    <row r="2394" spans="3:3" x14ac:dyDescent="0.3">
      <c r="C2394" s="9"/>
    </row>
    <row r="2395" spans="3:3" x14ac:dyDescent="0.3">
      <c r="C2395" s="9"/>
    </row>
    <row r="2396" spans="3:3" x14ac:dyDescent="0.3">
      <c r="C2396" s="9"/>
    </row>
    <row r="2397" spans="3:3" x14ac:dyDescent="0.3">
      <c r="C2397" s="9"/>
    </row>
    <row r="2398" spans="3:3" x14ac:dyDescent="0.3">
      <c r="C2398" s="9"/>
    </row>
    <row r="2399" spans="3:3" x14ac:dyDescent="0.3">
      <c r="C2399" s="9"/>
    </row>
    <row r="2400" spans="3:3" x14ac:dyDescent="0.3">
      <c r="C2400" s="9"/>
    </row>
    <row r="2401" spans="3:3" x14ac:dyDescent="0.3">
      <c r="C2401" s="9"/>
    </row>
    <row r="2402" spans="3:3" x14ac:dyDescent="0.3">
      <c r="C2402" s="9"/>
    </row>
    <row r="2403" spans="3:3" x14ac:dyDescent="0.3">
      <c r="C2403" s="9"/>
    </row>
    <row r="2404" spans="3:3" x14ac:dyDescent="0.3">
      <c r="C2404" s="9"/>
    </row>
    <row r="2405" spans="3:3" x14ac:dyDescent="0.3">
      <c r="C2405" s="9"/>
    </row>
    <row r="2406" spans="3:3" x14ac:dyDescent="0.3">
      <c r="C2406" s="9"/>
    </row>
    <row r="2407" spans="3:3" x14ac:dyDescent="0.3">
      <c r="C2407" s="9"/>
    </row>
    <row r="2408" spans="3:3" x14ac:dyDescent="0.3">
      <c r="C2408" s="9"/>
    </row>
    <row r="2409" spans="3:3" x14ac:dyDescent="0.3">
      <c r="C2409" s="9"/>
    </row>
    <row r="2410" spans="3:3" x14ac:dyDescent="0.3">
      <c r="C2410" s="9"/>
    </row>
    <row r="2411" spans="3:3" x14ac:dyDescent="0.3">
      <c r="C2411" s="9"/>
    </row>
    <row r="2412" spans="3:3" x14ac:dyDescent="0.3">
      <c r="C2412" s="9"/>
    </row>
    <row r="2413" spans="3:3" x14ac:dyDescent="0.3">
      <c r="C2413" s="9"/>
    </row>
    <row r="2414" spans="3:3" x14ac:dyDescent="0.3">
      <c r="C2414" s="9"/>
    </row>
    <row r="2415" spans="3:3" x14ac:dyDescent="0.3">
      <c r="C2415" s="9"/>
    </row>
    <row r="2416" spans="3:3" x14ac:dyDescent="0.3">
      <c r="C2416" s="9"/>
    </row>
    <row r="2417" spans="3:3" x14ac:dyDescent="0.3">
      <c r="C2417" s="9"/>
    </row>
    <row r="2418" spans="3:3" x14ac:dyDescent="0.3">
      <c r="C2418" s="9"/>
    </row>
    <row r="2419" spans="3:3" x14ac:dyDescent="0.3">
      <c r="C2419" s="9"/>
    </row>
    <row r="2420" spans="3:3" x14ac:dyDescent="0.3">
      <c r="C2420" s="9"/>
    </row>
    <row r="2421" spans="3:3" x14ac:dyDescent="0.3">
      <c r="C2421" s="9"/>
    </row>
    <row r="2422" spans="3:3" x14ac:dyDescent="0.3">
      <c r="C2422" s="9"/>
    </row>
    <row r="2423" spans="3:3" x14ac:dyDescent="0.3">
      <c r="C2423" s="9"/>
    </row>
    <row r="2424" spans="3:3" x14ac:dyDescent="0.3">
      <c r="C2424" s="9"/>
    </row>
    <row r="2425" spans="3:3" x14ac:dyDescent="0.3">
      <c r="C2425" s="9"/>
    </row>
    <row r="2426" spans="3:3" x14ac:dyDescent="0.3">
      <c r="C2426" s="9"/>
    </row>
    <row r="2427" spans="3:3" x14ac:dyDescent="0.3">
      <c r="C2427" s="9"/>
    </row>
    <row r="2428" spans="3:3" x14ac:dyDescent="0.3">
      <c r="C2428" s="9"/>
    </row>
    <row r="2429" spans="3:3" x14ac:dyDescent="0.3">
      <c r="C2429" s="9"/>
    </row>
    <row r="2430" spans="3:3" x14ac:dyDescent="0.3">
      <c r="C2430" s="9"/>
    </row>
    <row r="2431" spans="3:3" x14ac:dyDescent="0.3">
      <c r="C2431" s="9"/>
    </row>
    <row r="2432" spans="3:3" x14ac:dyDescent="0.3">
      <c r="C2432" s="9"/>
    </row>
    <row r="2433" spans="3:3" x14ac:dyDescent="0.3">
      <c r="C2433" s="9"/>
    </row>
    <row r="2434" spans="3:3" x14ac:dyDescent="0.3">
      <c r="C2434" s="9"/>
    </row>
    <row r="2435" spans="3:3" x14ac:dyDescent="0.3">
      <c r="C2435" s="9"/>
    </row>
    <row r="2436" spans="3:3" x14ac:dyDescent="0.3">
      <c r="C2436" s="9"/>
    </row>
    <row r="2437" spans="3:3" x14ac:dyDescent="0.3">
      <c r="C2437" s="9"/>
    </row>
    <row r="2438" spans="3:3" x14ac:dyDescent="0.3">
      <c r="C2438" s="9"/>
    </row>
    <row r="2439" spans="3:3" x14ac:dyDescent="0.3">
      <c r="C2439" s="9"/>
    </row>
    <row r="2440" spans="3:3" x14ac:dyDescent="0.3">
      <c r="C2440" s="9"/>
    </row>
    <row r="2441" spans="3:3" x14ac:dyDescent="0.3">
      <c r="C2441" s="9"/>
    </row>
    <row r="2442" spans="3:3" x14ac:dyDescent="0.3">
      <c r="C2442" s="9"/>
    </row>
    <row r="2443" spans="3:3" x14ac:dyDescent="0.3">
      <c r="C2443" s="9"/>
    </row>
    <row r="2444" spans="3:3" x14ac:dyDescent="0.3">
      <c r="C2444" s="9"/>
    </row>
    <row r="2445" spans="3:3" x14ac:dyDescent="0.3">
      <c r="C2445" s="9"/>
    </row>
    <row r="2446" spans="3:3" x14ac:dyDescent="0.3">
      <c r="C2446" s="9"/>
    </row>
    <row r="2447" spans="3:3" x14ac:dyDescent="0.3">
      <c r="C2447" s="9"/>
    </row>
    <row r="2448" spans="3:3" x14ac:dyDescent="0.3">
      <c r="C2448" s="9"/>
    </row>
    <row r="2449" spans="3:3" x14ac:dyDescent="0.3">
      <c r="C2449" s="9"/>
    </row>
    <row r="2450" spans="3:3" x14ac:dyDescent="0.3">
      <c r="C2450" s="9"/>
    </row>
    <row r="2451" spans="3:3" x14ac:dyDescent="0.3">
      <c r="C2451" s="9"/>
    </row>
    <row r="2452" spans="3:3" x14ac:dyDescent="0.3">
      <c r="C2452" s="9"/>
    </row>
    <row r="2453" spans="3:3" x14ac:dyDescent="0.3">
      <c r="C2453" s="9"/>
    </row>
    <row r="2454" spans="3:3" x14ac:dyDescent="0.3">
      <c r="C2454" s="9"/>
    </row>
    <row r="2455" spans="3:3" x14ac:dyDescent="0.3">
      <c r="C2455" s="9"/>
    </row>
    <row r="2456" spans="3:3" x14ac:dyDescent="0.3">
      <c r="C2456" s="9"/>
    </row>
    <row r="2457" spans="3:3" x14ac:dyDescent="0.3">
      <c r="C2457" s="9"/>
    </row>
    <row r="2458" spans="3:3" x14ac:dyDescent="0.3">
      <c r="C2458" s="9"/>
    </row>
    <row r="2459" spans="3:3" x14ac:dyDescent="0.3">
      <c r="C2459" s="9"/>
    </row>
    <row r="2460" spans="3:3" x14ac:dyDescent="0.3">
      <c r="C2460" s="9"/>
    </row>
    <row r="2461" spans="3:3" x14ac:dyDescent="0.3">
      <c r="C2461" s="9"/>
    </row>
    <row r="2462" spans="3:3" x14ac:dyDescent="0.3">
      <c r="C2462" s="9"/>
    </row>
    <row r="2463" spans="3:3" x14ac:dyDescent="0.3">
      <c r="C2463" s="9"/>
    </row>
    <row r="2464" spans="3:3" x14ac:dyDescent="0.3">
      <c r="C2464" s="9"/>
    </row>
    <row r="2465" spans="3:3" x14ac:dyDescent="0.3">
      <c r="C2465" s="9"/>
    </row>
    <row r="2466" spans="3:3" x14ac:dyDescent="0.3">
      <c r="C2466" s="9"/>
    </row>
    <row r="2467" spans="3:3" x14ac:dyDescent="0.3">
      <c r="C2467" s="9"/>
    </row>
    <row r="2468" spans="3:3" x14ac:dyDescent="0.3">
      <c r="C2468" s="9"/>
    </row>
    <row r="2469" spans="3:3" x14ac:dyDescent="0.3">
      <c r="C2469" s="9"/>
    </row>
    <row r="2470" spans="3:3" x14ac:dyDescent="0.3">
      <c r="C2470" s="9"/>
    </row>
    <row r="2471" spans="3:3" x14ac:dyDescent="0.3">
      <c r="C2471" s="9"/>
    </row>
    <row r="2472" spans="3:3" x14ac:dyDescent="0.3">
      <c r="C2472" s="9"/>
    </row>
    <row r="2473" spans="3:3" x14ac:dyDescent="0.3">
      <c r="C2473" s="9"/>
    </row>
    <row r="2474" spans="3:3" x14ac:dyDescent="0.3">
      <c r="C2474" s="9"/>
    </row>
    <row r="2475" spans="3:3" x14ac:dyDescent="0.3">
      <c r="C2475" s="9"/>
    </row>
    <row r="2476" spans="3:3" x14ac:dyDescent="0.3">
      <c r="C2476" s="9"/>
    </row>
    <row r="2477" spans="3:3" x14ac:dyDescent="0.3">
      <c r="C2477" s="9"/>
    </row>
    <row r="2478" spans="3:3" x14ac:dyDescent="0.3">
      <c r="C2478" s="9"/>
    </row>
    <row r="2479" spans="3:3" x14ac:dyDescent="0.3">
      <c r="C2479" s="9"/>
    </row>
    <row r="2480" spans="3:3" x14ac:dyDescent="0.3">
      <c r="C2480" s="9"/>
    </row>
    <row r="2481" spans="3:3" x14ac:dyDescent="0.3">
      <c r="C2481" s="9"/>
    </row>
    <row r="2482" spans="3:3" x14ac:dyDescent="0.3">
      <c r="C2482" s="9"/>
    </row>
    <row r="2483" spans="3:3" x14ac:dyDescent="0.3">
      <c r="C2483" s="9"/>
    </row>
    <row r="2484" spans="3:3" x14ac:dyDescent="0.3">
      <c r="C2484" s="9"/>
    </row>
    <row r="2485" spans="3:3" x14ac:dyDescent="0.3">
      <c r="C2485" s="9"/>
    </row>
    <row r="2486" spans="3:3" x14ac:dyDescent="0.3">
      <c r="C2486" s="9"/>
    </row>
    <row r="2487" spans="3:3" x14ac:dyDescent="0.3">
      <c r="C2487" s="9"/>
    </row>
    <row r="2488" spans="3:3" x14ac:dyDescent="0.3">
      <c r="C2488" s="9"/>
    </row>
    <row r="2489" spans="3:3" x14ac:dyDescent="0.3">
      <c r="C2489" s="9"/>
    </row>
    <row r="2490" spans="3:3" x14ac:dyDescent="0.3">
      <c r="C2490" s="9"/>
    </row>
    <row r="2491" spans="3:3" x14ac:dyDescent="0.3">
      <c r="C2491" s="9"/>
    </row>
    <row r="2492" spans="3:3" x14ac:dyDescent="0.3">
      <c r="C2492" s="9"/>
    </row>
    <row r="2493" spans="3:3" x14ac:dyDescent="0.3">
      <c r="C2493" s="9"/>
    </row>
    <row r="2494" spans="3:3" x14ac:dyDescent="0.3">
      <c r="C2494" s="9"/>
    </row>
    <row r="2495" spans="3:3" x14ac:dyDescent="0.3">
      <c r="C2495" s="9"/>
    </row>
    <row r="2496" spans="3:3" x14ac:dyDescent="0.3">
      <c r="C2496" s="9"/>
    </row>
    <row r="2497" spans="3:3" x14ac:dyDescent="0.3">
      <c r="C2497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EAD1D-664E-4587-9007-33D6CC696F46}">
  <sheetPr>
    <tabColor theme="4" tint="0.79998168889431442"/>
  </sheetPr>
  <dimension ref="A1:B13"/>
  <sheetViews>
    <sheetView workbookViewId="0"/>
  </sheetViews>
  <sheetFormatPr defaultRowHeight="14.4" x14ac:dyDescent="0.3"/>
  <cols>
    <col min="1" max="1" width="16.6640625" bestFit="1" customWidth="1"/>
  </cols>
  <sheetData>
    <row r="1" spans="1:2" x14ac:dyDescent="0.3">
      <c r="A1" s="1" t="s">
        <v>12</v>
      </c>
      <c r="B1" s="8" t="s">
        <v>11</v>
      </c>
    </row>
    <row r="2" spans="1:2" x14ac:dyDescent="0.3">
      <c r="A2" t="s">
        <v>0</v>
      </c>
      <c r="B2">
        <v>1</v>
      </c>
    </row>
    <row r="3" spans="1:2" x14ac:dyDescent="0.3">
      <c r="A3" t="s">
        <v>44</v>
      </c>
      <c r="B3">
        <v>2</v>
      </c>
    </row>
    <row r="4" spans="1:2" x14ac:dyDescent="0.3">
      <c r="A4" t="s">
        <v>6</v>
      </c>
      <c r="B4">
        <v>3</v>
      </c>
    </row>
    <row r="5" spans="1:2" x14ac:dyDescent="0.3">
      <c r="A5" t="s">
        <v>24</v>
      </c>
      <c r="B5">
        <v>4</v>
      </c>
    </row>
    <row r="6" spans="1:2" x14ac:dyDescent="0.3">
      <c r="A6" t="s">
        <v>1</v>
      </c>
      <c r="B6">
        <v>5</v>
      </c>
    </row>
    <row r="7" spans="1:2" x14ac:dyDescent="0.3">
      <c r="A7" t="s">
        <v>9</v>
      </c>
      <c r="B7">
        <v>6</v>
      </c>
    </row>
    <row r="8" spans="1:2" x14ac:dyDescent="0.3">
      <c r="A8" t="s">
        <v>4</v>
      </c>
      <c r="B8">
        <v>7</v>
      </c>
    </row>
    <row r="9" spans="1:2" x14ac:dyDescent="0.3">
      <c r="A9" t="s">
        <v>2</v>
      </c>
      <c r="B9">
        <v>8</v>
      </c>
    </row>
    <row r="10" spans="1:2" x14ac:dyDescent="0.3">
      <c r="A10" t="s">
        <v>3</v>
      </c>
      <c r="B10">
        <v>9</v>
      </c>
    </row>
    <row r="11" spans="1:2" x14ac:dyDescent="0.3">
      <c r="A11" t="s">
        <v>8</v>
      </c>
      <c r="B11">
        <v>10</v>
      </c>
    </row>
    <row r="12" spans="1:2" x14ac:dyDescent="0.3">
      <c r="A12" t="s">
        <v>5</v>
      </c>
      <c r="B12">
        <v>11</v>
      </c>
    </row>
    <row r="13" spans="1:2" x14ac:dyDescent="0.3">
      <c r="A13" t="s">
        <v>25</v>
      </c>
      <c r="B13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4C5B8-A7DA-40EB-AB3C-0E93E3738B8E}">
  <sheetPr>
    <tabColor theme="4" tint="0.79998168889431442"/>
  </sheetPr>
  <dimension ref="A1:E13"/>
  <sheetViews>
    <sheetView workbookViewId="0"/>
  </sheetViews>
  <sheetFormatPr defaultRowHeight="14.4" x14ac:dyDescent="0.3"/>
  <cols>
    <col min="1" max="1" width="16.6640625" bestFit="1" customWidth="1"/>
    <col min="2" max="2" width="15.21875" customWidth="1"/>
  </cols>
  <sheetData>
    <row r="1" spans="1:5" x14ac:dyDescent="0.3">
      <c r="A1" s="1" t="s">
        <v>13</v>
      </c>
      <c r="B1" s="8" t="s">
        <v>45</v>
      </c>
      <c r="D1" s="19"/>
      <c r="E1" s="19"/>
    </row>
    <row r="2" spans="1:5" x14ac:dyDescent="0.3">
      <c r="A2" t="s">
        <v>0</v>
      </c>
      <c r="B2" s="20" t="s">
        <v>47</v>
      </c>
      <c r="D2" s="20"/>
      <c r="E2" s="20"/>
    </row>
    <row r="3" spans="1:5" x14ac:dyDescent="0.3">
      <c r="A3" t="s">
        <v>44</v>
      </c>
      <c r="B3" s="20" t="s">
        <v>44</v>
      </c>
      <c r="D3" s="20"/>
      <c r="E3" s="20"/>
    </row>
    <row r="4" spans="1:5" x14ac:dyDescent="0.3">
      <c r="A4" t="s">
        <v>6</v>
      </c>
      <c r="B4" s="20" t="s">
        <v>47</v>
      </c>
      <c r="D4" s="20"/>
      <c r="E4" s="20"/>
    </row>
    <row r="5" spans="1:5" x14ac:dyDescent="0.3">
      <c r="A5" t="s">
        <v>24</v>
      </c>
      <c r="B5" s="20" t="s">
        <v>47</v>
      </c>
      <c r="D5" s="20"/>
      <c r="E5" s="20"/>
    </row>
    <row r="6" spans="1:5" x14ac:dyDescent="0.3">
      <c r="A6" t="s">
        <v>1</v>
      </c>
      <c r="B6" s="20" t="s">
        <v>46</v>
      </c>
      <c r="D6" s="20"/>
      <c r="E6" s="20"/>
    </row>
    <row r="7" spans="1:5" x14ac:dyDescent="0.3">
      <c r="A7" t="s">
        <v>9</v>
      </c>
      <c r="B7" s="20" t="s">
        <v>47</v>
      </c>
      <c r="D7" s="20"/>
      <c r="E7" s="20"/>
    </row>
    <row r="8" spans="1:5" x14ac:dyDescent="0.3">
      <c r="A8" t="s">
        <v>4</v>
      </c>
      <c r="B8" s="20" t="s">
        <v>47</v>
      </c>
      <c r="D8" s="20"/>
      <c r="E8" s="20"/>
    </row>
    <row r="9" spans="1:5" x14ac:dyDescent="0.3">
      <c r="A9" t="s">
        <v>2</v>
      </c>
      <c r="B9" s="20" t="s">
        <v>47</v>
      </c>
      <c r="D9" s="20"/>
      <c r="E9" s="20"/>
    </row>
    <row r="10" spans="1:5" x14ac:dyDescent="0.3">
      <c r="A10" t="s">
        <v>3</v>
      </c>
      <c r="B10" s="20" t="s">
        <v>48</v>
      </c>
      <c r="D10" s="20"/>
      <c r="E10" s="20"/>
    </row>
    <row r="11" spans="1:5" x14ac:dyDescent="0.3">
      <c r="A11" t="s">
        <v>8</v>
      </c>
      <c r="B11" s="20" t="s">
        <v>46</v>
      </c>
      <c r="D11" s="20"/>
      <c r="E11" s="20"/>
    </row>
    <row r="12" spans="1:5" x14ac:dyDescent="0.3">
      <c r="A12" t="s">
        <v>5</v>
      </c>
      <c r="B12" s="20" t="s">
        <v>46</v>
      </c>
      <c r="D12" s="20"/>
      <c r="E12" s="20"/>
    </row>
    <row r="13" spans="1:5" x14ac:dyDescent="0.3">
      <c r="A13" t="s">
        <v>25</v>
      </c>
      <c r="B13" s="20" t="s">
        <v>47</v>
      </c>
      <c r="D13" s="20"/>
      <c r="E13" s="20"/>
    </row>
  </sheetData>
  <sortState xmlns:xlrd2="http://schemas.microsoft.com/office/spreadsheetml/2017/richdata2" ref="A2:B13">
    <sortCondition ref="A1:A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Fact_Carrier_Weekly</vt:lpstr>
      <vt:lpstr>Reference_2019</vt:lpstr>
      <vt:lpstr>Totals_Terminal</vt:lpstr>
      <vt:lpstr>CarrierID</vt:lpstr>
      <vt:lpstr>Carrier_Category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Emine Akgul</dc:creator>
  <cp:lastModifiedBy>Emine Akgul</cp:lastModifiedBy>
  <dcterms:created xsi:type="dcterms:W3CDTF">2015-06-05T18:17:20Z</dcterms:created>
  <dcterms:modified xsi:type="dcterms:W3CDTF">2025-12-15T23:23:24Z</dcterms:modified>
</cp:coreProperties>
</file>